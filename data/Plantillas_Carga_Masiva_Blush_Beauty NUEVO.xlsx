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A66759-BD54-4B83-BF50-E56FA9345BA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2. Servicios" sheetId="2" r:id="rId1"/>
    <sheet name="3. Clientes" sheetId="3" r:id="rId2"/>
    <sheet name="5. Citas y Ventas" sheetId="5" r:id="rId3"/>
    <sheet name="retenciones" sheetId="7" r:id="rId4"/>
  </sheets>
  <definedNames>
    <definedName name="_xlnm._FilterDatabase" localSheetId="1" hidden="1">'3. Clientes'!$A$2:$F$269</definedName>
    <definedName name="_xlnm._FilterDatabase" localSheetId="2" hidden="1">'5. Citas y Ventas'!$A$2:$M$989</definedName>
    <definedName name="_xlnm._FilterDatabase" localSheetId="3" hidden="1">retenciones!$A$1:$H$157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89" i="5" l="1"/>
  <c r="G899" i="5"/>
  <c r="G892" i="5"/>
  <c r="G870" i="5"/>
  <c r="G869" i="5"/>
  <c r="G866" i="5"/>
  <c r="G864" i="5"/>
  <c r="G859" i="5"/>
  <c r="G858" i="5"/>
  <c r="H157" i="7" l="1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G835" i="5" l="1"/>
  <c r="G832" i="5"/>
  <c r="G808" i="5"/>
  <c r="G754" i="5"/>
  <c r="G753" i="5"/>
  <c r="G688" i="5"/>
  <c r="G686" i="5"/>
  <c r="G690" i="5"/>
  <c r="G689" i="5"/>
  <c r="G679" i="5"/>
  <c r="G680" i="5"/>
  <c r="G685" i="5"/>
  <c r="G664" i="5"/>
  <c r="G666" i="5"/>
  <c r="G667" i="5"/>
  <c r="G659" i="5"/>
  <c r="G658" i="5"/>
  <c r="G846" i="5"/>
  <c r="G588" i="5"/>
  <c r="G587" i="5"/>
  <c r="G547" i="5"/>
  <c r="G549" i="5"/>
  <c r="G513" i="5"/>
  <c r="G495" i="5"/>
  <c r="G480" i="5"/>
  <c r="G475" i="5"/>
  <c r="G476" i="5"/>
  <c r="G440" i="5"/>
  <c r="G418" i="5"/>
  <c r="G414" i="5"/>
  <c r="G406" i="5"/>
  <c r="G403" i="5"/>
  <c r="G350" i="5"/>
  <c r="G349" i="5"/>
  <c r="G347" i="5"/>
  <c r="G348" i="5"/>
  <c r="G324" i="5"/>
  <c r="G318" i="5"/>
  <c r="G299" i="5"/>
  <c r="G301" i="5"/>
  <c r="G296" i="5"/>
  <c r="G294" i="5"/>
  <c r="G293" i="5"/>
  <c r="G264" i="5"/>
  <c r="G200" i="5"/>
  <c r="G206" i="5"/>
  <c r="G196" i="5"/>
  <c r="G193" i="5"/>
  <c r="G105" i="5"/>
  <c r="I834" i="5"/>
</calcChain>
</file>

<file path=xl/sharedStrings.xml><?xml version="1.0" encoding="utf-8"?>
<sst xmlns="http://schemas.openxmlformats.org/spreadsheetml/2006/main" count="6545" uniqueCount="1246">
  <si>
    <t>Plantilla de Carga: Catálogo de Servicios</t>
  </si>
  <si>
    <t>precio_base</t>
  </si>
  <si>
    <t>duracion_minutos</t>
  </si>
  <si>
    <t>frecuencia_recomendada_dias</t>
  </si>
  <si>
    <t>Baño de acrílico</t>
  </si>
  <si>
    <t>Nivelación Rubber</t>
  </si>
  <si>
    <t>Pedicura tradicional</t>
  </si>
  <si>
    <t>Plantilla de Carga: Registro de Clientes</t>
  </si>
  <si>
    <t>celular</t>
  </si>
  <si>
    <t>correo</t>
  </si>
  <si>
    <t>medio_contacto</t>
  </si>
  <si>
    <t>Mayra Lojano</t>
  </si>
  <si>
    <t>WhatsApp</t>
  </si>
  <si>
    <t>Carla Poveda</t>
  </si>
  <si>
    <t>Angelita Flores</t>
  </si>
  <si>
    <t>fecha</t>
  </si>
  <si>
    <t>forma_pago</t>
  </si>
  <si>
    <t>Efectivo</t>
  </si>
  <si>
    <t>Transferencia</t>
  </si>
  <si>
    <t>Plantilla de Carga: Histórico de Citas y Ventas</t>
  </si>
  <si>
    <t>fecha_hora</t>
  </si>
  <si>
    <t>valor_pagado</t>
  </si>
  <si>
    <t>cliente</t>
  </si>
  <si>
    <t>servicio</t>
  </si>
  <si>
    <t>personal</t>
  </si>
  <si>
    <t>no_transferencia(si existe)</t>
  </si>
  <si>
    <t>Identificación</t>
  </si>
  <si>
    <t>Elizabeth</t>
  </si>
  <si>
    <t>Manicura semipermanente</t>
  </si>
  <si>
    <t>Adrian Ibarra</t>
  </si>
  <si>
    <t>Manicura tradicional + ojo de gato</t>
  </si>
  <si>
    <t>Andrea Pardo</t>
  </si>
  <si>
    <t xml:space="preserve">Manicura tradicional </t>
  </si>
  <si>
    <t>Angelita Chasillacta</t>
  </si>
  <si>
    <t>Francisco Moya</t>
  </si>
  <si>
    <t>Abigail Moya</t>
  </si>
  <si>
    <t>Eli Moya</t>
  </si>
  <si>
    <t>De una</t>
  </si>
  <si>
    <t>Daniela Arboleda</t>
  </si>
  <si>
    <t>Leon Enriquez</t>
  </si>
  <si>
    <t>transferencia</t>
  </si>
  <si>
    <t>Portilla katherine</t>
  </si>
  <si>
    <t>Juan Pablo Mendez</t>
  </si>
  <si>
    <t>Nathali Padilla</t>
  </si>
  <si>
    <t>Diana Padilla</t>
  </si>
  <si>
    <t>2 impresiones</t>
  </si>
  <si>
    <t>Lily Ramirez</t>
  </si>
  <si>
    <t>Edison Cristobal</t>
  </si>
  <si>
    <t>Andrea Fernanda</t>
  </si>
  <si>
    <t>Andrea Poveda</t>
  </si>
  <si>
    <t>Lucía</t>
  </si>
  <si>
    <t>Manicura tradicional + 2 impresiones+ 2 semipermante</t>
  </si>
  <si>
    <t>Pedicura semipermanente</t>
  </si>
  <si>
    <t xml:space="preserve">Pedicura tradicional </t>
  </si>
  <si>
    <t>Zapatos</t>
  </si>
  <si>
    <t>Micaela Cruz</t>
  </si>
  <si>
    <t>Marcia Rea</t>
  </si>
  <si>
    <t>Jhanette Gonzalez</t>
  </si>
  <si>
    <t>Mamita Maru</t>
  </si>
  <si>
    <t>N/A</t>
  </si>
  <si>
    <t>Diana Cabrera</t>
  </si>
  <si>
    <t>Fernanda Proaño</t>
  </si>
  <si>
    <t>Melany Cardenas</t>
  </si>
  <si>
    <t>Andres Pardo</t>
  </si>
  <si>
    <t>Ines Vega</t>
  </si>
  <si>
    <t>Kamila Pichucho</t>
  </si>
  <si>
    <t>Erika Pazmiño</t>
  </si>
  <si>
    <t>Erika Zapata</t>
  </si>
  <si>
    <t>Mayra Ortiz</t>
  </si>
  <si>
    <t>Mariela Paredes</t>
  </si>
  <si>
    <t>Damaris Cedeño</t>
  </si>
  <si>
    <t>Adonay Pallo</t>
  </si>
  <si>
    <t>Francis Gomez</t>
  </si>
  <si>
    <t>Daniela Rodriguez</t>
  </si>
  <si>
    <t xml:space="preserve"> transferencia </t>
  </si>
  <si>
    <t>Paola Pazmiño</t>
  </si>
  <si>
    <t xml:space="preserve">Carla Poveda </t>
  </si>
  <si>
    <t xml:space="preserve">Paulina Rubio </t>
  </si>
  <si>
    <t xml:space="preserve">Adrian Ibarra </t>
  </si>
  <si>
    <t xml:space="preserve">Ximena Orbe </t>
  </si>
  <si>
    <t xml:space="preserve">Transferencia </t>
  </si>
  <si>
    <t xml:space="preserve">Maira Cuero </t>
  </si>
  <si>
    <t>Odalis Alcazar</t>
  </si>
  <si>
    <t xml:space="preserve">Andrea Pardo </t>
  </si>
  <si>
    <t>Abigail Maldonado</t>
  </si>
  <si>
    <t>Isabel Verdezoto</t>
  </si>
  <si>
    <t>Patricia Lema</t>
  </si>
  <si>
    <t>Liseth Alvarez</t>
  </si>
  <si>
    <t>Cinthia Zambrano</t>
  </si>
  <si>
    <t>Camila Aguilar</t>
  </si>
  <si>
    <t>Leonardo Proaño</t>
  </si>
  <si>
    <t>Cumanda Ochoa</t>
  </si>
  <si>
    <t>cejas</t>
  </si>
  <si>
    <t>Sandra Larrea</t>
  </si>
  <si>
    <t>Cristina Angulo</t>
  </si>
  <si>
    <t>Diana Yepez</t>
  </si>
  <si>
    <t>Ximena Espinosa</t>
  </si>
  <si>
    <t xml:space="preserve">Jessica Mora  </t>
  </si>
  <si>
    <t>Sofia Gavilanez</t>
  </si>
  <si>
    <t>Carla Barreno</t>
  </si>
  <si>
    <t>Valentina Espinel</t>
  </si>
  <si>
    <t>Acrílico</t>
  </si>
  <si>
    <t>Manicura tradicional</t>
  </si>
  <si>
    <t>Andreita</t>
  </si>
  <si>
    <t>Manicura tradicional + 2 impresiones+ uña</t>
  </si>
  <si>
    <t>Doménica Sandoval</t>
  </si>
  <si>
    <t>Wendy Erazo</t>
  </si>
  <si>
    <t>Jessica Alexandra</t>
  </si>
  <si>
    <t>Pamela Alexandra Beltran</t>
  </si>
  <si>
    <t>Klever Cadena</t>
  </si>
  <si>
    <t>Alisson Jumbo</t>
  </si>
  <si>
    <t>Yadira Aguagallo</t>
  </si>
  <si>
    <t>Kasye Nowak</t>
  </si>
  <si>
    <t>Alexandra Valladares</t>
  </si>
  <si>
    <t>Juan Sebastian Naranjo</t>
  </si>
  <si>
    <t>Michelle Puga</t>
  </si>
  <si>
    <t>Francis Acosta</t>
  </si>
  <si>
    <t>Ximena Orbe</t>
  </si>
  <si>
    <t>Retiro + Ruber + uña puesta</t>
  </si>
  <si>
    <t>Esther Cabezas</t>
  </si>
  <si>
    <t>Viviana Narvaez</t>
  </si>
  <si>
    <t>Retiro + semipermanente</t>
  </si>
  <si>
    <t>Mishelle Landi</t>
  </si>
  <si>
    <t>Monica Bustos</t>
  </si>
  <si>
    <t>Pedicura</t>
  </si>
  <si>
    <t>Michelle Gomez</t>
  </si>
  <si>
    <t>Retoque Poligel</t>
  </si>
  <si>
    <t>Luis Sandoval</t>
  </si>
  <si>
    <t>Retiro + semipermanente + cejas + bigote</t>
  </si>
  <si>
    <t>impresión</t>
  </si>
  <si>
    <t>Karina Ortiz</t>
  </si>
  <si>
    <t>Laura Gutierres</t>
  </si>
  <si>
    <t>Alexandra Viera</t>
  </si>
  <si>
    <t>Rubber</t>
  </si>
  <si>
    <t>Pedicura+ zapatillas</t>
  </si>
  <si>
    <t>SPI-33428509/ realizada el 25-01</t>
  </si>
  <si>
    <t>Edgar Herrera</t>
  </si>
  <si>
    <t>Manicura tradicional + Manicura tradicional e impresiones</t>
  </si>
  <si>
    <t xml:space="preserve"> SPI-33428509 </t>
  </si>
  <si>
    <t>Marla Roman</t>
  </si>
  <si>
    <t>Tonato Gualpa Walter</t>
  </si>
  <si>
    <t>Sofia Calle</t>
  </si>
  <si>
    <t>Mayra Morocho</t>
  </si>
  <si>
    <t>María Peña</t>
  </si>
  <si>
    <t>Tarjeta de Crédito</t>
  </si>
  <si>
    <t>Zapatillas desechables</t>
  </si>
  <si>
    <t>Blush</t>
  </si>
  <si>
    <t>Pamela Armendariz</t>
  </si>
  <si>
    <t>Nicole Ponce</t>
  </si>
  <si>
    <t>Jessica Manzano</t>
  </si>
  <si>
    <t xml:space="preserve">Sofia Espinoza </t>
  </si>
  <si>
    <t xml:space="preserve">Josselin Alejandra </t>
  </si>
  <si>
    <t>Angelita</t>
  </si>
  <si>
    <t>Roxana Salcedo</t>
  </si>
  <si>
    <t>Triana Gaibor</t>
  </si>
  <si>
    <t>Polygel</t>
  </si>
  <si>
    <t>Carolina Zambrano</t>
  </si>
  <si>
    <t>Botines</t>
  </si>
  <si>
    <t>Andrea Mancheno</t>
  </si>
  <si>
    <t>Gissela Osorio</t>
  </si>
  <si>
    <t xml:space="preserve">Tarjeta de Crédito </t>
  </si>
  <si>
    <t>Diana Cueva</t>
  </si>
  <si>
    <t>Gabriela Luna</t>
  </si>
  <si>
    <t>Jenny Duque</t>
  </si>
  <si>
    <t>Patricia Vaca</t>
  </si>
  <si>
    <t>Katy Orbe</t>
  </si>
  <si>
    <t>Sofia Ruiz</t>
  </si>
  <si>
    <t>Katia Sandoval</t>
  </si>
  <si>
    <t>Carolina Olmedo</t>
  </si>
  <si>
    <t>Kenia Arredondo</t>
  </si>
  <si>
    <t>Janeth Mendoza</t>
  </si>
  <si>
    <t>Anabel Zambrano</t>
  </si>
  <si>
    <t>Cecilia Saenz</t>
  </si>
  <si>
    <t>Fernanda Gonzales</t>
  </si>
  <si>
    <t>Silvia Ruiz</t>
  </si>
  <si>
    <t>Vanessa Velasco</t>
  </si>
  <si>
    <t>Sofia Espinoza</t>
  </si>
  <si>
    <t>Valeria Aguirre</t>
  </si>
  <si>
    <t>Fernanda Aguilar</t>
  </si>
  <si>
    <t>Andrea Maldonado</t>
  </si>
  <si>
    <t>Vanessa Lopez</t>
  </si>
  <si>
    <t>Jennifer Cadena</t>
  </si>
  <si>
    <t>cartera</t>
  </si>
  <si>
    <t>Liz Delgado</t>
  </si>
  <si>
    <t>Lorena Lomas</t>
  </si>
  <si>
    <t>Mercedez Saenz</t>
  </si>
  <si>
    <t>Andrea Nuques</t>
  </si>
  <si>
    <t>Gabriela Aviles</t>
  </si>
  <si>
    <t>Macarena Jarrin</t>
  </si>
  <si>
    <t>Karen Casco</t>
  </si>
  <si>
    <t>Jennifer Romero</t>
  </si>
  <si>
    <t>Marcelo Burbano</t>
  </si>
  <si>
    <t>Andrea pardo</t>
  </si>
  <si>
    <t>Verónica Carvajal</t>
  </si>
  <si>
    <t>Manicura permanenente</t>
  </si>
  <si>
    <t>Manicura permanenente+ 3 uñas gel</t>
  </si>
  <si>
    <t>Sofia Montalvo</t>
  </si>
  <si>
    <t>Soledad Chocho</t>
  </si>
  <si>
    <t>Ibone Flores</t>
  </si>
  <si>
    <t>Cristina Arauz</t>
  </si>
  <si>
    <t>chompa +anillo</t>
  </si>
  <si>
    <t>Stephanie Cadavid</t>
  </si>
  <si>
    <t>Diana Chicaiza</t>
  </si>
  <si>
    <t>Nadia Davila</t>
  </si>
  <si>
    <t>Cejas</t>
  </si>
  <si>
    <t xml:space="preserve">Doris Almeida </t>
  </si>
  <si>
    <t xml:space="preserve">Gabriela Vaca </t>
  </si>
  <si>
    <t xml:space="preserve">Elvira Sanchez </t>
  </si>
  <si>
    <t xml:space="preserve">Diana Barba </t>
  </si>
  <si>
    <t>Cejas + pestañas punto</t>
  </si>
  <si>
    <t>Katherin Melendez</t>
  </si>
  <si>
    <t>Jemina Mera</t>
  </si>
  <si>
    <t>Tarjeta de crédito</t>
  </si>
  <si>
    <t>Cinthya Guerra</t>
  </si>
  <si>
    <t>Daniela Quezada</t>
  </si>
  <si>
    <t>Reparación de uña</t>
  </si>
  <si>
    <t>Pilar Serrano</t>
  </si>
  <si>
    <t>Leticia Sanchez</t>
  </si>
  <si>
    <t>Nikol Posligua</t>
  </si>
  <si>
    <t>Elena Barros</t>
  </si>
  <si>
    <t>Andrea Carrillo</t>
  </si>
  <si>
    <t>Sandra Poma</t>
  </si>
  <si>
    <t>Andrea Gordon</t>
  </si>
  <si>
    <t>Margarita Corrales</t>
  </si>
  <si>
    <t>Daniela Novoa</t>
  </si>
  <si>
    <t>Arreglo de 2 uñas</t>
  </si>
  <si>
    <t>Mishel Miranda</t>
  </si>
  <si>
    <t>Diana Proaño</t>
  </si>
  <si>
    <t>sandalias</t>
  </si>
  <si>
    <t>María Soledad Landázuri</t>
  </si>
  <si>
    <t>Erika Cueva</t>
  </si>
  <si>
    <t>Monica Vivanco</t>
  </si>
  <si>
    <t>Stefania Narvaez</t>
  </si>
  <si>
    <t>lifting +crystal priem</t>
  </si>
  <si>
    <t>Sandra Acosta</t>
  </si>
  <si>
    <t>Kiara  Racines</t>
  </si>
  <si>
    <t>Gabriela Castellanos</t>
  </si>
  <si>
    <t>Melisa Tapia</t>
  </si>
  <si>
    <t>Solange Sosa</t>
  </si>
  <si>
    <t>Retiro + tradicional</t>
  </si>
  <si>
    <t>Edwin Benitez</t>
  </si>
  <si>
    <t>Christian Samaniego</t>
  </si>
  <si>
    <t>Bozo</t>
  </si>
  <si>
    <t>Daniela Rivera</t>
  </si>
  <si>
    <t>Paola Bravo</t>
  </si>
  <si>
    <t>Sonia Ortiz</t>
  </si>
  <si>
    <t>Bethzabe Andrade</t>
  </si>
  <si>
    <t>Ana Navarrete</t>
  </si>
  <si>
    <t>Charito Cobo</t>
  </si>
  <si>
    <t>Stefanie Guerron</t>
  </si>
  <si>
    <t>Virginia Cevallos</t>
  </si>
  <si>
    <t>Carolina Ayala</t>
  </si>
  <si>
    <t>Fabiola</t>
  </si>
  <si>
    <t>Evelyn Garcia</t>
  </si>
  <si>
    <t>buldigel</t>
  </si>
  <si>
    <t>Victoria Roman</t>
  </si>
  <si>
    <t>Erika Encarnacion</t>
  </si>
  <si>
    <t>Estefania Herrera</t>
  </si>
  <si>
    <t>buld gel</t>
  </si>
  <si>
    <t>Jessica Bilbao</t>
  </si>
  <si>
    <t>Geovanna Jimenez</t>
  </si>
  <si>
    <t>Andrea Echeverria</t>
  </si>
  <si>
    <t>arreglo uña</t>
  </si>
  <si>
    <t>3 velas</t>
  </si>
  <si>
    <t>Abigail Herdoiza</t>
  </si>
  <si>
    <t>bulder gel</t>
  </si>
  <si>
    <t>Mayra Chicango</t>
  </si>
  <si>
    <t>Franzua Arteaga</t>
  </si>
  <si>
    <t>Esperanza Armijos</t>
  </si>
  <si>
    <t>María Belén Perez Ramón</t>
  </si>
  <si>
    <t>De Una</t>
  </si>
  <si>
    <t>Janeth Barrionuevo</t>
  </si>
  <si>
    <t>Lifting</t>
  </si>
  <si>
    <t>Valentina Montealegre</t>
  </si>
  <si>
    <t>Retiro</t>
  </si>
  <si>
    <t>Carolina Vallejo</t>
  </si>
  <si>
    <t>Natalia Bonifaz</t>
  </si>
  <si>
    <t>Karla Rivas</t>
  </si>
  <si>
    <t>Joselyn Rivas</t>
  </si>
  <si>
    <t>Erika Merizalde</t>
  </si>
  <si>
    <t>Cristina Espin</t>
  </si>
  <si>
    <t>de una</t>
  </si>
  <si>
    <t>María Fernanda Reyes</t>
  </si>
  <si>
    <t>Gabriela Paredes</t>
  </si>
  <si>
    <t>Mayte Falconi</t>
  </si>
  <si>
    <t>Camile Nuñez</t>
  </si>
  <si>
    <t>Fanny Mencias</t>
  </si>
  <si>
    <t>Nathali Cabrera</t>
  </si>
  <si>
    <t>Carla Sandoval</t>
  </si>
  <si>
    <t>Paola Valencia</t>
  </si>
  <si>
    <t>Diana Burbano</t>
  </si>
  <si>
    <t>Linda Galis</t>
  </si>
  <si>
    <t>Sofía Armijos</t>
  </si>
  <si>
    <t>Lucia Auz</t>
  </si>
  <si>
    <t>Mary</t>
  </si>
  <si>
    <t>Pulina Ferri</t>
  </si>
  <si>
    <t>Carolina Mena</t>
  </si>
  <si>
    <t>Carmen Lugo</t>
  </si>
  <si>
    <t>Erika Povedo</t>
  </si>
  <si>
    <t>Salome Campaña</t>
  </si>
  <si>
    <t>Depliación de cejas + henna</t>
  </si>
  <si>
    <t>Maritza Izurieta</t>
  </si>
  <si>
    <t>Liz Benavidez</t>
  </si>
  <si>
    <t>mary</t>
  </si>
  <si>
    <t>Marco Cabezas</t>
  </si>
  <si>
    <t>Melami Martinez</t>
  </si>
  <si>
    <t>Amelia Merino</t>
  </si>
  <si>
    <t>depilación de cejas con hilo</t>
  </si>
  <si>
    <t>Sonia Morales</t>
  </si>
  <si>
    <t>Mishell Sarmiento</t>
  </si>
  <si>
    <t>Mauricio Barragan</t>
  </si>
  <si>
    <t>epilacion cejas</t>
  </si>
  <si>
    <t>Julia Chontera</t>
  </si>
  <si>
    <t>Lieselotte Hassler</t>
  </si>
  <si>
    <t>Cielo Naranjo</t>
  </si>
  <si>
    <t>Priscila Merino</t>
  </si>
  <si>
    <t>Aisha Pesantes</t>
  </si>
  <si>
    <t>Alexandra Abadiano</t>
  </si>
  <si>
    <t>Adriana Yugsi</t>
  </si>
  <si>
    <t>Susana Suarez</t>
  </si>
  <si>
    <t>extensión de uña poligel</t>
  </si>
  <si>
    <t>Gabriela Añazco</t>
  </si>
  <si>
    <t>Carolina Cifuentes</t>
  </si>
  <si>
    <t>depilación de cejas con cera</t>
  </si>
  <si>
    <t>Lorena Moncayo</t>
  </si>
  <si>
    <t>lifting de pestañas+ lifting de cejas con henna</t>
  </si>
  <si>
    <t>Valeria Villota</t>
  </si>
  <si>
    <t>Estela Vargas</t>
  </si>
  <si>
    <t>Lilian Cruz</t>
  </si>
  <si>
    <t>Santiago Galindo</t>
  </si>
  <si>
    <t>María José Cruz</t>
  </si>
  <si>
    <t>Melany Sinisterra</t>
  </si>
  <si>
    <t>Mónica Hernández</t>
  </si>
  <si>
    <t>Javier de Luz</t>
  </si>
  <si>
    <t>Isabella Mesena</t>
  </si>
  <si>
    <t>CARTERA GUESS</t>
  </si>
  <si>
    <t>Valentina Charpentier</t>
  </si>
  <si>
    <t>Bethy Montero</t>
  </si>
  <si>
    <t>Isabella Pinargote</t>
  </si>
  <si>
    <t>Aceite para crecer y alargar sus pestañas</t>
  </si>
  <si>
    <t>extencion 2 uñas +ojo de gato</t>
  </si>
  <si>
    <t>Fanny Palma</t>
  </si>
  <si>
    <t>Elvia Cabrera</t>
  </si>
  <si>
    <t>Gabriela Cuasapaz</t>
  </si>
  <si>
    <t>Erika Poveda</t>
  </si>
  <si>
    <t>Amanda Palacios</t>
  </si>
  <si>
    <t>Mishell Buñay</t>
  </si>
  <si>
    <t>lifting de pestañas</t>
  </si>
  <si>
    <t>Milena Cecilia Mideros Benavides</t>
  </si>
  <si>
    <t>Rafael Calispa</t>
  </si>
  <si>
    <t>Milton Aguas Flores</t>
  </si>
  <si>
    <t>Karen Quiroz</t>
  </si>
  <si>
    <t>Gabriela  Castellanos</t>
  </si>
  <si>
    <t>Alba Acuña</t>
  </si>
  <si>
    <t>Paulina Espin</t>
  </si>
  <si>
    <t>Tatiana Andrea Stradaioli</t>
  </si>
  <si>
    <t>Andres Sanchez</t>
  </si>
  <si>
    <t>Valentina Altamirano</t>
  </si>
  <si>
    <t>Polo Simisterra</t>
  </si>
  <si>
    <t>Carla Suasnabas</t>
  </si>
  <si>
    <t>María Rodriguez</t>
  </si>
  <si>
    <t>2.50</t>
  </si>
  <si>
    <t>Mabelin Gissela Gudiño Berrones</t>
  </si>
  <si>
    <t>Soft gel + piedras</t>
  </si>
  <si>
    <t>Laura Pazmiño</t>
  </si>
  <si>
    <t>Edith Montaluisa</t>
  </si>
  <si>
    <t>2 velas pequeñas</t>
  </si>
  <si>
    <t>Paul Cherres</t>
  </si>
  <si>
    <t>Ana Sanchez</t>
  </si>
  <si>
    <t>Daniela Guerrero</t>
  </si>
  <si>
    <t>Builder gel</t>
  </si>
  <si>
    <t xml:space="preserve">Josselyn rivera </t>
  </si>
  <si>
    <t>Sharon Ayala</t>
  </si>
  <si>
    <t>Tania Chiriboga</t>
  </si>
  <si>
    <t>Alegria Baez</t>
  </si>
  <si>
    <t>Lucila Malataxi</t>
  </si>
  <si>
    <t>Vanessa Alejandra Silva</t>
  </si>
  <si>
    <t>Wagner Oña</t>
  </si>
  <si>
    <t>Lucía Quiroz</t>
  </si>
  <si>
    <t>Manicura semipermanente + ojo de gato</t>
  </si>
  <si>
    <t>Depilación + henna+ bigote</t>
  </si>
  <si>
    <t>Verónica Bolaños</t>
  </si>
  <si>
    <t>Ariana Salazar</t>
  </si>
  <si>
    <t xml:space="preserve"> Betty Vergara</t>
  </si>
  <si>
    <t>Isabella Llerena</t>
  </si>
  <si>
    <t>Pula Reyes</t>
  </si>
  <si>
    <t>Nubia Guamanzara</t>
  </si>
  <si>
    <t>Carmen Ordoñez</t>
  </si>
  <si>
    <t>Depilación de axilas y medio brazo</t>
  </si>
  <si>
    <t>Raul Caicedo</t>
  </si>
  <si>
    <t>Ruber</t>
  </si>
  <si>
    <t>Andrea Cajas</t>
  </si>
  <si>
    <t>Orsolya Nagy</t>
  </si>
  <si>
    <t>Depilación + henna</t>
  </si>
  <si>
    <t>Silvia Iturralde</t>
  </si>
  <si>
    <t>Depilaciónde cejas, bigote, media pierna, laminado de cejas</t>
  </si>
  <si>
    <t>Arianna Ortiz</t>
  </si>
  <si>
    <t>Nombre</t>
  </si>
  <si>
    <t>Cédula</t>
  </si>
  <si>
    <t>angelita.silviaro@gmail.com</t>
  </si>
  <si>
    <t>nyleveagb@yahoo.es</t>
  </si>
  <si>
    <t>cruzap.micaela@gmail.com</t>
  </si>
  <si>
    <t>mgrea96@gmail.com</t>
  </si>
  <si>
    <t>jan.ce46@hotmail.com</t>
  </si>
  <si>
    <t>uvcalahorrano@hotmail.com</t>
  </si>
  <si>
    <t>maverom_25@hotmail.com</t>
  </si>
  <si>
    <t>ximene.orbe@hotmail.es</t>
  </si>
  <si>
    <t>dieli1788@gmail.com</t>
  </si>
  <si>
    <t>sofia.gavilanes27@gmail.com</t>
  </si>
  <si>
    <t>werazo29@hotmail.com</t>
  </si>
  <si>
    <t>garnicamabe@gmail.com</t>
  </si>
  <si>
    <t>yaguagallo@gmail.com</t>
  </si>
  <si>
    <t>alexandra.valladares@gmail.com</t>
  </si>
  <si>
    <t>snaranjo@hotmail.com</t>
  </si>
  <si>
    <t>muchelle-puga@hotmail.com</t>
  </si>
  <si>
    <t>vivi.narvaez8@gmail.com</t>
  </si>
  <si>
    <t>mickyponce18@hotmail.com</t>
  </si>
  <si>
    <t>luishsandoval88@gmail.com</t>
  </si>
  <si>
    <t>tatiana.meza1973@gmail.com</t>
  </si>
  <si>
    <t>fpacota18@hotmail.com</t>
  </si>
  <si>
    <t>adriana.yugsi@gmail.com</t>
  </si>
  <si>
    <t>crispe@gmail.com</t>
  </si>
  <si>
    <t>facturas@hedge.com.ec</t>
  </si>
  <si>
    <t>jessmanzano1985@hotmail.com</t>
  </si>
  <si>
    <t xml:space="preserve">adonaypallo@hotmail.com </t>
  </si>
  <si>
    <t>tgaibor1@hotmail.com</t>
  </si>
  <si>
    <t>giss-1016@hotmail.com</t>
  </si>
  <si>
    <t>glunanarvaez@gmail.com</t>
  </si>
  <si>
    <t>nchllOrbe@gmail.com</t>
  </si>
  <si>
    <t>sofiaruizg21@gmail.com</t>
  </si>
  <si>
    <t>adrian_ibarra4@yahoo.com</t>
  </si>
  <si>
    <t>monihervi@gmail.com</t>
  </si>
  <si>
    <t>car-ale-br@hotmail.com</t>
  </si>
  <si>
    <t>andreae.pardoch@gmail.com</t>
  </si>
  <si>
    <t>dra.keniaarredondo@gmail.com</t>
  </si>
  <si>
    <t>anabelzambrano91@gmail.com</t>
  </si>
  <si>
    <t>valeriaguirre2000@hotmail.com</t>
  </si>
  <si>
    <t>paola1985.amv@gmail.com</t>
  </si>
  <si>
    <t>vanecls2810@gmail.com</t>
  </si>
  <si>
    <t>lolo20251980@otloor.com</t>
  </si>
  <si>
    <t>michelassol@hotmail.com</t>
  </si>
  <si>
    <t>andreanuques@hotmail.com</t>
  </si>
  <si>
    <t>abg.mendoza@gmail.com</t>
  </si>
  <si>
    <t>iboneflores@hotmail.com</t>
  </si>
  <si>
    <t>criss_ldu@hotmail.com</t>
  </si>
  <si>
    <t>stefimil89@hotmail.com</t>
  </si>
  <si>
    <t>emilia251997@hotmail.com</t>
  </si>
  <si>
    <t>maga558@hotmail.com</t>
  </si>
  <si>
    <t>alexandradelrociosanchez@gmail.com</t>
  </si>
  <si>
    <t>cinthyaguerragallegos@hotmail.com</t>
  </si>
  <si>
    <t>danimure22@gmail.com</t>
  </si>
  <si>
    <t>pilarserranos@yahoo.com</t>
  </si>
  <si>
    <t>helragba@yahoo.com</t>
  </si>
  <si>
    <t>andyrenacaba@hotmail.com</t>
  </si>
  <si>
    <t>sandypoma777@hotmail.com</t>
  </si>
  <si>
    <t>gordonc.andrea@gmail.com</t>
  </si>
  <si>
    <t>margarita.corrales@hotmail.com</t>
  </si>
  <si>
    <t>gatteins007@hotmail.com</t>
  </si>
  <si>
    <t>sole_lm@hotmail.com</t>
  </si>
  <si>
    <t>monivivancovi@gmail.com</t>
  </si>
  <si>
    <t>estefynarva_@hotmail.com</t>
  </si>
  <si>
    <t>sacosta.flor@gmail.com</t>
  </si>
  <si>
    <t>marita.castillo@gmail.com</t>
  </si>
  <si>
    <t>kikibelen@gmail.com</t>
  </si>
  <si>
    <t>kro16-87@hotmail.com</t>
  </si>
  <si>
    <t>mell0630@hotmail.com</t>
  </si>
  <si>
    <t>melaniejajame@gmail.com</t>
  </si>
  <si>
    <t>verolunita@yahoo.com</t>
  </si>
  <si>
    <t>patty.ale88@hotmail.com</t>
  </si>
  <si>
    <t>egbduque@gmail.com</t>
  </si>
  <si>
    <t>danialejandra998@gmail.com</t>
  </si>
  <si>
    <t>aanavarretey@hotmail.com</t>
  </si>
  <si>
    <t>charitocobo.@gmail.com</t>
  </si>
  <si>
    <t>stefanyfer90@gmail.com</t>
  </si>
  <si>
    <t>vir_74@hotmail.com</t>
  </si>
  <si>
    <t>majoroseroe1@gmail.com</t>
  </si>
  <si>
    <t>vickyroman_7@hotmail.com</t>
  </si>
  <si>
    <t>stephanie_herrera_@hotmail.com</t>
  </si>
  <si>
    <t>mppa7mino@gmail.com</t>
  </si>
  <si>
    <t>abigailmaldonado@hotmail.com</t>
  </si>
  <si>
    <t>jessbilbao94@gmail.com</t>
  </si>
  <si>
    <t>mlojanov@gmail.com</t>
  </si>
  <si>
    <t>jimenezgeovanna@hotmail.com</t>
  </si>
  <si>
    <t>abbiejeje@gmail.com</t>
  </si>
  <si>
    <t>karen777eliza@hotmail.com</t>
  </si>
  <si>
    <t>mayita98@hotmail.es</t>
  </si>
  <si>
    <t>franchi694@gmail.com</t>
  </si>
  <si>
    <t>paureyes0306@gmail.com</t>
  </si>
  <si>
    <t>mayicienta@hotmail.com</t>
  </si>
  <si>
    <t>tipansanchez.pn@gmail.com</t>
  </si>
  <si>
    <t>carolinavallejo.ac@gmail.com</t>
  </si>
  <si>
    <t>nbonifazm@outcook.com</t>
  </si>
  <si>
    <t>karla.2012006@gmail.com</t>
  </si>
  <si>
    <t>jourivas01oulook.es</t>
  </si>
  <si>
    <t>ejimerizalde@hotmail.com</t>
  </si>
  <si>
    <t>crissespin@gmail.com</t>
  </si>
  <si>
    <t>mafer-reyes@hotmail.ec</t>
  </si>
  <si>
    <t>soniaortiz_lz@yahoo.com</t>
  </si>
  <si>
    <t>angeles.monar@yahoo.com</t>
  </si>
  <si>
    <t>ffany_mencias@hotmail.com</t>
  </si>
  <si>
    <t>nathalicabrera@gmail.com</t>
  </si>
  <si>
    <t>isabellallerena151@gmail.com</t>
  </si>
  <si>
    <t>carla.sandoval92@gmail.com</t>
  </si>
  <si>
    <t>paola_valencia19@hotmail.com</t>
  </si>
  <si>
    <t>dianakburbano@outlook.com</t>
  </si>
  <si>
    <t>verjo79@hotmail.com</t>
  </si>
  <si>
    <t>lindagrp@hotmail.com</t>
  </si>
  <si>
    <t>cpoveda77@gmail.com</t>
  </si>
  <si>
    <t>ionbandh@gmail.com</t>
  </si>
  <si>
    <t>jrv_1618@hotmail.com</t>
  </si>
  <si>
    <t>leticiasanchezv@yahoo.com</t>
  </si>
  <si>
    <t>paulinaferri@gmail.com</t>
  </si>
  <si>
    <t>carolinamena85@hotmail.com</t>
  </si>
  <si>
    <t>mello6302@hotmail.com</t>
  </si>
  <si>
    <t>carlospovedam@yahoo.com</t>
  </si>
  <si>
    <t>stefi.espinosa@hotmail.com</t>
  </si>
  <si>
    <t>katemel_1989@hotmail.es</t>
  </si>
  <si>
    <t>salomesantin@gmail.com</t>
  </si>
  <si>
    <t>monicapizurietav@gmail.com</t>
  </si>
  <si>
    <t>maritza_izurieta@hotmail.com</t>
  </si>
  <si>
    <t>madrastruchis@gmail.com</t>
  </si>
  <si>
    <t>doris.almeida.o@gmail.com</t>
  </si>
  <si>
    <t>cabezas.marco@hotmail.com</t>
  </si>
  <si>
    <t>tstradaioli@gmail.com</t>
  </si>
  <si>
    <t>soniaelax@hotmail.com</t>
  </si>
  <si>
    <t>kathykmsl@gmail.com</t>
  </si>
  <si>
    <t>squevedo94@outlook.es</t>
  </si>
  <si>
    <t>jd79ehg@hotmail.com</t>
  </si>
  <si>
    <t>lieselottehassler@hotmail.com</t>
  </si>
  <si>
    <t>priscilamerino84@hotmail.com</t>
  </si>
  <si>
    <t>alexandra.abadiano@gmail.com</t>
  </si>
  <si>
    <t>susanasuarez@hotmail.com</t>
  </si>
  <si>
    <t>gagaad@gmail.com</t>
  </si>
  <si>
    <t>cd_cifuentes3@hotmail.com</t>
  </si>
  <si>
    <t>loremoncayo08@gmail.com</t>
  </si>
  <si>
    <t>valeria_guillota97@hotmail.com</t>
  </si>
  <si>
    <t>estelavargasi52@gmail.com</t>
  </si>
  <si>
    <t>lilytecruz@gmail.com</t>
  </si>
  <si>
    <t>sp.galindoh@gmail.com</t>
  </si>
  <si>
    <t>anitamarizmusicz@hotmail.com</t>
  </si>
  <si>
    <t>majitocruzt@gmail.com</t>
  </si>
  <si>
    <t>gallardo_moni@yahoo.es</t>
  </si>
  <si>
    <t>monigoteja123@gmail.com</t>
  </si>
  <si>
    <t>aishapesantez@gmail.com</t>
  </si>
  <si>
    <t>luzgtapia@gmail.com</t>
  </si>
  <si>
    <t>valentinacharpentier33@gmail.com</t>
  </si>
  <si>
    <t>sandosmonterobetty@gmail.com</t>
  </si>
  <si>
    <t>edithmontaluisa@gemail.com</t>
  </si>
  <si>
    <t>huasiquindi@hotmail.com</t>
  </si>
  <si>
    <t>ge.nozz@hotmail.com</t>
  </si>
  <si>
    <t>vicky_label2000@hotmail.com</t>
  </si>
  <si>
    <t>ericka-poveda.lugo@hotmail.com</t>
  </si>
  <si>
    <t>amanda.palacios16@gmail.com</t>
  </si>
  <si>
    <t>dianaecn@gmail.com</t>
  </si>
  <si>
    <t>kiakely@hotmail.com</t>
  </si>
  <si>
    <t>majovasquez@gmail.com</t>
  </si>
  <si>
    <t>karjacquel696@gmail.com</t>
  </si>
  <si>
    <t>keqsmuv@hotmail.com</t>
  </si>
  <si>
    <t>g.castellanos92@gmail.com</t>
  </si>
  <si>
    <t>pauburbanoa@gmail.com</t>
  </si>
  <si>
    <t>albadelpilar@gmail.com</t>
  </si>
  <si>
    <t>latama2001@yohoo.es</t>
  </si>
  <si>
    <t>paulyespin@hotmail.com</t>
  </si>
  <si>
    <t>andressanchez1923@gmail.com</t>
  </si>
  <si>
    <t>valentinaiturralde26@gmail.com</t>
  </si>
  <si>
    <t>silviaiturralde1977@gmail .com</t>
  </si>
  <si>
    <t>leo.Asorente@hotmail.com</t>
  </si>
  <si>
    <t>mabelgis065@gmail.com</t>
  </si>
  <si>
    <t>ic5988883@gmail.com</t>
  </si>
  <si>
    <t>laupada9@hotmail.com</t>
  </si>
  <si>
    <t>paul.cherres@gmail.com</t>
  </si>
  <si>
    <t>molinamaru@hotmail.com</t>
  </si>
  <si>
    <t>anar.sanchez@hotmail.com</t>
  </si>
  <si>
    <t>daniguerreiosanchez@hotmail.es</t>
  </si>
  <si>
    <t>lesjacomemora@gmail.com</t>
  </si>
  <si>
    <t>lesslielopez2304@gmail.com</t>
  </si>
  <si>
    <t>josserivera2408@gmail.com</t>
  </si>
  <si>
    <t>sharon.ayala.98@outlook.com</t>
  </si>
  <si>
    <t>milton.aguas@gmai.com</t>
  </si>
  <si>
    <t>tania.chiribogah@gmail.com</t>
  </si>
  <si>
    <t>andrea_ccajas@yahoo.com</t>
  </si>
  <si>
    <t>nut.alegriabaez@gmail.com</t>
  </si>
  <si>
    <t>lcda.lucy@hotmail.com</t>
  </si>
  <si>
    <t>masolrl@gmail.com</t>
  </si>
  <si>
    <t>vanessa_silvaespin@hotmail.com</t>
  </si>
  <si>
    <t>gcuerito@yahoo.com</t>
  </si>
  <si>
    <t>arisalazara22@gmail.com</t>
  </si>
  <si>
    <t>majoroseroe1_@gmail.com</t>
  </si>
  <si>
    <t>betty.vergaram@gmail.com</t>
  </si>
  <si>
    <t>archiguamanzara@gmail.com</t>
  </si>
  <si>
    <t>raul.proton@hotmail.com</t>
  </si>
  <si>
    <t>lucia_qc@hotmail.com</t>
  </si>
  <si>
    <t>arianna101899@outlok.ec</t>
  </si>
  <si>
    <t>Manicura</t>
  </si>
  <si>
    <t>Depilación</t>
  </si>
  <si>
    <t>Retención</t>
  </si>
  <si>
    <t>Base</t>
  </si>
  <si>
    <t>Impuesto</t>
  </si>
  <si>
    <t>%</t>
  </si>
  <si>
    <t>Valor</t>
  </si>
  <si>
    <t xml:space="preserve">001-019-013304776 </t>
  </si>
  <si>
    <t>IVA</t>
  </si>
  <si>
    <t>Renta</t>
  </si>
  <si>
    <t>001-020-006791477</t>
  </si>
  <si>
    <t xml:space="preserve">001-019-013340814 </t>
  </si>
  <si>
    <t xml:space="preserve">001-020-006849233 </t>
  </si>
  <si>
    <t xml:space="preserve">001-019-013366569 </t>
  </si>
  <si>
    <t xml:space="preserve">001-014-015346175 </t>
  </si>
  <si>
    <t xml:space="preserve">001-014-015379602 </t>
  </si>
  <si>
    <t xml:space="preserve">001-020-006866156 </t>
  </si>
  <si>
    <t xml:space="preserve">001-019-013402694 </t>
  </si>
  <si>
    <t>001-020-006895682</t>
  </si>
  <si>
    <t xml:space="preserve">001-014-015415234 </t>
  </si>
  <si>
    <t xml:space="preserve">001-019-013435598 </t>
  </si>
  <si>
    <t xml:space="preserve">001-019-013465285 </t>
  </si>
  <si>
    <t xml:space="preserve">001-020-006912961 </t>
  </si>
  <si>
    <t xml:space="preserve">001-014-015462119 </t>
  </si>
  <si>
    <t>001-019-013531980</t>
  </si>
  <si>
    <t>001-014-015522797</t>
  </si>
  <si>
    <t>001-002-019450981</t>
  </si>
  <si>
    <t>001-019-013566861</t>
  </si>
  <si>
    <t>001-020-006984470</t>
  </si>
  <si>
    <t>001-020-007019537</t>
  </si>
  <si>
    <t>001-019-013593147</t>
  </si>
  <si>
    <t>001-014-015620871</t>
  </si>
  <si>
    <t>001-019-013621129</t>
  </si>
  <si>
    <t>001-020-007028575</t>
  </si>
  <si>
    <t>001-014-000040477</t>
  </si>
  <si>
    <t>001-019-013662712</t>
  </si>
  <si>
    <t>001-020-007069203</t>
  </si>
  <si>
    <t>001-019-013693533</t>
  </si>
  <si>
    <t>001-020-007116389</t>
  </si>
  <si>
    <t>001-019-013723230</t>
  </si>
  <si>
    <t>001-019-013768302</t>
  </si>
  <si>
    <t>001-019-013790787</t>
  </si>
  <si>
    <t>001-020-007157903</t>
  </si>
  <si>
    <t>001-019-013812511</t>
  </si>
  <si>
    <t>001-020-007191968</t>
  </si>
  <si>
    <t>001-020-007214418</t>
  </si>
  <si>
    <t>001-019-013861793</t>
  </si>
  <si>
    <t>001-019-013904205</t>
  </si>
  <si>
    <t>001-020-007234883</t>
  </si>
  <si>
    <t>001-019-013917224</t>
  </si>
  <si>
    <t>001-014-015954530</t>
  </si>
  <si>
    <t>001-014-016091168</t>
  </si>
  <si>
    <t>001-019-016061678</t>
  </si>
  <si>
    <t>001-019-016164982</t>
  </si>
  <si>
    <t>001-014-016206700</t>
  </si>
  <si>
    <t>001-019-013995154</t>
  </si>
  <si>
    <t>001-019-016237029</t>
  </si>
  <si>
    <t>001-020-016238691</t>
  </si>
  <si>
    <t>001-019-016262868</t>
  </si>
  <si>
    <t>001-020-016248678</t>
  </si>
  <si>
    <t>001-019-016291723</t>
  </si>
  <si>
    <t>001-019-016320003</t>
  </si>
  <si>
    <t>001-020-016264316</t>
  </si>
  <si>
    <t>001-019-016348495</t>
  </si>
  <si>
    <t>001-019-016364364</t>
  </si>
  <si>
    <t>Consumidor Final</t>
  </si>
  <si>
    <t>Adriana Zurita</t>
  </si>
  <si>
    <t>Gabriela Reyes</t>
  </si>
  <si>
    <t>Alba Trujillo</t>
  </si>
  <si>
    <t>Ana Lucia Pilataxi</t>
  </si>
  <si>
    <t>Andrea Coloma</t>
  </si>
  <si>
    <t>María José Rosero</t>
  </si>
  <si>
    <t>Luci Soto</t>
  </si>
  <si>
    <t>Verónica Chancusi</t>
  </si>
  <si>
    <t>Samiel Dayana Guerron</t>
  </si>
  <si>
    <t>María Belén Garnica</t>
  </si>
  <si>
    <t>Julissa Zambrano</t>
  </si>
  <si>
    <t>Eliana Mishell Andrade</t>
  </si>
  <si>
    <t>Stephany Tinoco</t>
  </si>
  <si>
    <t>Alisson Alejandro</t>
  </si>
  <si>
    <t>Emilia Imaicela</t>
  </si>
  <si>
    <t>Ojo de gato</t>
  </si>
  <si>
    <t>Romel Wladimir Yanez</t>
  </si>
  <si>
    <t>Rosa Jaramillo</t>
  </si>
  <si>
    <t>Paula Burbano</t>
  </si>
  <si>
    <t>Jonny Daniel Torres</t>
  </si>
  <si>
    <t>Verónica Martínez</t>
  </si>
  <si>
    <t>Fernanda Velasquez</t>
  </si>
  <si>
    <t>Karen Velasquez</t>
  </si>
  <si>
    <t>María Dolores Castillo</t>
  </si>
  <si>
    <t>Valentina Vargas</t>
  </si>
  <si>
    <t>Luz Tapia Serrano</t>
  </si>
  <si>
    <t>María de los Ángeles Monar</t>
  </si>
  <si>
    <t>Stephanie Quevedo</t>
  </si>
  <si>
    <t>Carolina</t>
  </si>
  <si>
    <t>Manicura tradicional + impresión</t>
  </si>
  <si>
    <t>Manicura tradicional+retro</t>
  </si>
  <si>
    <t>Pedicura tradicional y Manicura tradicional</t>
  </si>
  <si>
    <t>Manicura tradicional +deoilacion de cejas</t>
  </si>
  <si>
    <t>Lifting de pestañas+ lifting de cejas+ Manicura tradicional promición</t>
  </si>
  <si>
    <t>Manicura tradicional +depilación de cejas (2)</t>
  </si>
  <si>
    <t>Manicura tradicional +Pedicura tradicional</t>
  </si>
  <si>
    <t>Manicura tradicional + Pedicura tradicional</t>
  </si>
  <si>
    <t>Pedicura tradicional + Manicura tradicional</t>
  </si>
  <si>
    <t>Pedicura tradicional + sandalia</t>
  </si>
  <si>
    <t>Manicura tradicional, Pedicura tradicional</t>
  </si>
  <si>
    <t>Manicura tradicional+Pedicura tradicional</t>
  </si>
  <si>
    <t>Rubber + Pedicura tradicional</t>
  </si>
  <si>
    <t>Manicura semipermanente+Retiro+piedras+ una uña correcciòn</t>
  </si>
  <si>
    <t>Manicura semipermanente+Retiro</t>
  </si>
  <si>
    <t>Pedicura semipermanente + Retiro</t>
  </si>
  <si>
    <t>Manicura tradicional + Retiro</t>
  </si>
  <si>
    <t>Manicura tradicional+ Retiro</t>
  </si>
  <si>
    <t>Retiro semipermanente</t>
  </si>
  <si>
    <t xml:space="preserve">Pedicura tradicional + Retiro semi </t>
  </si>
  <si>
    <t xml:space="preserve">Retiro esmalte </t>
  </si>
  <si>
    <t>Manicura kids</t>
  </si>
  <si>
    <t>Pedicura kids</t>
  </si>
  <si>
    <t>Manicura tradicional + Pedicura semipermanente</t>
  </si>
  <si>
    <t>Manicura tradicional + Pedicura semipermanente+ Manicura semipermanente</t>
  </si>
  <si>
    <t>Pedicura semipermanente + gel de uñas</t>
  </si>
  <si>
    <t>Retiro de Polygel yManicura tradicional</t>
  </si>
  <si>
    <t>Polygel y Retiro</t>
  </si>
  <si>
    <t>Polygel+OJO DE GATO</t>
  </si>
  <si>
    <t>Retiro Acrílico</t>
  </si>
  <si>
    <t xml:space="preserve">Depilación de cejas con cera </t>
  </si>
  <si>
    <t>Depilación de cejas</t>
  </si>
  <si>
    <t>Depilación media pierna y axilas</t>
  </si>
  <si>
    <t>Depilación axila</t>
  </si>
  <si>
    <t>Depilación pierna</t>
  </si>
  <si>
    <t>Depilación facial</t>
  </si>
  <si>
    <t>Depilación  de cejas + henna</t>
  </si>
  <si>
    <t>Depilación henna +lifting pestañas</t>
  </si>
  <si>
    <t>Depilación hilo</t>
  </si>
  <si>
    <t>Depilación de pierna  completa + axila</t>
  </si>
  <si>
    <t>2 Depilación de cejas +2 bigote</t>
  </si>
  <si>
    <t>Agenda</t>
  </si>
  <si>
    <t>Cosmetiquera</t>
  </si>
  <si>
    <t>Limpieza Manicura</t>
  </si>
  <si>
    <t>Manicura Polygel</t>
  </si>
  <si>
    <t>Manicura Polygel + Retiro</t>
  </si>
  <si>
    <t>Limpieza Manicura hombre</t>
  </si>
  <si>
    <t>Manicura Polygel+ Retiro +Pedicura semipermanente</t>
  </si>
  <si>
    <t>Manicura + cejas</t>
  </si>
  <si>
    <t>combo Manicura y Pedicura tradicional</t>
  </si>
  <si>
    <t>Manicura + Pedicura tradicional</t>
  </si>
  <si>
    <t>Manicura Rubber</t>
  </si>
  <si>
    <t>Limpieza Pedicura</t>
  </si>
  <si>
    <t>Manicura tradicional +Pedicura  tradicional</t>
  </si>
  <si>
    <t>Pedicura tradicional + bigote</t>
  </si>
  <si>
    <t>Manicura tradicional+ semipermanente+ Pedicura+Retiro</t>
  </si>
  <si>
    <t>Manicura tradicional +Pedicura+sandalia</t>
  </si>
  <si>
    <t>Manicura + Pedicura + sandalias</t>
  </si>
  <si>
    <t xml:space="preserve"> bullgel +Pedicura tradicional</t>
  </si>
  <si>
    <t>Limpieza uñas</t>
  </si>
  <si>
    <t>Retiro + Limpieza</t>
  </si>
  <si>
    <t xml:space="preserve">Limpieza </t>
  </si>
  <si>
    <t>Comisión zapatos convers $45,00 + $1 por Limpieza de bordes a Carito Zambrano</t>
  </si>
  <si>
    <t>Retiro + Pedicura tradicional + Limpieza</t>
  </si>
  <si>
    <t>Limpieza</t>
  </si>
  <si>
    <t>Manicura Limpieza</t>
  </si>
  <si>
    <t>Limpieza caballero</t>
  </si>
  <si>
    <t>Pedicura sin Limpieza</t>
  </si>
  <si>
    <t>Limpieza y Manicura semipermanente</t>
  </si>
  <si>
    <t>Manicura Limpieza+ Pedicura kids</t>
  </si>
  <si>
    <t>Limpieza + Depilación de cejas</t>
  </si>
  <si>
    <t>Pedicura Limpieza+lifting de pestañas+máscara de pestañas</t>
  </si>
  <si>
    <t>Pedicura tradicional Limpieza</t>
  </si>
  <si>
    <t>Pedicura Limpieza</t>
  </si>
  <si>
    <t>Manicura semipermanente  + Retiro</t>
  </si>
  <si>
    <t>Manicura tradicional +Manicura semipermanente</t>
  </si>
  <si>
    <t>Manicura semipermanente + Retiro</t>
  </si>
  <si>
    <t xml:space="preserve">Manicura semipermanente   </t>
  </si>
  <si>
    <t xml:space="preserve">Manicura semipermanente </t>
  </si>
  <si>
    <t>Manicura semipermanente + Retiro+adicional</t>
  </si>
  <si>
    <t>Manicura semipermanente + Pedicura tradicional</t>
  </si>
  <si>
    <t xml:space="preserve">Manicura semipermanente +Retiro </t>
  </si>
  <si>
    <t>Manicura semipermanente + Retiro +Manicura semipermanente</t>
  </si>
  <si>
    <t>Manicura semipermanente +Retiro + gato</t>
  </si>
  <si>
    <t xml:space="preserve">Manicura semipermanente  </t>
  </si>
  <si>
    <t>Manicura semipermanente + Retiro +Pedicura + Retiro</t>
  </si>
  <si>
    <t>Manicura semipermanente +Retiro Acrílico</t>
  </si>
  <si>
    <t>Manicura semipermanentes</t>
  </si>
  <si>
    <t xml:space="preserve">Retiro de semipermanente </t>
  </si>
  <si>
    <t xml:space="preserve">Retiro de Polygel+Manicura semipermanente. </t>
  </si>
  <si>
    <t xml:space="preserve"> Manicura semipermanente</t>
  </si>
  <si>
    <t>Manicura semipermanente +Pedicura tradicional</t>
  </si>
  <si>
    <t xml:space="preserve">Pedicura semipermanente </t>
  </si>
  <si>
    <t>Manicura semipermanente + piedras</t>
  </si>
  <si>
    <t>Pedicura Manicura semipermanente</t>
  </si>
  <si>
    <t>Manicura semipermanente+ cejas</t>
  </si>
  <si>
    <t>Manicura semipermanente + blooming</t>
  </si>
  <si>
    <t>Pedicura tradicional y Manicura semipermanente</t>
  </si>
  <si>
    <t>Manicura semipermanente+ojo de gato</t>
  </si>
  <si>
    <t>Pedicura tradicional +Manicura semipermanente</t>
  </si>
  <si>
    <t>Manicura semipermanente + Manicura tradicional</t>
  </si>
  <si>
    <t>Manicura semipermanente +cejas</t>
  </si>
  <si>
    <t>Pedicura semipermanente+ Manicura semipermanente</t>
  </si>
  <si>
    <t>Manicura semipermanente+ ojo de gato</t>
  </si>
  <si>
    <t>2 semipermanente 2 ojo de gato 2 uñas</t>
  </si>
  <si>
    <t>Manicura  semipermanente</t>
  </si>
  <si>
    <t>Manicura semipermanente +Pedicura semipermanente</t>
  </si>
  <si>
    <t>Manicura semipermanente + Pedicura semipermanente</t>
  </si>
  <si>
    <t>Manicura semipermanente+Retiro+Pedicura semipermanente+ojo de gato</t>
  </si>
  <si>
    <t>Manicura  semipermanente +Pedicura semipermanente</t>
  </si>
  <si>
    <t>Limpieza hombre</t>
  </si>
  <si>
    <t>Manicura semipermanente +Retiro+Efecto espejo</t>
  </si>
  <si>
    <t>Retiro + Efectos</t>
  </si>
  <si>
    <t>Acrílico + Efecto</t>
  </si>
  <si>
    <t>Efecto</t>
  </si>
  <si>
    <t>Manicura Polygel + Efecto</t>
  </si>
  <si>
    <t>Manicura semipermanente +Retiro +Efecto</t>
  </si>
  <si>
    <t>Manicura semipermanente + Efecto aurora</t>
  </si>
  <si>
    <t xml:space="preserve">Pedicura semipermanente + Efecto aurora </t>
  </si>
  <si>
    <t>Manicura semipermanente + Efecto</t>
  </si>
  <si>
    <t>Retiro +Manicura semipermanente +Efecto +Retiro +Pedicura semipermanente</t>
  </si>
  <si>
    <t>Manicura +relleno+Efecto</t>
  </si>
  <si>
    <t>Manicura semipermanente +Efecto ojo de gat0</t>
  </si>
  <si>
    <t>Manicura semipermanente+ 2 Efectos</t>
  </si>
  <si>
    <t>Manicura permanenente + lifting de pestañas Efecto rimel</t>
  </si>
  <si>
    <t>Polygel+Efecto+lifting +balines</t>
  </si>
  <si>
    <t>Manicura semipermanente + Efectos</t>
  </si>
  <si>
    <t>Manicura semipermanente + ojo de gato + 1 Efecto espejo</t>
  </si>
  <si>
    <t>Pedicura tradicional+ Manicura semipermanente+Efectos+ zapatillas</t>
  </si>
  <si>
    <t>Pedicura  tradicional +Manicura tradicional</t>
  </si>
  <si>
    <t>Manicura de hombre</t>
  </si>
  <si>
    <t>Manicura tradicional + impresiones</t>
  </si>
  <si>
    <t>Limpieza de hombre</t>
  </si>
  <si>
    <t>Arreglo de uña</t>
  </si>
  <si>
    <t>Manicura semipermanente + Limpieza</t>
  </si>
  <si>
    <t>Manicura semipermanente + retito</t>
  </si>
  <si>
    <t>Relleno Polygel</t>
  </si>
  <si>
    <t>Manicura Tradicional + Retiro</t>
  </si>
  <si>
    <t>Diseño de cejas</t>
  </si>
  <si>
    <t>Manicura semipermanente +Retiro</t>
  </si>
  <si>
    <t>Sof gel</t>
  </si>
  <si>
    <t xml:space="preserve">Retiro Sof gel </t>
  </si>
  <si>
    <t>Sof gel + cejas con henna</t>
  </si>
  <si>
    <t xml:space="preserve"> Sof gel + ojo de gato</t>
  </si>
  <si>
    <t>Manicura semipermante + piedreria</t>
  </si>
  <si>
    <t>Retiro + manicura tradicional</t>
  </si>
  <si>
    <t>Manicura semipermante + Retiro</t>
  </si>
  <si>
    <t>Manicura semipermanente+ 2 Retiros</t>
  </si>
  <si>
    <t xml:space="preserve">Manicura Tradicional </t>
  </si>
  <si>
    <t>Cantidad</t>
  </si>
  <si>
    <t xml:space="preserve">Impresiones </t>
  </si>
  <si>
    <t>Uñas</t>
  </si>
  <si>
    <t>Retiro+ depilación de Bozo + tradicional</t>
  </si>
  <si>
    <t>Cejas y Bozo</t>
  </si>
  <si>
    <t>Cejas+Bozo</t>
  </si>
  <si>
    <t>Depilación de Bozo</t>
  </si>
  <si>
    <t>Depilación Bozo</t>
  </si>
  <si>
    <t>Depilación de cejas +Depilación Bozo</t>
  </si>
  <si>
    <t>Pedicura tradicional +Depilación de Bozo menton y cejas</t>
  </si>
  <si>
    <t>Depilación de cejas + Depilación Bozo</t>
  </si>
  <si>
    <t>Bozo+ cejas</t>
  </si>
  <si>
    <t>Pedicura tradicional+ Bozo</t>
  </si>
  <si>
    <t>Depilación+henna+Bozo</t>
  </si>
  <si>
    <t>Depilación de Cejas</t>
  </si>
  <si>
    <t>Depilación cejas</t>
  </si>
  <si>
    <t>Depilación cejas y Bozo</t>
  </si>
  <si>
    <t>Baño de Acrílico + Retiro</t>
  </si>
  <si>
    <t>Velas</t>
  </si>
  <si>
    <t>Manicura semipermanete y Pedicura semipermanente</t>
  </si>
  <si>
    <t>Manicura semipermanente+diseños todas las uñas</t>
  </si>
  <si>
    <t>Manicura semipermanente+Efecto sugar+piedras</t>
  </si>
  <si>
    <t>Manicura semipermanente +ojo de gato</t>
  </si>
  <si>
    <t>Manicura semipermanente + Reparación de uña</t>
  </si>
  <si>
    <t>Reparación de uñas</t>
  </si>
  <si>
    <t>Manicura acrílico</t>
  </si>
  <si>
    <t>Mantenimiento poligel+ojo de gato 4uñas+decoraciòn 2flores y 2lazos</t>
  </si>
  <si>
    <t>Manicura semipermanente +Efecto espejo</t>
  </si>
  <si>
    <t>Nivelación Base Rubber+ Retiro + restauracion de uña</t>
  </si>
  <si>
    <t>Cejas +media pierna+ Bozo +axilas</t>
  </si>
  <si>
    <t>Falda</t>
  </si>
  <si>
    <t>Cejas+ Bozo</t>
  </si>
  <si>
    <t>Reparación de uña + Retiro</t>
  </si>
  <si>
    <t>Manicura semipermanente + 2 Reparaciónes de uñas</t>
  </si>
  <si>
    <t>Reparación de 1 uña</t>
  </si>
  <si>
    <t>Manicura semipermanente+dipping+Reparación de uña</t>
  </si>
  <si>
    <t>Manicura tradicional+Reparación de dos uñas</t>
  </si>
  <si>
    <t>semipermanente+Reparación+ojodegato</t>
  </si>
  <si>
    <t>Reparación de uña + ojo de gato</t>
  </si>
  <si>
    <t>Manicura semipermanente+Reparación+ojo de gato</t>
  </si>
  <si>
    <t>Reparación de 2 uñas</t>
  </si>
  <si>
    <t>Manicura semipermanente + ojo de gato+ Reparación de 1 uña</t>
  </si>
  <si>
    <t>Manicura semipermanente Manicura +chompa +anillo</t>
  </si>
  <si>
    <t>Manicura semipermanente + efect aur</t>
  </si>
  <si>
    <t>Zapatillas</t>
  </si>
  <si>
    <t>Depilación de cejas con cera + vigote+ Manicura semipermanente</t>
  </si>
  <si>
    <t>Dijes</t>
  </si>
  <si>
    <t>Aceite de cutícula</t>
  </si>
  <si>
    <t>Aceite de pestaña</t>
  </si>
  <si>
    <t>Anillos</t>
  </si>
  <si>
    <t>Bolso</t>
  </si>
  <si>
    <t>Manicura semipermanente barrido de Polygel</t>
  </si>
  <si>
    <t>Manicura semipermanente y Retiro semipermanente</t>
  </si>
  <si>
    <t>Pedicura semipermanente + Depilación de Bozo</t>
  </si>
  <si>
    <t>Pedicura  semipermanente+ Retiro</t>
  </si>
  <si>
    <t>Manicura semipermanente+impresiones+ Depilación de cejas</t>
  </si>
  <si>
    <t>Manicura tradicional y Pedicura tradicional</t>
  </si>
  <si>
    <t>Manicura semipermanente y Pedicura semipermanente</t>
  </si>
  <si>
    <t>Manicura semipermanente y Pedicura semipermanente + ojo de gato</t>
  </si>
  <si>
    <t>Manicura semipermanente y Pedicura semipermanente efecto aurora</t>
  </si>
  <si>
    <t>Pedicura tradicional y uña</t>
  </si>
  <si>
    <t>Depilación de cejas + henna</t>
  </si>
  <si>
    <t>Pestañas punto a punto</t>
  </si>
  <si>
    <t>Manicura permanente + Pedicura tradicional</t>
  </si>
  <si>
    <t>Pega de pestañas</t>
  </si>
  <si>
    <t>Manicura semirpermante + pedicura semipermanente</t>
  </si>
  <si>
    <t>Retiro de acrílico</t>
  </si>
  <si>
    <t>Relleno de Polygel +lazos</t>
  </si>
  <si>
    <t>Pintado de uñas</t>
  </si>
  <si>
    <t>Relleno Polygel+1 extencion</t>
  </si>
  <si>
    <t>Pedicure semipermanente + Retiro</t>
  </si>
  <si>
    <t>Manicura semipermanente + 2 Efectos</t>
  </si>
  <si>
    <t>Manicura semipermanente+Retiro+efect aurora</t>
  </si>
  <si>
    <t>Manicura semipermanente+Efecto +cejas y Bozo</t>
  </si>
  <si>
    <t>Manicura semipermanente+2 uñas Polygel+5 uñas curadas</t>
  </si>
  <si>
    <t>Manicura semipermanente+Pedicura semipermanente</t>
  </si>
  <si>
    <t>Manicura semipermanente y ojo de gato</t>
  </si>
  <si>
    <t>Manicura semipermanente + Rubber</t>
  </si>
  <si>
    <t>Manicura Nivelación de Rubber + Retiro</t>
  </si>
  <si>
    <t>Reparación acrílico + Base Rubber esm</t>
  </si>
  <si>
    <t>Base Rubber + Pedicura tradicional + Depilación cejas</t>
  </si>
  <si>
    <t>Rubber + Reparación de 2 uñass</t>
  </si>
  <si>
    <t>Rubber+Rubber+Reparación de uña +ojo de gato</t>
  </si>
  <si>
    <t>Base Rubber</t>
  </si>
  <si>
    <t>Reparación 2 uñas + Nivelación Rubber</t>
  </si>
  <si>
    <t>Base Rubber +Efecto gato +Pedicura tradicional</t>
  </si>
  <si>
    <t>Nivelación de Rubber</t>
  </si>
  <si>
    <t>Base Rubber+Efecto+semipies</t>
  </si>
  <si>
    <t>Rubber master nails</t>
  </si>
  <si>
    <t>Rubber +Pedicura tradicional</t>
  </si>
  <si>
    <t>Rubber + ojo de gato</t>
  </si>
  <si>
    <t>Rubber + ped tradicional+lifting+Depilación de cejas</t>
  </si>
  <si>
    <t>Rubber y Efecto terciopelado</t>
  </si>
  <si>
    <t>Rubber + acrílico</t>
  </si>
  <si>
    <t>Rubber+3uñas gel+ojo de gato+flores</t>
  </si>
  <si>
    <t>Rubber + Reparación de uña+ ojo de gato</t>
  </si>
  <si>
    <t>Rubber+gato+cejas+lifting</t>
  </si>
  <si>
    <t>Rubber +OJO DE GATO</t>
  </si>
  <si>
    <t>NivelaciónRubber+ Soft gel+ Reparación</t>
  </si>
  <si>
    <t>Soft gel+ojo de gato</t>
  </si>
  <si>
    <t>Soft gel</t>
  </si>
  <si>
    <t>Manicura Tradicional</t>
  </si>
  <si>
    <t>Manicura Tradicional + 1 uña Soft gel</t>
  </si>
  <si>
    <t>Manicura Tradicional + pigmentacion</t>
  </si>
  <si>
    <t xml:space="preserve">Manicura tradicional + Reparación de uñas </t>
  </si>
  <si>
    <t>Manicura Tradicional+ depilación+cejas</t>
  </si>
  <si>
    <t>Manicura tradicional +Pedicura semipermanente</t>
  </si>
  <si>
    <t>Manicura tradicional+3 uñas arreglo</t>
  </si>
  <si>
    <t>Vela buho</t>
  </si>
  <si>
    <t>Soft gel + lazo</t>
  </si>
  <si>
    <t>Cartera</t>
  </si>
  <si>
    <t>Manicura tradicional hombre</t>
  </si>
  <si>
    <t xml:space="preserve"> De Una </t>
  </si>
  <si>
    <t>Tarjeta de Crédito + transferencia</t>
  </si>
  <si>
    <t>Débito</t>
  </si>
  <si>
    <t>Fecha de cumpleaños</t>
  </si>
  <si>
    <t>Ana María Coronel</t>
  </si>
  <si>
    <t xml:space="preserve"> María José Vasquez Calderón</t>
  </si>
  <si>
    <t>María Belén Carpio</t>
  </si>
  <si>
    <t>Mónica Pazmiño</t>
  </si>
  <si>
    <t>josselynch1995@gmail.com</t>
  </si>
  <si>
    <t>Génesis Chavez</t>
  </si>
  <si>
    <t>Doménica Ortiz</t>
  </si>
  <si>
    <t>gabrielacuasapazp@gmail.com</t>
  </si>
  <si>
    <t>Sylva Charvet Erika</t>
  </si>
  <si>
    <t>Carla Estefania Espinosa</t>
  </si>
  <si>
    <t>veronic.chm2503@hotmail.com</t>
  </si>
  <si>
    <t>Mario Maldonado</t>
  </si>
  <si>
    <t>Paula Reyes</t>
  </si>
  <si>
    <t>Mónica Izurieta</t>
  </si>
  <si>
    <t>María Fernanda Jaramillo</t>
  </si>
  <si>
    <t>María Fernanda Martinez</t>
  </si>
  <si>
    <t>Leslie Cristina López Jimenez</t>
  </si>
  <si>
    <t>kfccadena@gmail.com</t>
  </si>
  <si>
    <t>camile.nunez3@gmail.com</t>
  </si>
  <si>
    <t>Tatiana Meza</t>
  </si>
  <si>
    <t>sammy@hotmail.es</t>
  </si>
  <si>
    <t>Mónica Gallardo</t>
  </si>
  <si>
    <t>Vanessa Calahorrano</t>
  </si>
  <si>
    <t>Mónica Jaramillo</t>
  </si>
  <si>
    <t xml:space="preserve">Verónica Montenegro </t>
  </si>
  <si>
    <t>veroalexa@gmail.com</t>
  </si>
  <si>
    <t>María Elena Diaz</t>
  </si>
  <si>
    <t>christian89.pardo@hotmail.com</t>
  </si>
  <si>
    <t>15 días</t>
  </si>
  <si>
    <t>22 días</t>
  </si>
  <si>
    <t>Set de uñas esculpidas</t>
  </si>
  <si>
    <t>Set de uñas esculpidas encapsuladas</t>
  </si>
  <si>
    <t>Set de polygel</t>
  </si>
  <si>
    <t>Set de polygel encapsuladas</t>
  </si>
  <si>
    <t>Set de acrílicas encapsuladas</t>
  </si>
  <si>
    <t>Set de acrílicas</t>
  </si>
  <si>
    <t>Relleno en polygel</t>
  </si>
  <si>
    <t>Set soft gel</t>
  </si>
  <si>
    <t>Set de uñas con tips</t>
  </si>
  <si>
    <t>Manicura Kids</t>
  </si>
  <si>
    <t>Relleno de acrílico</t>
  </si>
  <si>
    <t>Impresión de uñas (diseño predeterminado)</t>
  </si>
  <si>
    <t>Impresión de fotos</t>
  </si>
  <si>
    <t>Set de efectos completo</t>
  </si>
  <si>
    <t>Set de efectos individuales</t>
  </si>
  <si>
    <t>Set de 5 piedras</t>
  </si>
  <si>
    <t>Depilación de media pierna</t>
  </si>
  <si>
    <t>Depilación de pierna completa</t>
  </si>
  <si>
    <t>Depilación línea de bikini</t>
  </si>
  <si>
    <t>Depilación bikini</t>
  </si>
  <si>
    <t>Depilación brasilero</t>
  </si>
  <si>
    <t>Lifting de pestañas</t>
  </si>
  <si>
    <t>Pestañas de punto</t>
  </si>
  <si>
    <t>Depilación cejas + henna</t>
  </si>
  <si>
    <t>Depilación de bigote</t>
  </si>
  <si>
    <t>Depilación de patillas</t>
  </si>
  <si>
    <t>Depilación de rostro completo</t>
  </si>
  <si>
    <t>BANCO DINERS CLUB DEL ECUADOR S.A.</t>
  </si>
  <si>
    <t>BANCO GUAYAQUIL S.A.</t>
  </si>
  <si>
    <t>001-019-016393700</t>
  </si>
  <si>
    <t>001-014-016432964</t>
  </si>
  <si>
    <t>001-020-016327224</t>
  </si>
  <si>
    <t>001-020-016353661</t>
  </si>
  <si>
    <t>001-002-021008396</t>
  </si>
  <si>
    <t>001-019-016443855</t>
  </si>
  <si>
    <t>001-002-021089907</t>
  </si>
  <si>
    <t>001-019-016471607</t>
  </si>
  <si>
    <t>001-020-016383442</t>
  </si>
  <si>
    <t>001-014-016520283</t>
  </si>
  <si>
    <t>001-014-016557674</t>
  </si>
  <si>
    <t>001-019-016503614</t>
  </si>
  <si>
    <t>001-020-016407763</t>
  </si>
  <si>
    <t>001-014-016599306</t>
  </si>
  <si>
    <t>001-019-016535872</t>
  </si>
  <si>
    <t>001-002-021274614</t>
  </si>
  <si>
    <t>Noely Castillo</t>
  </si>
  <si>
    <t>Nataly Mejia Flores</t>
  </si>
  <si>
    <t>Emily Stiff</t>
  </si>
  <si>
    <t>Victoria Poveda</t>
  </si>
  <si>
    <t>Paúl Ponce</t>
  </si>
  <si>
    <t>Paula Yanez</t>
  </si>
  <si>
    <t>Nathaly Santamaría</t>
  </si>
  <si>
    <t>Gustavo Santamaría</t>
  </si>
  <si>
    <t>Gabriela Lucyna</t>
  </si>
  <si>
    <t>Nicolas Flores</t>
  </si>
  <si>
    <t>Milena Mideros</t>
  </si>
  <si>
    <t>Leopoldo Simisterra</t>
  </si>
  <si>
    <t>Carolina Perez</t>
  </si>
  <si>
    <t>Leslie Ayala</t>
  </si>
  <si>
    <t>Mariela Cabezas</t>
  </si>
  <si>
    <t>Melany</t>
  </si>
  <si>
    <t>Soñita Puebla</t>
  </si>
  <si>
    <t>Pablo Tipan Sanchez</t>
  </si>
  <si>
    <t>Anthonella Ortiz</t>
  </si>
  <si>
    <t>Camila Bravo</t>
  </si>
  <si>
    <t>Nicole Leon</t>
  </si>
  <si>
    <t>Edwin Flores</t>
  </si>
  <si>
    <t>Fernanada Jara</t>
  </si>
  <si>
    <t>Juliete Cueva</t>
  </si>
  <si>
    <t>Cristina SarAbigaila</t>
  </si>
  <si>
    <t>Anita Navarrete</t>
  </si>
  <si>
    <t>Maritza del Pilar Carrillo</t>
  </si>
  <si>
    <t>Elena Rojas</t>
  </si>
  <si>
    <t>Alexandra Angulo</t>
  </si>
  <si>
    <t>Anita Vega</t>
  </si>
  <si>
    <t>Adriana Nieto</t>
  </si>
  <si>
    <t>Diana Ortiz</t>
  </si>
  <si>
    <t>Valeria Villalba</t>
  </si>
  <si>
    <t>Alievelyng  Parra</t>
  </si>
  <si>
    <t>Marcelo Jijon</t>
  </si>
  <si>
    <t>Juan Salcedo</t>
  </si>
  <si>
    <t>Ariana Ortiz</t>
  </si>
  <si>
    <t>Alejandra Muñoz</t>
  </si>
  <si>
    <t>Vanessa Sanchez</t>
  </si>
  <si>
    <t>Dennis Guayaquil</t>
  </si>
  <si>
    <t>Paulina Paez</t>
  </si>
  <si>
    <t>Nathaly Jacome</t>
  </si>
  <si>
    <t>Anabella Collaguazo</t>
  </si>
  <si>
    <t>Brayner Santodomingo</t>
  </si>
  <si>
    <t>Jennifer Figueroa</t>
  </si>
  <si>
    <t>Paola  Valencia</t>
  </si>
  <si>
    <t>Mónica Zurita</t>
  </si>
  <si>
    <t>Riassa Moreno</t>
  </si>
  <si>
    <t>Pedicura tradicional +manicura semipermanente + 2 uñas+ojo gat</t>
  </si>
  <si>
    <t>Manicura tradicional+Depilación media pierna</t>
  </si>
  <si>
    <t>Pedicura semipermanente+ Rubber+ efecto</t>
  </si>
  <si>
    <t>Manicura semipermanete</t>
  </si>
  <si>
    <t>Manicura tradicional+ Pedicura tradicional</t>
  </si>
  <si>
    <t>Rubber+ efectos+ pedicure tradicional</t>
  </si>
  <si>
    <t>3 velitas+ cartera</t>
  </si>
  <si>
    <t>Lifting +henna +Depilación</t>
  </si>
  <si>
    <t xml:space="preserve">Acrílico </t>
  </si>
  <si>
    <t>Pedicura tradicional +sandalias</t>
  </si>
  <si>
    <t>Manicura semipermanente + alargamiento</t>
  </si>
  <si>
    <t xml:space="preserve">Pedicura tradicional  </t>
  </si>
  <si>
    <t>Limpieza de uñas</t>
  </si>
  <si>
    <t>Manicura tradicional+Pedicura tradiconal</t>
  </si>
  <si>
    <t>Extensión de uña</t>
  </si>
  <si>
    <t>Manicura tradicional + retiro</t>
  </si>
  <si>
    <t>Manicura Rubber +ojo de gato</t>
  </si>
  <si>
    <t>Pedicura esmaltado</t>
  </si>
  <si>
    <t>Manicura polygel</t>
  </si>
  <si>
    <t>Cartera rosada</t>
  </si>
  <si>
    <t>Crema de manos</t>
  </si>
  <si>
    <t>Sandalia</t>
  </si>
  <si>
    <t>Manicura tradicional + pedicure tradicional</t>
  </si>
  <si>
    <t>Pedicura tradicional+ limpieza</t>
  </si>
  <si>
    <t xml:space="preserve"> 2 Depilación pierna entera</t>
  </si>
  <si>
    <t>Pedicure tradicional +sandalia</t>
  </si>
  <si>
    <t>Manicura tradicional +impresión de uña</t>
  </si>
  <si>
    <t>Pedicura semipermanente +1 uña gel</t>
  </si>
  <si>
    <t>Manicura base ruber</t>
  </si>
  <si>
    <t>Rubber +1 uña sofgel + pedi semipermanente</t>
  </si>
  <si>
    <t>Sof gel+ojo de gato+pedicura semipermanente</t>
  </si>
  <si>
    <t>Depilación pierna completa</t>
  </si>
  <si>
    <t>Rimel Lucyzethe</t>
  </si>
  <si>
    <t>1 vela</t>
  </si>
  <si>
    <t>Manicura y Pedicura tradicional</t>
  </si>
  <si>
    <t>Rimel Lucyzeth + aceite cuticula</t>
  </si>
  <si>
    <t>Reparacion de 2 uñas</t>
  </si>
  <si>
    <t>Tarjeta Gifcard</t>
  </si>
  <si>
    <t>Esmaltado manos+ sandalia</t>
  </si>
  <si>
    <t>Esmaltado pies</t>
  </si>
  <si>
    <t>Rubber +pedreria</t>
  </si>
  <si>
    <t>Pedicure tradicional</t>
  </si>
  <si>
    <t>Manicura kits esmaltado</t>
  </si>
  <si>
    <t>Pedicura semipermanente + Depilación  henna</t>
  </si>
  <si>
    <t>Manicura hombre</t>
  </si>
  <si>
    <t>1.50</t>
  </si>
  <si>
    <t>SPI-33803635</t>
  </si>
  <si>
    <t>Abigail</t>
  </si>
  <si>
    <t>Naty</t>
  </si>
  <si>
    <t>noee_1289@hotmail.com</t>
  </si>
  <si>
    <t>milton.aguas@gmail.com</t>
  </si>
  <si>
    <t>pablonicolas.06@hotmail.com</t>
  </si>
  <si>
    <t>naticanamf_18@hotmail.com</t>
  </si>
  <si>
    <t>emilliestiff6@gmail.com</t>
  </si>
  <si>
    <t>paulayanes_99@hotmail.com</t>
  </si>
  <si>
    <t>bigustavo007@gmail.com</t>
  </si>
  <si>
    <t>gLucynanarvaez@gmail.com</t>
  </si>
  <si>
    <t>nicolasflores84@gmail.com</t>
  </si>
  <si>
    <t>leo.ardiente@hotmail.com</t>
  </si>
  <si>
    <t>karojipz@hotmail.com</t>
  </si>
  <si>
    <t>les.ayala@hotmail.com</t>
  </si>
  <si>
    <t>mariela_cabezas5@gmail.com</t>
  </si>
  <si>
    <t>pathy283@hotmail.com</t>
  </si>
  <si>
    <t>jccalero@outlook.com</t>
  </si>
  <si>
    <t>contAbigaillidad@brenaLucyniformes.com</t>
  </si>
  <si>
    <t>anthonella,ortiz1302@outlook.es</t>
  </si>
  <si>
    <t>salome264@gmail.com</t>
  </si>
  <si>
    <t>nicoleleon@gmail.com</t>
  </si>
  <si>
    <t>eflores@pandababyec.com</t>
  </si>
  <si>
    <t>fernandajaravaca@gmail.com</t>
  </si>
  <si>
    <t>cristhy-1408@hotmail.com</t>
  </si>
  <si>
    <t>aanavarretey@hotmail,com</t>
  </si>
  <si>
    <t>maritza_carrillo_@outlook.comec</t>
  </si>
  <si>
    <t>veroalexis1.9.7.8@gmail.com</t>
  </si>
  <si>
    <t>anitavegacevallos@hotmail.com</t>
  </si>
  <si>
    <t>adrianeins@hotmail.com</t>
  </si>
  <si>
    <t>adamarisgallegos@hotmail.com</t>
  </si>
  <si>
    <t>vsofiavc14@gmail.com</t>
  </si>
  <si>
    <t>jennyduquemedina@gmail.com</t>
  </si>
  <si>
    <t>alievelyng_20@hotmail.com</t>
  </si>
  <si>
    <t>marcelo_jijon@hotmail.com</t>
  </si>
  <si>
    <t>juanca-salcedo@hotmail.com</t>
  </si>
  <si>
    <t>jimealmv@hotmail.com</t>
  </si>
  <si>
    <t>van_maribel22@gmail.com</t>
  </si>
  <si>
    <t>paulipaez@gmail.com</t>
  </si>
  <si>
    <t>natmer1003@yahoo.com</t>
  </si>
  <si>
    <t>graceanabel1997@gmail.com</t>
  </si>
  <si>
    <t>bray192@gmail.com</t>
  </si>
  <si>
    <t>jenfigueroa.df@gmail.com</t>
  </si>
  <si>
    <t>majovasquezc@gmail.com</t>
  </si>
  <si>
    <t>pada_valencia19@hotmail.com</t>
  </si>
  <si>
    <t>icdmony@hotmail.com</t>
  </si>
  <si>
    <t>raismoreno@gmail.com</t>
  </si>
  <si>
    <t>María Paula Yanez</t>
  </si>
  <si>
    <t>Máximo lopez</t>
  </si>
  <si>
    <t>Garcia Evelyn Alicia</t>
  </si>
  <si>
    <t>Salome Figueroa</t>
  </si>
  <si>
    <t>Alisson Gallegos</t>
  </si>
  <si>
    <t>Brigth Shirley Silva</t>
  </si>
  <si>
    <t>Manicura semipermanente+ Pedicura tradicional</t>
  </si>
  <si>
    <t>Servicios varios</t>
  </si>
  <si>
    <t>Limpieza pies</t>
  </si>
  <si>
    <t>Manicura semipermanente + pedicura tradicional</t>
  </si>
  <si>
    <t>paulayanez_99@hotmail.com</t>
  </si>
  <si>
    <t>amanda._p@hotmail.com</t>
  </si>
  <si>
    <t>milemideros@hotmail.com</t>
  </si>
  <si>
    <t>maxlopezpierola@hotmail.com</t>
  </si>
  <si>
    <t>andrea_cajas@yahoo.com</t>
  </si>
  <si>
    <t>evelyn.garcia.bastidas@gmail.com</t>
  </si>
  <si>
    <t>jenfigueroa.dff@hotmail.com</t>
  </si>
  <si>
    <t>diana_paty@msn.com</t>
  </si>
  <si>
    <t>Juan Carlos Calero</t>
  </si>
  <si>
    <t>Melanie Jame</t>
  </si>
  <si>
    <t>Alievelyng Parra</t>
  </si>
  <si>
    <t>Cristina Sarabigaila</t>
  </si>
  <si>
    <t>María José Vasquez</t>
  </si>
  <si>
    <t>María.chicaiza1928@hotmail.com</t>
  </si>
  <si>
    <t>Maríana Ramirez</t>
  </si>
  <si>
    <t>María Guadalupe Rea</t>
  </si>
  <si>
    <t>María Jose Figueroa</t>
  </si>
  <si>
    <t>Maríana Espinoza</t>
  </si>
  <si>
    <t>Antonella SantaMaría</t>
  </si>
  <si>
    <t>Maríana Ishmein</t>
  </si>
  <si>
    <t>Maríana_2192@hotmail.com</t>
  </si>
  <si>
    <t>María Luisa Jimenez</t>
  </si>
  <si>
    <t>María Eugenia Molina</t>
  </si>
  <si>
    <t>María Sol Reascos</t>
  </si>
  <si>
    <t>Lissette María Guaicha Regel</t>
  </si>
  <si>
    <t>María Jose Acosta</t>
  </si>
  <si>
    <t>Mónica Andrade</t>
  </si>
  <si>
    <t>Mónica Bustos</t>
  </si>
  <si>
    <t>Mónica Vivanco</t>
  </si>
  <si>
    <t>Mónicapizurietav@gmail.com</t>
  </si>
  <si>
    <t>María Belén Erazo</t>
  </si>
  <si>
    <t>kikiBelén@gmail.com</t>
  </si>
  <si>
    <t>mBeléncarpio@hotmail.com</t>
  </si>
  <si>
    <t>Evelyn García</t>
  </si>
  <si>
    <t>García Evelyn Alicia</t>
  </si>
  <si>
    <t>Verónica Landeta</t>
  </si>
  <si>
    <t>Verónica Luna</t>
  </si>
  <si>
    <t>Verónica Chiliquinga</t>
  </si>
  <si>
    <t>Verónica Achi</t>
  </si>
  <si>
    <t>Verónicaachi17@outlook.es</t>
  </si>
  <si>
    <t>Alejandra Terán</t>
  </si>
  <si>
    <t>Ximena Terán</t>
  </si>
  <si>
    <t>ximeTerán@hotmail.com</t>
  </si>
  <si>
    <t>Juribi Jasmina Terán Valera</t>
  </si>
  <si>
    <t>nrsantaMaría7@gmail.com</t>
  </si>
  <si>
    <t>Lissette  María Guaicha Regel</t>
  </si>
  <si>
    <t>bastidas_acosta_María@hotmail.com</t>
  </si>
  <si>
    <t>María Jose Vasquez</t>
  </si>
  <si>
    <t>Kiara Racines</t>
  </si>
  <si>
    <t>Nivelación base rubber manicura</t>
  </si>
  <si>
    <t>Nivelación base rubber pedicura</t>
  </si>
  <si>
    <t>Laminado de cejas</t>
  </si>
  <si>
    <t>30 días</t>
  </si>
  <si>
    <t>Limpieza manicura</t>
  </si>
  <si>
    <t>Limpieza pedicura</t>
  </si>
  <si>
    <t>20 días</t>
  </si>
  <si>
    <t>Uñas con tips por unidad</t>
  </si>
  <si>
    <t>Set de 3 flores</t>
  </si>
  <si>
    <t>Esmaltado tradicional</t>
  </si>
  <si>
    <t>Esmaltado permanente</t>
  </si>
  <si>
    <t>Hidratante de cutículas</t>
  </si>
  <si>
    <t>Depilación de mentón</t>
  </si>
  <si>
    <t>Depilación de axilas</t>
  </si>
  <si>
    <t>5 días</t>
  </si>
  <si>
    <t>Rímel Hidratante transparente</t>
  </si>
  <si>
    <t xml:space="preserve">Rímel hidratante de color </t>
  </si>
  <si>
    <t>Otros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</si>
</sst>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6" formatCode="_-&quot;$&quot;* #,##0.00_-;\-&quot;$&quot;* #,##0.00_-;_-&quot;$&quot;* &quot;-&quot;??_-;_-@_-"/>
    <numFmt numFmtId="167" formatCode="\$\ 0"/>
    <numFmt numFmtId="168" formatCode="\$\ 0.00"/>
    <numFmt numFmtId="169" formatCode="\$\ 0.0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000000"/>
      <name val="Segoe UI"/>
      <family val="2"/>
    </font>
    <font>
      <u/>
      <sz val="12"/>
      <color theme="10"/>
      <name val="Segoe UI"/>
      <family val="2"/>
    </font>
    <font>
      <b/>
      <sz val="12"/>
      <color rgb="FFFFFFFF"/>
      <name val="Segoe UI"/>
      <family val="2"/>
    </font>
    <font>
      <sz val="12"/>
      <color theme="1"/>
      <name val="Segoe UI"/>
      <family val="2"/>
    </font>
    <font>
      <sz val="12"/>
      <color rgb="FF000000"/>
      <name val="Segoe UI"/>
      <family val="2"/>
    </font>
    <font>
      <b/>
      <sz val="12"/>
      <color theme="1"/>
      <name val="Calibri"/>
      <family val="2"/>
      <scheme val="minor"/>
    </font>
    <font>
      <sz val="8"/>
      <color theme="1"/>
      <name val="Helvetica"/>
      <family val="2"/>
    </font>
    <font>
      <sz val="8"/>
      <color rgb="FF333333"/>
      <name val="Roboto"/>
    </font>
    <font>
      <sz val="11"/>
      <color theme="1"/>
      <name val="Segoe UI"/>
      <family val="2"/>
    </font>
    <font>
      <sz val="11"/>
      <name val="Segoe UI"/>
      <family val="2"/>
    </font>
    <font>
      <b/>
      <sz val="11"/>
      <color rgb="FF00000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4A3B32"/>
        <bgColor rgb="FF4A3B32"/>
      </patternFill>
    </fill>
    <fill>
      <patternFill patternType="solid">
        <fgColor rgb="FFD4A59A"/>
        <bgColor rgb="FFD4A59A"/>
      </patternFill>
    </fill>
    <fill>
      <patternFill patternType="solid">
        <fgColor rgb="FFFDF8F7"/>
        <bgColor rgb="FFFDF8F7"/>
      </patternFill>
    </fill>
    <fill>
      <patternFill patternType="solid">
        <fgColor theme="3" tint="0.59999389629810485"/>
        <bgColor rgb="FFD4A59A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</fills>
  <borders count="2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5" fillId="8" borderId="3" xfId="2" applyFont="1" applyFill="1" applyBorder="1"/>
    <xf numFmtId="0" fontId="5" fillId="0" borderId="3" xfId="2" applyFont="1" applyFill="1" applyBorder="1"/>
    <xf numFmtId="0" fontId="5" fillId="6" borderId="2" xfId="2" applyFont="1" applyFill="1" applyBorder="1"/>
    <xf numFmtId="0" fontId="5" fillId="6" borderId="3" xfId="2" applyFont="1" applyFill="1" applyBorder="1"/>
    <xf numFmtId="0" fontId="5" fillId="0" borderId="3" xfId="2" applyFont="1" applyBorder="1"/>
    <xf numFmtId="0" fontId="5" fillId="9" borderId="3" xfId="2" applyFont="1" applyFill="1" applyBorder="1"/>
    <xf numFmtId="0" fontId="5" fillId="6" borderId="6" xfId="2" applyFont="1" applyFill="1" applyBorder="1"/>
    <xf numFmtId="0" fontId="5" fillId="10" borderId="3" xfId="2" applyFont="1" applyFill="1" applyBorder="1"/>
    <xf numFmtId="0" fontId="5" fillId="0" borderId="6" xfId="2" applyFont="1" applyFill="1" applyBorder="1"/>
    <xf numFmtId="0" fontId="5" fillId="11" borderId="3" xfId="2" applyFont="1" applyFill="1" applyBorder="1"/>
    <xf numFmtId="0" fontId="5" fillId="0" borderId="0" xfId="2" applyFont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6" borderId="3" xfId="0" applyFont="1" applyFill="1" applyBorder="1"/>
    <xf numFmtId="0" fontId="7" fillId="7" borderId="3" xfId="0" applyFont="1" applyFill="1" applyBorder="1"/>
    <xf numFmtId="0" fontId="7" fillId="8" borderId="3" xfId="0" applyFont="1" applyFill="1" applyBorder="1"/>
    <xf numFmtId="0" fontId="7" fillId="0" borderId="3" xfId="0" applyFont="1" applyBorder="1"/>
    <xf numFmtId="0" fontId="7" fillId="9" borderId="3" xfId="0" applyFont="1" applyFill="1" applyBorder="1"/>
    <xf numFmtId="0" fontId="7" fillId="6" borderId="0" xfId="0" applyFont="1" applyFill="1"/>
    <xf numFmtId="0" fontId="7" fillId="10" borderId="3" xfId="0" applyFont="1" applyFill="1" applyBorder="1"/>
    <xf numFmtId="14" fontId="7" fillId="6" borderId="3" xfId="0" applyNumberFormat="1" applyFont="1" applyFill="1" applyBorder="1"/>
    <xf numFmtId="44" fontId="7" fillId="6" borderId="3" xfId="1" applyFont="1" applyFill="1" applyBorder="1"/>
    <xf numFmtId="0" fontId="7" fillId="6" borderId="3" xfId="1" applyNumberFormat="1" applyFont="1" applyFill="1" applyBorder="1"/>
    <xf numFmtId="1" fontId="7" fillId="6" borderId="3" xfId="0" applyNumberFormat="1" applyFont="1" applyFill="1" applyBorder="1"/>
    <xf numFmtId="1" fontId="7" fillId="6" borderId="3" xfId="1" applyNumberFormat="1" applyFont="1" applyFill="1" applyBorder="1"/>
    <xf numFmtId="166" fontId="7" fillId="6" borderId="3" xfId="1" applyNumberFormat="1" applyFont="1" applyFill="1" applyBorder="1"/>
    <xf numFmtId="14" fontId="7" fillId="6" borderId="3" xfId="1" applyNumberFormat="1" applyFont="1" applyFill="1" applyBorder="1"/>
    <xf numFmtId="0" fontId="0" fillId="6" borderId="0" xfId="0" applyFill="1"/>
    <xf numFmtId="0" fontId="9" fillId="12" borderId="0" xfId="0" applyFont="1" applyFill="1" applyAlignment="1">
      <alignment horizontal="center"/>
    </xf>
    <xf numFmtId="44" fontId="9" fillId="12" borderId="0" xfId="1" applyFont="1" applyFill="1" applyAlignment="1">
      <alignment horizontal="center"/>
    </xf>
    <xf numFmtId="44" fontId="0" fillId="6" borderId="10" xfId="1" applyFont="1" applyFill="1" applyBorder="1"/>
    <xf numFmtId="0" fontId="0" fillId="6" borderId="10" xfId="0" applyFill="1" applyBorder="1"/>
    <xf numFmtId="44" fontId="0" fillId="6" borderId="11" xfId="1" applyFont="1" applyFill="1" applyBorder="1"/>
    <xf numFmtId="44" fontId="0" fillId="6" borderId="13" xfId="1" applyFont="1" applyFill="1" applyBorder="1"/>
    <xf numFmtId="0" fontId="0" fillId="6" borderId="13" xfId="0" applyFill="1" applyBorder="1"/>
    <xf numFmtId="44" fontId="0" fillId="6" borderId="14" xfId="1" applyFont="1" applyFill="1" applyBorder="1"/>
    <xf numFmtId="14" fontId="0" fillId="6" borderId="15" xfId="0" applyNumberForma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4" fontId="0" fillId="6" borderId="17" xfId="0" applyNumberForma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44" fontId="0" fillId="6" borderId="0" xfId="1" applyFont="1" applyFill="1"/>
    <xf numFmtId="0" fontId="7" fillId="6" borderId="5" xfId="0" applyFont="1" applyFill="1" applyBorder="1"/>
    <xf numFmtId="0" fontId="7" fillId="6" borderId="0" xfId="0" applyFont="1" applyFill="1" applyBorder="1"/>
    <xf numFmtId="0" fontId="7" fillId="8" borderId="0" xfId="0" applyFont="1" applyFill="1" applyBorder="1"/>
    <xf numFmtId="0" fontId="7" fillId="6" borderId="4" xfId="0" applyFont="1" applyFill="1" applyBorder="1"/>
    <xf numFmtId="0" fontId="7" fillId="0" borderId="0" xfId="0" applyFont="1" applyBorder="1"/>
    <xf numFmtId="0" fontId="7" fillId="8" borderId="4" xfId="0" applyFont="1" applyFill="1" applyBorder="1"/>
    <xf numFmtId="0" fontId="7" fillId="0" borderId="0" xfId="0" applyFont="1"/>
    <xf numFmtId="0" fontId="7" fillId="7" borderId="0" xfId="0" applyFont="1" applyFill="1" applyBorder="1"/>
    <xf numFmtId="0" fontId="5" fillId="8" borderId="0" xfId="2" applyFont="1" applyFill="1" applyBorder="1"/>
    <xf numFmtId="0" fontId="5" fillId="0" borderId="0" xfId="2" applyFont="1" applyFill="1" applyBorder="1"/>
    <xf numFmtId="0" fontId="5" fillId="6" borderId="0" xfId="2" applyFont="1" applyFill="1" applyBorder="1"/>
    <xf numFmtId="0" fontId="5" fillId="0" borderId="0" xfId="2" applyFont="1" applyBorder="1"/>
    <xf numFmtId="0" fontId="7" fillId="9" borderId="0" xfId="0" applyFont="1" applyFill="1" applyBorder="1"/>
    <xf numFmtId="0" fontId="5" fillId="9" borderId="0" xfId="2" applyFont="1" applyFill="1" applyBorder="1"/>
    <xf numFmtId="0" fontId="5" fillId="10" borderId="0" xfId="2" applyFont="1" applyFill="1" applyBorder="1"/>
    <xf numFmtId="0" fontId="7" fillId="10" borderId="0" xfId="0" applyFont="1" applyFill="1" applyBorder="1"/>
    <xf numFmtId="0" fontId="5" fillId="11" borderId="0" xfId="2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3" fillId="6" borderId="3" xfId="2" applyFill="1" applyBorder="1"/>
    <xf numFmtId="16" fontId="5" fillId="6" borderId="0" xfId="2" applyNumberFormat="1" applyFont="1" applyFill="1" applyBorder="1"/>
    <xf numFmtId="16" fontId="7" fillId="6" borderId="0" xfId="0" applyNumberFormat="1" applyFont="1" applyFill="1" applyBorder="1"/>
    <xf numFmtId="2" fontId="7" fillId="0" borderId="0" xfId="0" applyNumberFormat="1" applyFont="1"/>
    <xf numFmtId="2" fontId="6" fillId="3" borderId="1" xfId="0" applyNumberFormat="1" applyFont="1" applyFill="1" applyBorder="1" applyAlignment="1">
      <alignment horizontal="center" vertical="center"/>
    </xf>
    <xf numFmtId="16" fontId="7" fillId="0" borderId="0" xfId="0" applyNumberFormat="1" applyFont="1"/>
    <xf numFmtId="0" fontId="6" fillId="3" borderId="19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16" fontId="7" fillId="6" borderId="3" xfId="0" applyNumberFormat="1" applyFont="1" applyFill="1" applyBorder="1"/>
    <xf numFmtId="0" fontId="8" fillId="13" borderId="3" xfId="0" applyFont="1" applyFill="1" applyBorder="1"/>
    <xf numFmtId="0" fontId="7" fillId="7" borderId="4" xfId="0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10" borderId="4" xfId="0" applyFont="1" applyFill="1" applyBorder="1"/>
    <xf numFmtId="0" fontId="7" fillId="6" borderId="7" xfId="0" applyFont="1" applyFill="1" applyBorder="1"/>
    <xf numFmtId="0" fontId="7" fillId="0" borderId="7" xfId="0" applyFont="1" applyBorder="1"/>
    <xf numFmtId="0" fontId="7" fillId="11" borderId="4" xfId="0" applyFont="1" applyFill="1" applyBorder="1"/>
    <xf numFmtId="2" fontId="7" fillId="6" borderId="4" xfId="0" applyNumberFormat="1" applyFont="1" applyFill="1" applyBorder="1"/>
    <xf numFmtId="0" fontId="7" fillId="0" borderId="8" xfId="0" applyFont="1" applyBorder="1"/>
    <xf numFmtId="0" fontId="6" fillId="5" borderId="19" xfId="0" applyFont="1" applyFill="1" applyBorder="1" applyAlignment="1">
      <alignment horizontal="center" vertical="center"/>
    </xf>
    <xf numFmtId="166" fontId="8" fillId="13" borderId="3" xfId="0" applyNumberFormat="1" applyFont="1" applyFill="1" applyBorder="1"/>
    <xf numFmtId="1" fontId="7" fillId="6" borderId="3" xfId="1" applyNumberFormat="1" applyFont="1" applyFill="1" applyBorder="1" applyAlignment="1">
      <alignment horizontal="right"/>
    </xf>
    <xf numFmtId="2" fontId="7" fillId="6" borderId="3" xfId="1" applyNumberFormat="1" applyFont="1" applyFill="1" applyBorder="1"/>
    <xf numFmtId="14" fontId="8" fillId="6" borderId="3" xfId="0" applyNumberFormat="1" applyFont="1" applyFill="1" applyBorder="1"/>
    <xf numFmtId="0" fontId="7" fillId="0" borderId="0" xfId="0" applyFont="1"/>
    <xf numFmtId="0" fontId="7" fillId="6" borderId="3" xfId="0" applyFont="1" applyFill="1" applyBorder="1" applyAlignment="1">
      <alignment horizontal="left"/>
    </xf>
    <xf numFmtId="14" fontId="7" fillId="0" borderId="3" xfId="0" applyNumberFormat="1" applyFont="1" applyBorder="1"/>
    <xf numFmtId="44" fontId="7" fillId="0" borderId="3" xfId="1" applyFont="1" applyBorder="1"/>
    <xf numFmtId="0" fontId="12" fillId="0" borderId="0" xfId="0" applyFont="1"/>
    <xf numFmtId="0" fontId="12" fillId="0" borderId="3" xfId="0" applyFont="1" applyBorder="1"/>
    <xf numFmtId="0" fontId="13" fillId="0" borderId="3" xfId="0" applyFont="1" applyBorder="1" applyAlignment="1">
      <alignment horizontal="left" vertical="top" wrapText="1"/>
    </xf>
    <xf numFmtId="167" fontId="14" fillId="0" borderId="3" xfId="0" applyNumberFormat="1" applyFont="1" applyBorder="1" applyAlignment="1">
      <alignment horizontal="center" vertical="top" shrinkToFit="1"/>
    </xf>
    <xf numFmtId="3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68" fontId="14" fillId="0" borderId="3" xfId="0" applyNumberFormat="1" applyFont="1" applyBorder="1" applyAlignment="1">
      <alignment horizontal="center" vertical="top" shrinkToFit="1"/>
    </xf>
    <xf numFmtId="169" fontId="14" fillId="0" borderId="3" xfId="0" applyNumberFormat="1" applyFont="1" applyBorder="1" applyAlignment="1">
      <alignment horizontal="center" vertical="top" shrinkToFit="1"/>
    </xf>
    <xf numFmtId="0" fontId="13" fillId="0" borderId="3" xfId="0" applyFont="1" applyFill="1" applyBorder="1" applyAlignment="1">
      <alignment horizontal="left" vertical="top" wrapText="1"/>
    </xf>
    <xf numFmtId="167" fontId="14" fillId="0" borderId="3" xfId="0" applyNumberFormat="1" applyFont="1" applyFill="1" applyBorder="1" applyAlignment="1">
      <alignment horizontal="center" vertical="top" shrinkToFit="1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4" fontId="0" fillId="6" borderId="9" xfId="0" applyNumberFormat="1" applyFill="1" applyBorder="1" applyAlignment="1">
      <alignment horizontal="center" vertical="center"/>
    </xf>
    <xf numFmtId="14" fontId="0" fillId="6" borderId="12" xfId="0" applyNumberForma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4" fontId="0" fillId="6" borderId="15" xfId="0" applyNumberFormat="1" applyFill="1" applyBorder="1" applyAlignment="1">
      <alignment horizontal="center" vertical="center"/>
    </xf>
    <xf numFmtId="14" fontId="0" fillId="6" borderId="17" xfId="0" applyNumberForma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ximene.orbe@hotmail.es" TargetMode="External"/><Relationship Id="rId21" Type="http://schemas.openxmlformats.org/officeDocument/2006/relationships/hyperlink" Target="mailto:salomesantin@gmail.com" TargetMode="External"/><Relationship Id="rId42" Type="http://schemas.openxmlformats.org/officeDocument/2006/relationships/hyperlink" Target="mailto:melaniejajame@gmail.com" TargetMode="External"/><Relationship Id="rId63" Type="http://schemas.openxmlformats.org/officeDocument/2006/relationships/hyperlink" Target="mailto:monihervi@gmail.com" TargetMode="External"/><Relationship Id="rId84" Type="http://schemas.openxmlformats.org/officeDocument/2006/relationships/hyperlink" Target="mailto:jimenezgeovanna@hotmail.com" TargetMode="External"/><Relationship Id="rId138" Type="http://schemas.openxmlformats.org/officeDocument/2006/relationships/hyperlink" Target="mailto:susanasuarez@hotmail.com" TargetMode="External"/><Relationship Id="rId159" Type="http://schemas.openxmlformats.org/officeDocument/2006/relationships/hyperlink" Target="mailto:amanda._p@hotmail.com" TargetMode="External"/><Relationship Id="rId170" Type="http://schemas.openxmlformats.org/officeDocument/2006/relationships/hyperlink" Target="mailto:contabilidad@brenaluniformes.com" TargetMode="External"/><Relationship Id="rId191" Type="http://schemas.openxmlformats.org/officeDocument/2006/relationships/hyperlink" Target="mailto:icdmony@hotmail.com" TargetMode="External"/><Relationship Id="rId107" Type="http://schemas.openxmlformats.org/officeDocument/2006/relationships/hyperlink" Target="mailto:maverom_25@hotmail.com" TargetMode="External"/><Relationship Id="rId11" Type="http://schemas.openxmlformats.org/officeDocument/2006/relationships/hyperlink" Target="mailto:valeriaguirre2000@hotmail.com" TargetMode="External"/><Relationship Id="rId32" Type="http://schemas.openxmlformats.org/officeDocument/2006/relationships/hyperlink" Target="mailto:giss-1016@hotmail.com" TargetMode="External"/><Relationship Id="rId53" Type="http://schemas.openxmlformats.org/officeDocument/2006/relationships/hyperlink" Target="mailto:loremoncayo08@gmail.com" TargetMode="External"/><Relationship Id="rId74" Type="http://schemas.openxmlformats.org/officeDocument/2006/relationships/hyperlink" Target="mailto:sp.galindoh@gmail.com" TargetMode="External"/><Relationship Id="rId128" Type="http://schemas.openxmlformats.org/officeDocument/2006/relationships/hyperlink" Target="mailto:vanecls2810@gmail.com" TargetMode="External"/><Relationship Id="rId149" Type="http://schemas.openxmlformats.org/officeDocument/2006/relationships/hyperlink" Target="mailto:ge.nozz@hotmail.com" TargetMode="External"/><Relationship Id="rId5" Type="http://schemas.openxmlformats.org/officeDocument/2006/relationships/hyperlink" Target="mailto:maritza_izurieta@hotmail.com" TargetMode="External"/><Relationship Id="rId95" Type="http://schemas.openxmlformats.org/officeDocument/2006/relationships/hyperlink" Target="mailto:kro16-87@hotmail.com" TargetMode="External"/><Relationship Id="rId160" Type="http://schemas.openxmlformats.org/officeDocument/2006/relationships/hyperlink" Target="mailto:bigustavo007@gmail.com" TargetMode="External"/><Relationship Id="rId181" Type="http://schemas.openxmlformats.org/officeDocument/2006/relationships/hyperlink" Target="mailto:marcelo_jijon@hotmail.com" TargetMode="External"/><Relationship Id="rId22" Type="http://schemas.openxmlformats.org/officeDocument/2006/relationships/hyperlink" Target="mailto:gagaad@gmail.com" TargetMode="External"/><Relationship Id="rId43" Type="http://schemas.openxmlformats.org/officeDocument/2006/relationships/hyperlink" Target="mailto:priscilamerino84@hotmail.com" TargetMode="External"/><Relationship Id="rId64" Type="http://schemas.openxmlformats.org/officeDocument/2006/relationships/hyperlink" Target="mailto:carolinavallejo.ac@gmail.com" TargetMode="External"/><Relationship Id="rId118" Type="http://schemas.openxmlformats.org/officeDocument/2006/relationships/hyperlink" Target="mailto:stephanie_herrera_@hotmail.com" TargetMode="External"/><Relationship Id="rId139" Type="http://schemas.openxmlformats.org/officeDocument/2006/relationships/hyperlink" Target="mailto:lindagrp@hotmail.com" TargetMode="External"/><Relationship Id="rId85" Type="http://schemas.openxmlformats.org/officeDocument/2006/relationships/hyperlink" Target="mailto:danialejandra998@gmail.com" TargetMode="External"/><Relationship Id="rId150" Type="http://schemas.openxmlformats.org/officeDocument/2006/relationships/hyperlink" Target="mailto:paulayanes_99@hotmail.com" TargetMode="External"/><Relationship Id="rId171" Type="http://schemas.openxmlformats.org/officeDocument/2006/relationships/hyperlink" Target="mailto:bastidas_acosta_maria@hotmail.com" TargetMode="External"/><Relationship Id="rId192" Type="http://schemas.openxmlformats.org/officeDocument/2006/relationships/hyperlink" Target="mailto:raismoreno@gmail.com" TargetMode="External"/><Relationship Id="rId12" Type="http://schemas.openxmlformats.org/officeDocument/2006/relationships/hyperlink" Target="mailto:cd_cifuentes3@hotmail.com" TargetMode="External"/><Relationship Id="rId33" Type="http://schemas.openxmlformats.org/officeDocument/2006/relationships/hyperlink" Target="mailto:majoroseroe1@gmail.com" TargetMode="External"/><Relationship Id="rId108" Type="http://schemas.openxmlformats.org/officeDocument/2006/relationships/hyperlink" Target="mailto:leticiasanchezv@yahoo.com" TargetMode="External"/><Relationship Id="rId129" Type="http://schemas.openxmlformats.org/officeDocument/2006/relationships/hyperlink" Target="mailto:paola_valencia19@hotmail.com" TargetMode="External"/><Relationship Id="rId54" Type="http://schemas.openxmlformats.org/officeDocument/2006/relationships/hyperlink" Target="mailto:snaranjo@hotmail.com" TargetMode="External"/><Relationship Id="rId75" Type="http://schemas.openxmlformats.org/officeDocument/2006/relationships/hyperlink" Target="mailto:paulinaferri@gmail.com" TargetMode="External"/><Relationship Id="rId96" Type="http://schemas.openxmlformats.org/officeDocument/2006/relationships/hyperlink" Target="mailto:karen777eliza@hotmail.com" TargetMode="External"/><Relationship Id="rId140" Type="http://schemas.openxmlformats.org/officeDocument/2006/relationships/hyperlink" Target="mailto:tstradaioli@gmail.com" TargetMode="External"/><Relationship Id="rId161" Type="http://schemas.openxmlformats.org/officeDocument/2006/relationships/hyperlink" Target="mailto:nrsantamaria7@gmail.com" TargetMode="External"/><Relationship Id="rId182" Type="http://schemas.openxmlformats.org/officeDocument/2006/relationships/hyperlink" Target="mailto:juanca-salcedo@hotmail.com" TargetMode="External"/><Relationship Id="rId6" Type="http://schemas.openxmlformats.org/officeDocument/2006/relationships/hyperlink" Target="mailto:vir_74@hotmail.com" TargetMode="External"/><Relationship Id="rId23" Type="http://schemas.openxmlformats.org/officeDocument/2006/relationships/hyperlink" Target="mailto:madrastruchis@gmail.com" TargetMode="External"/><Relationship Id="rId119" Type="http://schemas.openxmlformats.org/officeDocument/2006/relationships/hyperlink" Target="mailto:valentinacharpentier33@gmail.com" TargetMode="External"/><Relationship Id="rId44" Type="http://schemas.openxmlformats.org/officeDocument/2006/relationships/hyperlink" Target="mailto:franchi694@gmail.com" TargetMode="External"/><Relationship Id="rId65" Type="http://schemas.openxmlformats.org/officeDocument/2006/relationships/hyperlink" Target="mailto:katemel_1989@hotmail.es" TargetMode="External"/><Relationship Id="rId86" Type="http://schemas.openxmlformats.org/officeDocument/2006/relationships/hyperlink" Target="mailto:sandypoma777@hotmail.com" TargetMode="External"/><Relationship Id="rId130" Type="http://schemas.openxmlformats.org/officeDocument/2006/relationships/hyperlink" Target="mailto:lilytecruz@gmail.com" TargetMode="External"/><Relationship Id="rId151" Type="http://schemas.openxmlformats.org/officeDocument/2006/relationships/hyperlink" Target="mailto:eflores@pandababyec.com" TargetMode="External"/><Relationship Id="rId172" Type="http://schemas.openxmlformats.org/officeDocument/2006/relationships/hyperlink" Target="mailto:salome264@gmail.com" TargetMode="External"/><Relationship Id="rId193" Type="http://schemas.openxmlformats.org/officeDocument/2006/relationships/hyperlink" Target="mailto:arianna101899@outlok.ec" TargetMode="External"/><Relationship Id="rId13" Type="http://schemas.openxmlformats.org/officeDocument/2006/relationships/hyperlink" Target="mailto:emilia251997@hotmail.com" TargetMode="External"/><Relationship Id="rId109" Type="http://schemas.openxmlformats.org/officeDocument/2006/relationships/hyperlink" Target="mailto:adrian_ibarra4@yahoo.com" TargetMode="External"/><Relationship Id="rId34" Type="http://schemas.openxmlformats.org/officeDocument/2006/relationships/hyperlink" Target="mailto:majoroseroe1_@gmail.com" TargetMode="External"/><Relationship Id="rId55" Type="http://schemas.openxmlformats.org/officeDocument/2006/relationships/hyperlink" Target="mailto:soniaelax@hotmail.com" TargetMode="External"/><Relationship Id="rId76" Type="http://schemas.openxmlformats.org/officeDocument/2006/relationships/hyperlink" Target="mailto:kfccadena@gmail.com" TargetMode="External"/><Relationship Id="rId97" Type="http://schemas.openxmlformats.org/officeDocument/2006/relationships/hyperlink" Target="mailto:gallardo_moni@yahoo.es" TargetMode="External"/><Relationship Id="rId120" Type="http://schemas.openxmlformats.org/officeDocument/2006/relationships/hyperlink" Target="mailto:glunanarvaez@gmail.com" TargetMode="External"/><Relationship Id="rId141" Type="http://schemas.openxmlformats.org/officeDocument/2006/relationships/hyperlink" Target="mailto:nchllOrbe@gmail.com" TargetMode="External"/><Relationship Id="rId7" Type="http://schemas.openxmlformats.org/officeDocument/2006/relationships/hyperlink" Target="mailto:vir_74@hotmail.com" TargetMode="External"/><Relationship Id="rId71" Type="http://schemas.openxmlformats.org/officeDocument/2006/relationships/hyperlink" Target="mailto:isabellallerena151@gmail.com" TargetMode="External"/><Relationship Id="rId92" Type="http://schemas.openxmlformats.org/officeDocument/2006/relationships/hyperlink" Target="mailto:crispe@gmail.com" TargetMode="External"/><Relationship Id="rId162" Type="http://schemas.openxmlformats.org/officeDocument/2006/relationships/hyperlink" Target="mailto:glunanarvaez@gmail.com" TargetMode="External"/><Relationship Id="rId183" Type="http://schemas.openxmlformats.org/officeDocument/2006/relationships/hyperlink" Target="mailto:jimealmv@hotmail.com" TargetMode="External"/><Relationship Id="rId2" Type="http://schemas.openxmlformats.org/officeDocument/2006/relationships/hyperlink" Target="mailto:anitamarizmusicz@hotmail.com" TargetMode="External"/><Relationship Id="rId29" Type="http://schemas.openxmlformats.org/officeDocument/2006/relationships/hyperlink" Target="mailto:sofia.gavilanes27@gmail.com" TargetMode="External"/><Relationship Id="rId24" Type="http://schemas.openxmlformats.org/officeDocument/2006/relationships/hyperlink" Target="mailto:anabelzambrano91@gmail.com" TargetMode="External"/><Relationship Id="rId40" Type="http://schemas.openxmlformats.org/officeDocument/2006/relationships/hyperlink" Target="mailto:abg.mendoza@gmail.com" TargetMode="External"/><Relationship Id="rId45" Type="http://schemas.openxmlformats.org/officeDocument/2006/relationships/hyperlink" Target="mailto:criss_ldu@hotmail.com" TargetMode="External"/><Relationship Id="rId66" Type="http://schemas.openxmlformats.org/officeDocument/2006/relationships/hyperlink" Target="mailto:jessbilbao94@gmail.com" TargetMode="External"/><Relationship Id="rId87" Type="http://schemas.openxmlformats.org/officeDocument/2006/relationships/hyperlink" Target="mailto:egbduque@gmail.com" TargetMode="External"/><Relationship Id="rId110" Type="http://schemas.openxmlformats.org/officeDocument/2006/relationships/hyperlink" Target="mailto:edithmontaluisa@gemail.com" TargetMode="External"/><Relationship Id="rId115" Type="http://schemas.openxmlformats.org/officeDocument/2006/relationships/hyperlink" Target="mailto:andreae.pardoch@gmail.com" TargetMode="External"/><Relationship Id="rId131" Type="http://schemas.openxmlformats.org/officeDocument/2006/relationships/hyperlink" Target="mailto:yaguagallo@gmail.com" TargetMode="External"/><Relationship Id="rId136" Type="http://schemas.openxmlformats.org/officeDocument/2006/relationships/hyperlink" Target="mailto:jessmanzano1985@hotmail.com" TargetMode="External"/><Relationship Id="rId157" Type="http://schemas.openxmlformats.org/officeDocument/2006/relationships/hyperlink" Target="mailto:emilliestiff6@gmail.com" TargetMode="External"/><Relationship Id="rId178" Type="http://schemas.openxmlformats.org/officeDocument/2006/relationships/hyperlink" Target="mailto:adamarisgallegos@hotmail.com" TargetMode="External"/><Relationship Id="rId61" Type="http://schemas.openxmlformats.org/officeDocument/2006/relationships/hyperlink" Target="mailto:monihervi@gmail.com" TargetMode="External"/><Relationship Id="rId82" Type="http://schemas.openxmlformats.org/officeDocument/2006/relationships/hyperlink" Target="mailto:alexandra.valladares@gmail.com" TargetMode="External"/><Relationship Id="rId152" Type="http://schemas.openxmlformats.org/officeDocument/2006/relationships/hyperlink" Target="mailto:cristhy-1408@hotmail.com" TargetMode="External"/><Relationship Id="rId173" Type="http://schemas.openxmlformats.org/officeDocument/2006/relationships/hyperlink" Target="mailto:nicoleleon@gmail.com" TargetMode="External"/><Relationship Id="rId194" Type="http://schemas.openxmlformats.org/officeDocument/2006/relationships/hyperlink" Target="mailto:gcuerito@yahoo.com" TargetMode="External"/><Relationship Id="rId19" Type="http://schemas.openxmlformats.org/officeDocument/2006/relationships/hyperlink" Target="mailto:karla.2012006@gmail.com" TargetMode="External"/><Relationship Id="rId14" Type="http://schemas.openxmlformats.org/officeDocument/2006/relationships/hyperlink" Target="mailto:nathalicabrera@gmail.com" TargetMode="External"/><Relationship Id="rId30" Type="http://schemas.openxmlformats.org/officeDocument/2006/relationships/hyperlink" Target="mailto:abigailmaldonado@hotmail.com" TargetMode="External"/><Relationship Id="rId35" Type="http://schemas.openxmlformats.org/officeDocument/2006/relationships/hyperlink" Target="mailto:cabezas.marco@hotmail.com" TargetMode="External"/><Relationship Id="rId56" Type="http://schemas.openxmlformats.org/officeDocument/2006/relationships/hyperlink" Target="mailto:fpacota18@hotmail.com" TargetMode="External"/><Relationship Id="rId77" Type="http://schemas.openxmlformats.org/officeDocument/2006/relationships/hyperlink" Target="mailto:werazo29@hotmail.com" TargetMode="External"/><Relationship Id="rId100" Type="http://schemas.openxmlformats.org/officeDocument/2006/relationships/hyperlink" Target="mailto:paola1985.amv@gmail.com" TargetMode="External"/><Relationship Id="rId105" Type="http://schemas.openxmlformats.org/officeDocument/2006/relationships/hyperlink" Target="mailto:ionbandh@gmail.com" TargetMode="External"/><Relationship Id="rId126" Type="http://schemas.openxmlformats.org/officeDocument/2006/relationships/hyperlink" Target="mailto:valeria_guillota97@hotmail.com" TargetMode="External"/><Relationship Id="rId147" Type="http://schemas.openxmlformats.org/officeDocument/2006/relationships/hyperlink" Target="mailto:lieselottehassler@hotmail.com" TargetMode="External"/><Relationship Id="rId168" Type="http://schemas.openxmlformats.org/officeDocument/2006/relationships/hyperlink" Target="mailto:pathy283@hotmail.com" TargetMode="External"/><Relationship Id="rId8" Type="http://schemas.openxmlformats.org/officeDocument/2006/relationships/hyperlink" Target="mailto:vir_74@hotmail.com" TargetMode="External"/><Relationship Id="rId51" Type="http://schemas.openxmlformats.org/officeDocument/2006/relationships/hyperlink" Target="mailto:mickyponce18@hotmail.com" TargetMode="External"/><Relationship Id="rId72" Type="http://schemas.openxmlformats.org/officeDocument/2006/relationships/hyperlink" Target="mailto:dianakburbano@outlook.com" TargetMode="External"/><Relationship Id="rId93" Type="http://schemas.openxmlformats.org/officeDocument/2006/relationships/hyperlink" Target="mailto:muchelle-puga@hotmail.com" TargetMode="External"/><Relationship Id="rId98" Type="http://schemas.openxmlformats.org/officeDocument/2006/relationships/hyperlink" Target="mailto:luzgtapia@gmail.com" TargetMode="External"/><Relationship Id="rId121" Type="http://schemas.openxmlformats.org/officeDocument/2006/relationships/hyperlink" Target="mailto:sacosta.flor@gmail.com" TargetMode="External"/><Relationship Id="rId142" Type="http://schemas.openxmlformats.org/officeDocument/2006/relationships/hyperlink" Target="mailto:mayita98@hotmail.es" TargetMode="External"/><Relationship Id="rId163" Type="http://schemas.openxmlformats.org/officeDocument/2006/relationships/hyperlink" Target="mailto:nicolasflores84@gmail.com" TargetMode="External"/><Relationship Id="rId184" Type="http://schemas.openxmlformats.org/officeDocument/2006/relationships/hyperlink" Target="mailto:van_maribel22@gmail.com" TargetMode="External"/><Relationship Id="rId189" Type="http://schemas.openxmlformats.org/officeDocument/2006/relationships/hyperlink" Target="mailto:jenfigueroa.df@gmail.com" TargetMode="External"/><Relationship Id="rId3" Type="http://schemas.openxmlformats.org/officeDocument/2006/relationships/hyperlink" Target="mailto:stefimil89@hotmail.com" TargetMode="External"/><Relationship Id="rId25" Type="http://schemas.openxmlformats.org/officeDocument/2006/relationships/hyperlink" Target="mailto:monivivancovi@gmail.com" TargetMode="External"/><Relationship Id="rId46" Type="http://schemas.openxmlformats.org/officeDocument/2006/relationships/hyperlink" Target="mailto:alexandra.abadiano@gmail.com" TargetMode="External"/><Relationship Id="rId67" Type="http://schemas.openxmlformats.org/officeDocument/2006/relationships/hyperlink" Target="mailto:sofiaruizg21@gmail.com" TargetMode="External"/><Relationship Id="rId116" Type="http://schemas.openxmlformats.org/officeDocument/2006/relationships/hyperlink" Target="mailto:carla.sandoval92@gmail.com" TargetMode="External"/><Relationship Id="rId137" Type="http://schemas.openxmlformats.org/officeDocument/2006/relationships/hyperlink" Target="mailto:nyleveagb@yahoo.es" TargetMode="External"/><Relationship Id="rId158" Type="http://schemas.openxmlformats.org/officeDocument/2006/relationships/hyperlink" Target="mailto:paulayanez_99@hotmail.com" TargetMode="External"/><Relationship Id="rId20" Type="http://schemas.openxmlformats.org/officeDocument/2006/relationships/hyperlink" Target="mailto:jrv_1618@hotmail.com" TargetMode="External"/><Relationship Id="rId41" Type="http://schemas.openxmlformats.org/officeDocument/2006/relationships/hyperlink" Target="mailto:carolinamena85@hotmail.com" TargetMode="External"/><Relationship Id="rId62" Type="http://schemas.openxmlformats.org/officeDocument/2006/relationships/hyperlink" Target="mailto:monihervi@gmail.com" TargetMode="External"/><Relationship Id="rId83" Type="http://schemas.openxmlformats.org/officeDocument/2006/relationships/hyperlink" Target="mailto:tatiana.meza1973@gmail.com" TargetMode="External"/><Relationship Id="rId88" Type="http://schemas.openxmlformats.org/officeDocument/2006/relationships/hyperlink" Target="mailto:verolunita@yahoo.com" TargetMode="External"/><Relationship Id="rId111" Type="http://schemas.openxmlformats.org/officeDocument/2006/relationships/hyperlink" Target="mailto:garnicamabe@gmail.com" TargetMode="External"/><Relationship Id="rId132" Type="http://schemas.openxmlformats.org/officeDocument/2006/relationships/hyperlink" Target="mailto:huasiquindi@hotmail.com" TargetMode="External"/><Relationship Id="rId153" Type="http://schemas.openxmlformats.org/officeDocument/2006/relationships/hyperlink" Target="mailto:pada_valencia19@hotmail.com" TargetMode="External"/><Relationship Id="rId174" Type="http://schemas.openxmlformats.org/officeDocument/2006/relationships/hyperlink" Target="mailto:fernandajaravaca@gmail.com" TargetMode="External"/><Relationship Id="rId179" Type="http://schemas.openxmlformats.org/officeDocument/2006/relationships/hyperlink" Target="mailto:jennyduquemedina@gmail.com" TargetMode="External"/><Relationship Id="rId195" Type="http://schemas.openxmlformats.org/officeDocument/2006/relationships/hyperlink" Target="mailto:adrianeins@hotmail.com" TargetMode="External"/><Relationship Id="rId190" Type="http://schemas.openxmlformats.org/officeDocument/2006/relationships/hyperlink" Target="mailto:majovasquezc@gmail.com" TargetMode="External"/><Relationship Id="rId15" Type="http://schemas.openxmlformats.org/officeDocument/2006/relationships/hyperlink" Target="mailto:mppa7mino@gmail.com" TargetMode="External"/><Relationship Id="rId36" Type="http://schemas.openxmlformats.org/officeDocument/2006/relationships/hyperlink" Target="mailto:iboneflores@hotmail.com" TargetMode="External"/><Relationship Id="rId57" Type="http://schemas.openxmlformats.org/officeDocument/2006/relationships/hyperlink" Target="mailto:doris.almeida.o@gmail.com" TargetMode="External"/><Relationship Id="rId106" Type="http://schemas.openxmlformats.org/officeDocument/2006/relationships/hyperlink" Target="mailto:monigoteja123@gmail.com" TargetMode="External"/><Relationship Id="rId127" Type="http://schemas.openxmlformats.org/officeDocument/2006/relationships/hyperlink" Target="mailto:jan.ce46@hotmail.com" TargetMode="External"/><Relationship Id="rId10" Type="http://schemas.openxmlformats.org/officeDocument/2006/relationships/hyperlink" Target="mailto:sandosmonterobetty@gmail.com" TargetMode="External"/><Relationship Id="rId31" Type="http://schemas.openxmlformats.org/officeDocument/2006/relationships/hyperlink" Target="mailto:abbiejeje@gmail.com" TargetMode="External"/><Relationship Id="rId52" Type="http://schemas.openxmlformats.org/officeDocument/2006/relationships/hyperlink" Target="mailto:squevedo94@outlook.es" TargetMode="External"/><Relationship Id="rId73" Type="http://schemas.openxmlformats.org/officeDocument/2006/relationships/hyperlink" Target="mailto:adriana.yugsi@gmail.com" TargetMode="External"/><Relationship Id="rId78" Type="http://schemas.openxmlformats.org/officeDocument/2006/relationships/hyperlink" Target="mailto:dianaecn@gmail.com" TargetMode="External"/><Relationship Id="rId94" Type="http://schemas.openxmlformats.org/officeDocument/2006/relationships/hyperlink" Target="mailto:adonaypallo@hotmail.com" TargetMode="External"/><Relationship Id="rId99" Type="http://schemas.openxmlformats.org/officeDocument/2006/relationships/hyperlink" Target="mailto:cruzap.micaela@gmail.com" TargetMode="External"/><Relationship Id="rId101" Type="http://schemas.openxmlformats.org/officeDocument/2006/relationships/hyperlink" Target="mailto:aanavarretey@hotmail.com" TargetMode="External"/><Relationship Id="rId122" Type="http://schemas.openxmlformats.org/officeDocument/2006/relationships/hyperlink" Target="mailto:dieli1788@gmail.com" TargetMode="External"/><Relationship Id="rId143" Type="http://schemas.openxmlformats.org/officeDocument/2006/relationships/hyperlink" Target="mailto:ffany_mencias@hotmail.com" TargetMode="External"/><Relationship Id="rId148" Type="http://schemas.openxmlformats.org/officeDocument/2006/relationships/hyperlink" Target="mailto:christian89.pardo@hotmail.com" TargetMode="External"/><Relationship Id="rId164" Type="http://schemas.openxmlformats.org/officeDocument/2006/relationships/hyperlink" Target="mailto:leo.ardiente@hotmail.com" TargetMode="External"/><Relationship Id="rId169" Type="http://schemas.openxmlformats.org/officeDocument/2006/relationships/hyperlink" Target="mailto:andrea_cajas@yahoo.com" TargetMode="External"/><Relationship Id="rId185" Type="http://schemas.openxmlformats.org/officeDocument/2006/relationships/hyperlink" Target="mailto:paulipaez@gmail.com" TargetMode="External"/><Relationship Id="rId4" Type="http://schemas.openxmlformats.org/officeDocument/2006/relationships/hyperlink" Target="mailto:lolo20251980@otloor.com" TargetMode="External"/><Relationship Id="rId9" Type="http://schemas.openxmlformats.org/officeDocument/2006/relationships/hyperlink" Target="mailto:mgrea96@gmail.com" TargetMode="External"/><Relationship Id="rId180" Type="http://schemas.openxmlformats.org/officeDocument/2006/relationships/hyperlink" Target="mailto:alievelyng_20@hotmail.com" TargetMode="External"/><Relationship Id="rId26" Type="http://schemas.openxmlformats.org/officeDocument/2006/relationships/hyperlink" Target="mailto:mariana_2192@hotmail.com" TargetMode="External"/><Relationship Id="rId47" Type="http://schemas.openxmlformats.org/officeDocument/2006/relationships/hyperlink" Target="mailto:veronic.chm2503@hotmail.com" TargetMode="External"/><Relationship Id="rId68" Type="http://schemas.openxmlformats.org/officeDocument/2006/relationships/hyperlink" Target="mailto:gatteins007@hotmail.com" TargetMode="External"/><Relationship Id="rId89" Type="http://schemas.openxmlformats.org/officeDocument/2006/relationships/hyperlink" Target="mailto:maga558@hotmail.com" TargetMode="External"/><Relationship Id="rId112" Type="http://schemas.openxmlformats.org/officeDocument/2006/relationships/hyperlink" Target="mailto:veroalexa@gmail.com" TargetMode="External"/><Relationship Id="rId133" Type="http://schemas.openxmlformats.org/officeDocument/2006/relationships/hyperlink" Target="mailto:tgaibor1@hotmail.com" TargetMode="External"/><Relationship Id="rId154" Type="http://schemas.openxmlformats.org/officeDocument/2006/relationships/hyperlink" Target="mailto:noee_1289@hotmail.com" TargetMode="External"/><Relationship Id="rId175" Type="http://schemas.openxmlformats.org/officeDocument/2006/relationships/hyperlink" Target="mailto:aanavarretey@hotmail,com" TargetMode="External"/><Relationship Id="rId196" Type="http://schemas.openxmlformats.org/officeDocument/2006/relationships/hyperlink" Target="mailto:pablonicolas.06@hotmail.com" TargetMode="External"/><Relationship Id="rId16" Type="http://schemas.openxmlformats.org/officeDocument/2006/relationships/hyperlink" Target="mailto:kikibelen@gmail.com" TargetMode="External"/><Relationship Id="rId37" Type="http://schemas.openxmlformats.org/officeDocument/2006/relationships/hyperlink" Target="mailto:stefi.espinosa@hotmail.com" TargetMode="External"/><Relationship Id="rId58" Type="http://schemas.openxmlformats.org/officeDocument/2006/relationships/hyperlink" Target="mailto:michelassol@hotmail.com" TargetMode="External"/><Relationship Id="rId79" Type="http://schemas.openxmlformats.org/officeDocument/2006/relationships/hyperlink" Target="mailto:patty.ale88@hotmail.com" TargetMode="External"/><Relationship Id="rId102" Type="http://schemas.openxmlformats.org/officeDocument/2006/relationships/hyperlink" Target="mailto:andreanuques@hotmail.com" TargetMode="External"/><Relationship Id="rId123" Type="http://schemas.openxmlformats.org/officeDocument/2006/relationships/hyperlink" Target="mailto:veronicaachi17@outlook.es" TargetMode="External"/><Relationship Id="rId144" Type="http://schemas.openxmlformats.org/officeDocument/2006/relationships/hyperlink" Target="mailto:dra.keniaarredondo@gmail.com" TargetMode="External"/><Relationship Id="rId90" Type="http://schemas.openxmlformats.org/officeDocument/2006/relationships/hyperlink" Target="mailto:sammy@hotmail.es" TargetMode="External"/><Relationship Id="rId165" Type="http://schemas.openxmlformats.org/officeDocument/2006/relationships/hyperlink" Target="mailto:karojipz@hotmail.com" TargetMode="External"/><Relationship Id="rId186" Type="http://schemas.openxmlformats.org/officeDocument/2006/relationships/hyperlink" Target="mailto:natmer1003@yahoo.com" TargetMode="External"/><Relationship Id="rId27" Type="http://schemas.openxmlformats.org/officeDocument/2006/relationships/hyperlink" Target="mailto:marita.castillo@gmail.com" TargetMode="External"/><Relationship Id="rId48" Type="http://schemas.openxmlformats.org/officeDocument/2006/relationships/hyperlink" Target="mailto:luishsandoval88@gmail.com" TargetMode="External"/><Relationship Id="rId69" Type="http://schemas.openxmlformats.org/officeDocument/2006/relationships/hyperlink" Target="mailto:monicapizurietav@gmail.com" TargetMode="External"/><Relationship Id="rId113" Type="http://schemas.openxmlformats.org/officeDocument/2006/relationships/hyperlink" Target="mailto:verjo79@hotmail.com" TargetMode="External"/><Relationship Id="rId134" Type="http://schemas.openxmlformats.org/officeDocument/2006/relationships/hyperlink" Target="mailto:aishapesantez@gmail.com" TargetMode="External"/><Relationship Id="rId80" Type="http://schemas.openxmlformats.org/officeDocument/2006/relationships/hyperlink" Target="mailto:camile.nunez3@gmail.com" TargetMode="External"/><Relationship Id="rId155" Type="http://schemas.openxmlformats.org/officeDocument/2006/relationships/hyperlink" Target="mailto:milton.aguas@gmail.com" TargetMode="External"/><Relationship Id="rId176" Type="http://schemas.openxmlformats.org/officeDocument/2006/relationships/hyperlink" Target="mailto:maritza_carrillo_@outlook.comec" TargetMode="External"/><Relationship Id="rId197" Type="http://schemas.openxmlformats.org/officeDocument/2006/relationships/printerSettings" Target="../printerSettings/printerSettings2.bin"/><Relationship Id="rId17" Type="http://schemas.openxmlformats.org/officeDocument/2006/relationships/hyperlink" Target="mailto:angelita.silviaro@gmail.com" TargetMode="External"/><Relationship Id="rId38" Type="http://schemas.openxmlformats.org/officeDocument/2006/relationships/hyperlink" Target="mailto:helragba@yahoo.com" TargetMode="External"/><Relationship Id="rId59" Type="http://schemas.openxmlformats.org/officeDocument/2006/relationships/hyperlink" Target="mailto:ximeteran@hotmail.com" TargetMode="External"/><Relationship Id="rId103" Type="http://schemas.openxmlformats.org/officeDocument/2006/relationships/hyperlink" Target="mailto:alexandradelrociosanchez@gmail.com" TargetMode="External"/><Relationship Id="rId124" Type="http://schemas.openxmlformats.org/officeDocument/2006/relationships/hyperlink" Target="mailto:mafer-reyes@hotmail.ec" TargetMode="External"/><Relationship Id="rId70" Type="http://schemas.openxmlformats.org/officeDocument/2006/relationships/hyperlink" Target="mailto:ejimerizalde@hotmail.com" TargetMode="External"/><Relationship Id="rId91" Type="http://schemas.openxmlformats.org/officeDocument/2006/relationships/hyperlink" Target="mailto:stefanyfer90@gmail.com" TargetMode="External"/><Relationship Id="rId145" Type="http://schemas.openxmlformats.org/officeDocument/2006/relationships/hyperlink" Target="mailto:mlojanov@gmail.com" TargetMode="External"/><Relationship Id="rId166" Type="http://schemas.openxmlformats.org/officeDocument/2006/relationships/hyperlink" Target="mailto:les.ayala@hotmail.com" TargetMode="External"/><Relationship Id="rId187" Type="http://schemas.openxmlformats.org/officeDocument/2006/relationships/hyperlink" Target="mailto:graceanabel1997@gmail.com" TargetMode="External"/><Relationship Id="rId1" Type="http://schemas.openxmlformats.org/officeDocument/2006/relationships/hyperlink" Target="mailto:g.castellanos92@gmail.com" TargetMode="External"/><Relationship Id="rId28" Type="http://schemas.openxmlformats.org/officeDocument/2006/relationships/hyperlink" Target="mailto:sofia.gavilanes27@gmail.com" TargetMode="External"/><Relationship Id="rId49" Type="http://schemas.openxmlformats.org/officeDocument/2006/relationships/hyperlink" Target="mailto:vickyroman_7@hotmail.com" TargetMode="External"/><Relationship Id="rId114" Type="http://schemas.openxmlformats.org/officeDocument/2006/relationships/hyperlink" Target="mailto:estelavargasi52@gmail.com" TargetMode="External"/><Relationship Id="rId60" Type="http://schemas.openxmlformats.org/officeDocument/2006/relationships/hyperlink" Target="mailto:crissespin@gmail.com" TargetMode="External"/><Relationship Id="rId81" Type="http://schemas.openxmlformats.org/officeDocument/2006/relationships/hyperlink" Target="mailto:jd79ehg@hotmail.com" TargetMode="External"/><Relationship Id="rId135" Type="http://schemas.openxmlformats.org/officeDocument/2006/relationships/hyperlink" Target="mailto:charitocobo.@gmail.com" TargetMode="External"/><Relationship Id="rId156" Type="http://schemas.openxmlformats.org/officeDocument/2006/relationships/hyperlink" Target="mailto:andressanchez1923@gmail.com" TargetMode="External"/><Relationship Id="rId177" Type="http://schemas.openxmlformats.org/officeDocument/2006/relationships/hyperlink" Target="mailto:anitavegacevallos@hotmail.com" TargetMode="External"/><Relationship Id="rId18" Type="http://schemas.openxmlformats.org/officeDocument/2006/relationships/hyperlink" Target="mailto:maria.chicaiza1928@hotmail.com" TargetMode="External"/><Relationship Id="rId39" Type="http://schemas.openxmlformats.org/officeDocument/2006/relationships/hyperlink" Target="mailto:mell0630@hotmail.com" TargetMode="External"/><Relationship Id="rId50" Type="http://schemas.openxmlformats.org/officeDocument/2006/relationships/hyperlink" Target="mailto:kathykmsl@gmail.com" TargetMode="External"/><Relationship Id="rId104" Type="http://schemas.openxmlformats.org/officeDocument/2006/relationships/hyperlink" Target="mailto:uvcalahorrano@hotmail.com" TargetMode="External"/><Relationship Id="rId125" Type="http://schemas.openxmlformats.org/officeDocument/2006/relationships/hyperlink" Target="mailto:car-ale-br@hotmail.com" TargetMode="External"/><Relationship Id="rId146" Type="http://schemas.openxmlformats.org/officeDocument/2006/relationships/hyperlink" Target="mailto:cpoveda77@gmail.com" TargetMode="External"/><Relationship Id="rId167" Type="http://schemas.openxmlformats.org/officeDocument/2006/relationships/hyperlink" Target="mailto:mariela_cabezas5@gmail.com" TargetMode="External"/><Relationship Id="rId188" Type="http://schemas.openxmlformats.org/officeDocument/2006/relationships/hyperlink" Target="mailto:bray192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majoroseroe1_@gmail.com" TargetMode="External"/><Relationship Id="rId299" Type="http://schemas.openxmlformats.org/officeDocument/2006/relationships/hyperlink" Target="mailto:masolrl@gmail.com" TargetMode="External"/><Relationship Id="rId21" Type="http://schemas.openxmlformats.org/officeDocument/2006/relationships/hyperlink" Target="mailto:mgrea96@gmail.com" TargetMode="External"/><Relationship Id="rId63" Type="http://schemas.openxmlformats.org/officeDocument/2006/relationships/hyperlink" Target="mailto:maria.chicaiza1928@hotmail.com" TargetMode="External"/><Relationship Id="rId159" Type="http://schemas.openxmlformats.org/officeDocument/2006/relationships/hyperlink" Target="mailto:gcuerito@yahoo.com" TargetMode="External"/><Relationship Id="rId324" Type="http://schemas.openxmlformats.org/officeDocument/2006/relationships/hyperlink" Target="mailto:andreanuques@hotmail.com" TargetMode="External"/><Relationship Id="rId366" Type="http://schemas.openxmlformats.org/officeDocument/2006/relationships/hyperlink" Target="mailto:garnicamabe@gmail.com" TargetMode="External"/><Relationship Id="rId170" Type="http://schemas.openxmlformats.org/officeDocument/2006/relationships/hyperlink" Target="mailto:soniaelax@hotmail.com" TargetMode="External"/><Relationship Id="rId226" Type="http://schemas.openxmlformats.org/officeDocument/2006/relationships/hyperlink" Target="mailto:sharon.ayala.98@outlook.com" TargetMode="External"/><Relationship Id="rId433" Type="http://schemas.openxmlformats.org/officeDocument/2006/relationships/hyperlink" Target="mailto:car-ale-br@hotmail.com" TargetMode="External"/><Relationship Id="rId268" Type="http://schemas.openxmlformats.org/officeDocument/2006/relationships/hyperlink" Target="mailto:tipansanchez.pn@gmail.com" TargetMode="External"/><Relationship Id="rId475" Type="http://schemas.openxmlformats.org/officeDocument/2006/relationships/hyperlink" Target="mailto:lindagrp@hotmail.com" TargetMode="External"/><Relationship Id="rId32" Type="http://schemas.openxmlformats.org/officeDocument/2006/relationships/hyperlink" Target="mailto:cd_cifuentes3@hotmail.com" TargetMode="External"/><Relationship Id="rId74" Type="http://schemas.openxmlformats.org/officeDocument/2006/relationships/hyperlink" Target="mailto:madrastruchis@gmail.com" TargetMode="External"/><Relationship Id="rId128" Type="http://schemas.openxmlformats.org/officeDocument/2006/relationships/hyperlink" Target="mailto:iboneflores@hotmail.com" TargetMode="External"/><Relationship Id="rId335" Type="http://schemas.openxmlformats.org/officeDocument/2006/relationships/hyperlink" Target="mailto:leticiasanchezv@yahoo.com" TargetMode="External"/><Relationship Id="rId377" Type="http://schemas.openxmlformats.org/officeDocument/2006/relationships/hyperlink" Target="mailto:andreae.pardoch@gmail.com" TargetMode="External"/><Relationship Id="rId5" Type="http://schemas.openxmlformats.org/officeDocument/2006/relationships/hyperlink" Target="mailto:luishsandoval88@gmail.com" TargetMode="External"/><Relationship Id="rId181" Type="http://schemas.openxmlformats.org/officeDocument/2006/relationships/hyperlink" Target="mailto:ic5988883@gmail.com" TargetMode="External"/><Relationship Id="rId237" Type="http://schemas.openxmlformats.org/officeDocument/2006/relationships/hyperlink" Target="mailto:andrea_ccajas@yahoo.com" TargetMode="External"/><Relationship Id="rId402" Type="http://schemas.openxmlformats.org/officeDocument/2006/relationships/hyperlink" Target="mailto:ximene.orbe@hotmail.es" TargetMode="External"/><Relationship Id="rId279" Type="http://schemas.openxmlformats.org/officeDocument/2006/relationships/hyperlink" Target="mailto:crispe@gmail.com" TargetMode="External"/><Relationship Id="rId444" Type="http://schemas.openxmlformats.org/officeDocument/2006/relationships/hyperlink" Target="mailto:paola_valencia19@hotmail.com" TargetMode="External"/><Relationship Id="rId486" Type="http://schemas.openxmlformats.org/officeDocument/2006/relationships/hyperlink" Target="mailto:vivi.narvaez8@gmail.com" TargetMode="External"/><Relationship Id="rId43" Type="http://schemas.openxmlformats.org/officeDocument/2006/relationships/hyperlink" Target="mailto:angelita.silviaro@gmail.com" TargetMode="External"/><Relationship Id="rId139" Type="http://schemas.openxmlformats.org/officeDocument/2006/relationships/hyperlink" Target="mailto:abg.mendoza@gmail.com" TargetMode="External"/><Relationship Id="rId290" Type="http://schemas.openxmlformats.org/officeDocument/2006/relationships/hyperlink" Target="mailto:kro16-87@hotmail.com" TargetMode="External"/><Relationship Id="rId304" Type="http://schemas.openxmlformats.org/officeDocument/2006/relationships/hyperlink" Target="mailto:anar.sanchez@hotmail.com" TargetMode="External"/><Relationship Id="rId346" Type="http://schemas.openxmlformats.org/officeDocument/2006/relationships/hyperlink" Target="mailto:adrian_ibarra4@yahoo.com" TargetMode="External"/><Relationship Id="rId388" Type="http://schemas.openxmlformats.org/officeDocument/2006/relationships/hyperlink" Target="mailto:andreae.pardoch@gmail.com" TargetMode="External"/><Relationship Id="rId85" Type="http://schemas.openxmlformats.org/officeDocument/2006/relationships/hyperlink" Target="mailto:anabelzambrano91@gmail.com" TargetMode="External"/><Relationship Id="rId150" Type="http://schemas.openxmlformats.org/officeDocument/2006/relationships/hyperlink" Target="mailto:criss_ldu@hotmail.com" TargetMode="External"/><Relationship Id="rId192" Type="http://schemas.openxmlformats.org/officeDocument/2006/relationships/hyperlink" Target="mailto:monihervi@gmail.com" TargetMode="External"/><Relationship Id="rId206" Type="http://schemas.openxmlformats.org/officeDocument/2006/relationships/hyperlink" Target="mailto:katemel_1989@hotmail.es" TargetMode="External"/><Relationship Id="rId413" Type="http://schemas.openxmlformats.org/officeDocument/2006/relationships/hyperlink" Target="mailto:sacosta.flor@gmail.com" TargetMode="External"/><Relationship Id="rId248" Type="http://schemas.openxmlformats.org/officeDocument/2006/relationships/hyperlink" Target="mailto:patty.ale88@hotmail.com" TargetMode="External"/><Relationship Id="rId455" Type="http://schemas.openxmlformats.org/officeDocument/2006/relationships/hyperlink" Target="mailto:charitocobo.@gmail.com" TargetMode="External"/><Relationship Id="rId497" Type="http://schemas.openxmlformats.org/officeDocument/2006/relationships/hyperlink" Target="mailto:christian89.pardo@hotmail.com" TargetMode="External"/><Relationship Id="rId12" Type="http://schemas.openxmlformats.org/officeDocument/2006/relationships/hyperlink" Target="mailto:vanessa_silvaespin@hotmail.com" TargetMode="External"/><Relationship Id="rId108" Type="http://schemas.openxmlformats.org/officeDocument/2006/relationships/hyperlink" Target="mailto:abbiejeje@gmail.com" TargetMode="External"/><Relationship Id="rId315" Type="http://schemas.openxmlformats.org/officeDocument/2006/relationships/hyperlink" Target="mailto:cruzap.micaela@gmail.com" TargetMode="External"/><Relationship Id="rId357" Type="http://schemas.openxmlformats.org/officeDocument/2006/relationships/hyperlink" Target="mailto:adrian_ibarra4@yahoo.com" TargetMode="External"/><Relationship Id="rId54" Type="http://schemas.openxmlformats.org/officeDocument/2006/relationships/hyperlink" Target="mailto:angelita.silviaro@gmail.com" TargetMode="External"/><Relationship Id="rId96" Type="http://schemas.openxmlformats.org/officeDocument/2006/relationships/hyperlink" Target="mailto:marita.castillo@gmail.com" TargetMode="External"/><Relationship Id="rId161" Type="http://schemas.openxmlformats.org/officeDocument/2006/relationships/hyperlink" Target="mailto:mabelgis065@gmail.com" TargetMode="External"/><Relationship Id="rId217" Type="http://schemas.openxmlformats.org/officeDocument/2006/relationships/hyperlink" Target="mailto:gatteins007@hotmail.com" TargetMode="External"/><Relationship Id="rId399" Type="http://schemas.openxmlformats.org/officeDocument/2006/relationships/hyperlink" Target="mailto:keqsmuv@hotmail.com" TargetMode="External"/><Relationship Id="rId259" Type="http://schemas.openxmlformats.org/officeDocument/2006/relationships/hyperlink" Target="mailto:pauburbanoa@gmail.com" TargetMode="External"/><Relationship Id="rId424" Type="http://schemas.openxmlformats.org/officeDocument/2006/relationships/hyperlink" Target="mailto:mafer-reyes@hotmail.ec" TargetMode="External"/><Relationship Id="rId466" Type="http://schemas.openxmlformats.org/officeDocument/2006/relationships/hyperlink" Target="mailto:nyleveagb@yahoo.es" TargetMode="External"/><Relationship Id="rId23" Type="http://schemas.openxmlformats.org/officeDocument/2006/relationships/hyperlink" Target="mailto:mgrea96@gmail.com" TargetMode="External"/><Relationship Id="rId119" Type="http://schemas.openxmlformats.org/officeDocument/2006/relationships/hyperlink" Target="mailto:majoroseroe1@gmail.com" TargetMode="External"/><Relationship Id="rId270" Type="http://schemas.openxmlformats.org/officeDocument/2006/relationships/hyperlink" Target="mailto:tipansanchez.pn@gmail.com" TargetMode="External"/><Relationship Id="rId326" Type="http://schemas.openxmlformats.org/officeDocument/2006/relationships/hyperlink" Target="mailto:uvcalahorrano@hotmail.com" TargetMode="External"/><Relationship Id="rId65" Type="http://schemas.openxmlformats.org/officeDocument/2006/relationships/hyperlink" Target="mailto:maria.chicaiza1928@hotmail.com" TargetMode="External"/><Relationship Id="rId130" Type="http://schemas.openxmlformats.org/officeDocument/2006/relationships/hyperlink" Target="mailto:helragba@yahoo.com" TargetMode="External"/><Relationship Id="rId368" Type="http://schemas.openxmlformats.org/officeDocument/2006/relationships/hyperlink" Target="mailto:veroalexa@gmail.com" TargetMode="External"/><Relationship Id="rId172" Type="http://schemas.openxmlformats.org/officeDocument/2006/relationships/hyperlink" Target="mailto:soniaelax@hotmail.com" TargetMode="External"/><Relationship Id="rId228" Type="http://schemas.openxmlformats.org/officeDocument/2006/relationships/hyperlink" Target="mailto:dianakburbano@outlook.com" TargetMode="External"/><Relationship Id="rId435" Type="http://schemas.openxmlformats.org/officeDocument/2006/relationships/hyperlink" Target="mailto:car-ale-br@hotmail.com" TargetMode="External"/><Relationship Id="rId477" Type="http://schemas.openxmlformats.org/officeDocument/2006/relationships/hyperlink" Target="mailto:lindagrp@hotmail.com" TargetMode="External"/><Relationship Id="rId281" Type="http://schemas.openxmlformats.org/officeDocument/2006/relationships/hyperlink" Target="mailto:crispe@gmail.com" TargetMode="External"/><Relationship Id="rId337" Type="http://schemas.openxmlformats.org/officeDocument/2006/relationships/hyperlink" Target="mailto:leticiasanchezv@yahoo.com" TargetMode="External"/><Relationship Id="rId34" Type="http://schemas.openxmlformats.org/officeDocument/2006/relationships/hyperlink" Target="mailto:nathalicabrera@gmail.com" TargetMode="External"/><Relationship Id="rId76" Type="http://schemas.openxmlformats.org/officeDocument/2006/relationships/hyperlink" Target="mailto:josselynch1995@gmail.com" TargetMode="External"/><Relationship Id="rId141" Type="http://schemas.openxmlformats.org/officeDocument/2006/relationships/hyperlink" Target="mailto:josserivera2408@gmail.com" TargetMode="External"/><Relationship Id="rId379" Type="http://schemas.openxmlformats.org/officeDocument/2006/relationships/hyperlink" Target="mailto:andreae.pardoch@gmail.com" TargetMode="External"/><Relationship Id="rId7" Type="http://schemas.openxmlformats.org/officeDocument/2006/relationships/hyperlink" Target="mailto:daniguerreiosanchez@hotmail.es" TargetMode="External"/><Relationship Id="rId183" Type="http://schemas.openxmlformats.org/officeDocument/2006/relationships/hyperlink" Target="mailto:mayicienta@hotmail.com" TargetMode="External"/><Relationship Id="rId239" Type="http://schemas.openxmlformats.org/officeDocument/2006/relationships/hyperlink" Target="mailto:werazo29@hotmail.com" TargetMode="External"/><Relationship Id="rId390" Type="http://schemas.openxmlformats.org/officeDocument/2006/relationships/hyperlink" Target="mailto:andreae.pardoch@gmail.com" TargetMode="External"/><Relationship Id="rId404" Type="http://schemas.openxmlformats.org/officeDocument/2006/relationships/hyperlink" Target="mailto:stephanie_herrera_@hotmail.com" TargetMode="External"/><Relationship Id="rId446" Type="http://schemas.openxmlformats.org/officeDocument/2006/relationships/hyperlink" Target="mailto:lilytecruz@gmail.com" TargetMode="External"/><Relationship Id="rId250" Type="http://schemas.openxmlformats.org/officeDocument/2006/relationships/hyperlink" Target="mailto:camile.nunez3@gmail.com" TargetMode="External"/><Relationship Id="rId292" Type="http://schemas.openxmlformats.org/officeDocument/2006/relationships/hyperlink" Target="mailto:kro16-87@hotmail.com" TargetMode="External"/><Relationship Id="rId306" Type="http://schemas.openxmlformats.org/officeDocument/2006/relationships/hyperlink" Target="mailto:milton.aguas@gmai.com" TargetMode="External"/><Relationship Id="rId488" Type="http://schemas.openxmlformats.org/officeDocument/2006/relationships/hyperlink" Target="mailto:dra.keniaarredondo@gmail.com" TargetMode="External"/><Relationship Id="rId45" Type="http://schemas.openxmlformats.org/officeDocument/2006/relationships/hyperlink" Target="mailto:angelita.silviaro@gmail.com" TargetMode="External"/><Relationship Id="rId87" Type="http://schemas.openxmlformats.org/officeDocument/2006/relationships/hyperlink" Target="mailto:anabelzambrano91@gmail.com" TargetMode="External"/><Relationship Id="rId110" Type="http://schemas.openxmlformats.org/officeDocument/2006/relationships/hyperlink" Target="mailto:gabrielacuasapazp@gmail.com" TargetMode="External"/><Relationship Id="rId348" Type="http://schemas.openxmlformats.org/officeDocument/2006/relationships/hyperlink" Target="mailto:adrian_ibarra4@yahoo.com" TargetMode="External"/><Relationship Id="rId152" Type="http://schemas.openxmlformats.org/officeDocument/2006/relationships/hyperlink" Target="mailto:alexandra.abadiano@gmail.com" TargetMode="External"/><Relationship Id="rId194" Type="http://schemas.openxmlformats.org/officeDocument/2006/relationships/hyperlink" Target="mailto:silviaiturralde1977@gmail%20.com" TargetMode="External"/><Relationship Id="rId208" Type="http://schemas.openxmlformats.org/officeDocument/2006/relationships/hyperlink" Target="mailto:tania.chiribogah@gmail.com" TargetMode="External"/><Relationship Id="rId415" Type="http://schemas.openxmlformats.org/officeDocument/2006/relationships/hyperlink" Target="mailto:sacosta.flor@gmail.com" TargetMode="External"/><Relationship Id="rId457" Type="http://schemas.openxmlformats.org/officeDocument/2006/relationships/hyperlink" Target="mailto:jessmanzano1985@hotmail.com" TargetMode="External"/><Relationship Id="rId261" Type="http://schemas.openxmlformats.org/officeDocument/2006/relationships/hyperlink" Target="mailto:sandypoma777@hotmail.com" TargetMode="External"/><Relationship Id="rId14" Type="http://schemas.openxmlformats.org/officeDocument/2006/relationships/hyperlink" Target="mailto:maritza_izurieta@hotmail.com" TargetMode="External"/><Relationship Id="rId56" Type="http://schemas.openxmlformats.org/officeDocument/2006/relationships/hyperlink" Target="mailto:maria.chicaiza1928@hotmail.com" TargetMode="External"/><Relationship Id="rId317" Type="http://schemas.openxmlformats.org/officeDocument/2006/relationships/hyperlink" Target="mailto:paola1985.amv@gmail.com" TargetMode="External"/><Relationship Id="rId359" Type="http://schemas.openxmlformats.org/officeDocument/2006/relationships/hyperlink" Target="mailto:adrian_ibarra4@yahoo.com" TargetMode="External"/><Relationship Id="rId98" Type="http://schemas.openxmlformats.org/officeDocument/2006/relationships/hyperlink" Target="mailto:sofia.gavilanes27@gmail.com" TargetMode="External"/><Relationship Id="rId121" Type="http://schemas.openxmlformats.org/officeDocument/2006/relationships/hyperlink" Target="mailto:majoroseroe1_@gmail.com" TargetMode="External"/><Relationship Id="rId163" Type="http://schemas.openxmlformats.org/officeDocument/2006/relationships/hyperlink" Target="mailto:mickyponce18@hotmail.com" TargetMode="External"/><Relationship Id="rId219" Type="http://schemas.openxmlformats.org/officeDocument/2006/relationships/hyperlink" Target="mailto:arianna101899@outlok.ec" TargetMode="External"/><Relationship Id="rId370" Type="http://schemas.openxmlformats.org/officeDocument/2006/relationships/hyperlink" Target="mailto:kiakely@hotmail.com" TargetMode="External"/><Relationship Id="rId426" Type="http://schemas.openxmlformats.org/officeDocument/2006/relationships/hyperlink" Target="mailto:mafer-reyes@hotmail.ec" TargetMode="External"/><Relationship Id="rId230" Type="http://schemas.openxmlformats.org/officeDocument/2006/relationships/hyperlink" Target="mailto:dianakburbano@outlook.com" TargetMode="External"/><Relationship Id="rId468" Type="http://schemas.openxmlformats.org/officeDocument/2006/relationships/hyperlink" Target="mailto:nyleveagb@yahoo.es" TargetMode="External"/><Relationship Id="rId25" Type="http://schemas.openxmlformats.org/officeDocument/2006/relationships/hyperlink" Target="mailto:mgrea96@gmail.com" TargetMode="External"/><Relationship Id="rId67" Type="http://schemas.openxmlformats.org/officeDocument/2006/relationships/hyperlink" Target="mailto:karla.2012006@gmail.com" TargetMode="External"/><Relationship Id="rId272" Type="http://schemas.openxmlformats.org/officeDocument/2006/relationships/hyperlink" Target="mailto:tipansanchez.pn@gmail.com" TargetMode="External"/><Relationship Id="rId328" Type="http://schemas.openxmlformats.org/officeDocument/2006/relationships/hyperlink" Target="mailto:ionbandh@gmail.com" TargetMode="External"/><Relationship Id="rId132" Type="http://schemas.openxmlformats.org/officeDocument/2006/relationships/hyperlink" Target="mailto:helragba@yahoo.com" TargetMode="External"/><Relationship Id="rId174" Type="http://schemas.openxmlformats.org/officeDocument/2006/relationships/hyperlink" Target="mailto:fpacota18@hotmail.com" TargetMode="External"/><Relationship Id="rId381" Type="http://schemas.openxmlformats.org/officeDocument/2006/relationships/hyperlink" Target="mailto:andreae.pardoch@gmail.com" TargetMode="External"/><Relationship Id="rId241" Type="http://schemas.openxmlformats.org/officeDocument/2006/relationships/hyperlink" Target="mailto:werazo29@hotmail.com" TargetMode="External"/><Relationship Id="rId437" Type="http://schemas.openxmlformats.org/officeDocument/2006/relationships/hyperlink" Target="mailto:jan.ce46@hotmail.com" TargetMode="External"/><Relationship Id="rId479" Type="http://schemas.openxmlformats.org/officeDocument/2006/relationships/hyperlink" Target="mailto:tstradaioli@gmail.com" TargetMode="External"/><Relationship Id="rId36" Type="http://schemas.openxmlformats.org/officeDocument/2006/relationships/hyperlink" Target="mailto:kikibelen@gmail.com" TargetMode="External"/><Relationship Id="rId283" Type="http://schemas.openxmlformats.org/officeDocument/2006/relationships/hyperlink" Target="mailto:muchelle-puga@hotmail.com" TargetMode="External"/><Relationship Id="rId339" Type="http://schemas.openxmlformats.org/officeDocument/2006/relationships/hyperlink" Target="mailto:adrian_ibarra4@yahoo.com" TargetMode="External"/><Relationship Id="rId490" Type="http://schemas.openxmlformats.org/officeDocument/2006/relationships/hyperlink" Target="mailto:cpoveda77@gmail.com" TargetMode="External"/><Relationship Id="rId78" Type="http://schemas.openxmlformats.org/officeDocument/2006/relationships/hyperlink" Target="mailto:nbonifazm@outcook.com" TargetMode="External"/><Relationship Id="rId101" Type="http://schemas.openxmlformats.org/officeDocument/2006/relationships/hyperlink" Target="mailto:sofia.gavilanes27@gmail.com" TargetMode="External"/><Relationship Id="rId143" Type="http://schemas.openxmlformats.org/officeDocument/2006/relationships/hyperlink" Target="mailto:carolinamena85@hotmail.com" TargetMode="External"/><Relationship Id="rId185" Type="http://schemas.openxmlformats.org/officeDocument/2006/relationships/hyperlink" Target="mailto:ximeteran@hotmail.com" TargetMode="External"/><Relationship Id="rId350" Type="http://schemas.openxmlformats.org/officeDocument/2006/relationships/hyperlink" Target="mailto:adrian_ibarra4@yahoo.com" TargetMode="External"/><Relationship Id="rId406" Type="http://schemas.openxmlformats.org/officeDocument/2006/relationships/hyperlink" Target="mailto:valentinacharpentier33@gmail.com" TargetMode="External"/><Relationship Id="rId9" Type="http://schemas.openxmlformats.org/officeDocument/2006/relationships/hyperlink" Target="mailto:lolo20251980@otloor.com" TargetMode="External"/><Relationship Id="rId210" Type="http://schemas.openxmlformats.org/officeDocument/2006/relationships/hyperlink" Target="mailto:sofiaruizg21@gmail.com" TargetMode="External"/><Relationship Id="rId392" Type="http://schemas.openxmlformats.org/officeDocument/2006/relationships/hyperlink" Target="mailto:andreae.pardoch@gmail.com" TargetMode="External"/><Relationship Id="rId448" Type="http://schemas.openxmlformats.org/officeDocument/2006/relationships/hyperlink" Target="mailto:yaguagallo@gmail.com" TargetMode="External"/><Relationship Id="rId252" Type="http://schemas.openxmlformats.org/officeDocument/2006/relationships/hyperlink" Target="mailto:jd79ehg@hotmail.com" TargetMode="External"/><Relationship Id="rId294" Type="http://schemas.openxmlformats.org/officeDocument/2006/relationships/hyperlink" Target="mailto:kro16-87@hotmail.com" TargetMode="External"/><Relationship Id="rId308" Type="http://schemas.openxmlformats.org/officeDocument/2006/relationships/hyperlink" Target="mailto:milton.aguas@gmai.com" TargetMode="External"/><Relationship Id="rId47" Type="http://schemas.openxmlformats.org/officeDocument/2006/relationships/hyperlink" Target="mailto:angelita.silviaro@gmail.com" TargetMode="External"/><Relationship Id="rId89" Type="http://schemas.openxmlformats.org/officeDocument/2006/relationships/hyperlink" Target="mailto:mariana_2192@hotmail.com" TargetMode="External"/><Relationship Id="rId112" Type="http://schemas.openxmlformats.org/officeDocument/2006/relationships/hyperlink" Target="mailto:latama2001@yohoo.es" TargetMode="External"/><Relationship Id="rId154" Type="http://schemas.openxmlformats.org/officeDocument/2006/relationships/hyperlink" Target="mailto:alexandra.abadiano@gmail.com" TargetMode="External"/><Relationship Id="rId361" Type="http://schemas.openxmlformats.org/officeDocument/2006/relationships/hyperlink" Target="mailto:edithmontaluisa@gemail.com" TargetMode="External"/><Relationship Id="rId196" Type="http://schemas.openxmlformats.org/officeDocument/2006/relationships/hyperlink" Target="mailto:silviaiturralde1977@gmail%20.com" TargetMode="External"/><Relationship Id="rId417" Type="http://schemas.openxmlformats.org/officeDocument/2006/relationships/hyperlink" Target="mailto:dieli1788@gmail.com" TargetMode="External"/><Relationship Id="rId459" Type="http://schemas.openxmlformats.org/officeDocument/2006/relationships/hyperlink" Target="mailto:jessmanzano1985@hotmail.com" TargetMode="External"/><Relationship Id="rId16" Type="http://schemas.openxmlformats.org/officeDocument/2006/relationships/hyperlink" Target="mailto:vir_74@hotmail.com" TargetMode="External"/><Relationship Id="rId221" Type="http://schemas.openxmlformats.org/officeDocument/2006/relationships/hyperlink" Target="mailto:monicapizurietav@gmail.com" TargetMode="External"/><Relationship Id="rId263" Type="http://schemas.openxmlformats.org/officeDocument/2006/relationships/hyperlink" Target="mailto:verolunita@yahoo.com" TargetMode="External"/><Relationship Id="rId319" Type="http://schemas.openxmlformats.org/officeDocument/2006/relationships/hyperlink" Target="mailto:aanavarretey@hotmail.com" TargetMode="External"/><Relationship Id="rId470" Type="http://schemas.openxmlformats.org/officeDocument/2006/relationships/hyperlink" Target="mailto:nyleveagb@yahoo.es" TargetMode="External"/><Relationship Id="rId58" Type="http://schemas.openxmlformats.org/officeDocument/2006/relationships/hyperlink" Target="mailto:maria.chicaiza1928@hotmail.com" TargetMode="External"/><Relationship Id="rId123" Type="http://schemas.openxmlformats.org/officeDocument/2006/relationships/hyperlink" Target="mailto:majoroseroe1_@gmail.com" TargetMode="External"/><Relationship Id="rId330" Type="http://schemas.openxmlformats.org/officeDocument/2006/relationships/hyperlink" Target="mailto:monigoteja123@gmail.com" TargetMode="External"/><Relationship Id="rId165" Type="http://schemas.openxmlformats.org/officeDocument/2006/relationships/hyperlink" Target="mailto:mickyponce18@hotmail.com" TargetMode="External"/><Relationship Id="rId372" Type="http://schemas.openxmlformats.org/officeDocument/2006/relationships/hyperlink" Target="mailto:estelavargasi52@gmail.com" TargetMode="External"/><Relationship Id="rId428" Type="http://schemas.openxmlformats.org/officeDocument/2006/relationships/hyperlink" Target="mailto:paulyespin@hotmail.com" TargetMode="External"/><Relationship Id="rId232" Type="http://schemas.openxmlformats.org/officeDocument/2006/relationships/hyperlink" Target="mailto:adriana.yugsi@gmail.com" TargetMode="External"/><Relationship Id="rId274" Type="http://schemas.openxmlformats.org/officeDocument/2006/relationships/hyperlink" Target="mailto:raul.proton@hotmail.com" TargetMode="External"/><Relationship Id="rId481" Type="http://schemas.openxmlformats.org/officeDocument/2006/relationships/hyperlink" Target="mailto:mayita98@hotmail.es" TargetMode="External"/><Relationship Id="rId27" Type="http://schemas.openxmlformats.org/officeDocument/2006/relationships/hyperlink" Target="mailto:sandosmonterobetty@gmail.com" TargetMode="External"/><Relationship Id="rId69" Type="http://schemas.openxmlformats.org/officeDocument/2006/relationships/hyperlink" Target="mailto:salomesantin@gmail.com" TargetMode="External"/><Relationship Id="rId134" Type="http://schemas.openxmlformats.org/officeDocument/2006/relationships/hyperlink" Target="mailto:leo.Asorente@hotmail.com" TargetMode="External"/><Relationship Id="rId80" Type="http://schemas.openxmlformats.org/officeDocument/2006/relationships/hyperlink" Target="mailto:nbonifazm@outcook.com" TargetMode="External"/><Relationship Id="rId176" Type="http://schemas.openxmlformats.org/officeDocument/2006/relationships/hyperlink" Target="mailto:doris.almeida.o@gmail.com" TargetMode="External"/><Relationship Id="rId341" Type="http://schemas.openxmlformats.org/officeDocument/2006/relationships/hyperlink" Target="mailto:adrian_ibarra4@yahoo.com" TargetMode="External"/><Relationship Id="rId383" Type="http://schemas.openxmlformats.org/officeDocument/2006/relationships/hyperlink" Target="mailto:andreae.pardoch@gmail.com" TargetMode="External"/><Relationship Id="rId439" Type="http://schemas.openxmlformats.org/officeDocument/2006/relationships/hyperlink" Target="mailto:jan.ce46@hotmail.com" TargetMode="External"/><Relationship Id="rId201" Type="http://schemas.openxmlformats.org/officeDocument/2006/relationships/hyperlink" Target="mailto:carolinavallejo.ac@gmail.com" TargetMode="External"/><Relationship Id="rId243" Type="http://schemas.openxmlformats.org/officeDocument/2006/relationships/hyperlink" Target="mailto:dianaecn@gmail.com" TargetMode="External"/><Relationship Id="rId285" Type="http://schemas.openxmlformats.org/officeDocument/2006/relationships/hyperlink" Target="mailto:adonaypallo@hotmail.com" TargetMode="External"/><Relationship Id="rId450" Type="http://schemas.openxmlformats.org/officeDocument/2006/relationships/hyperlink" Target="mailto:tgaibor1@hotmail.com" TargetMode="External"/><Relationship Id="rId38" Type="http://schemas.openxmlformats.org/officeDocument/2006/relationships/hyperlink" Target="mailto:angelita.silviaro@gmail.com" TargetMode="External"/><Relationship Id="rId103" Type="http://schemas.openxmlformats.org/officeDocument/2006/relationships/hyperlink" Target="mailto:sofia.gavilanes27@gmail.com" TargetMode="External"/><Relationship Id="rId310" Type="http://schemas.openxmlformats.org/officeDocument/2006/relationships/hyperlink" Target="mailto:luzgtapia@gmail.com" TargetMode="External"/><Relationship Id="rId492" Type="http://schemas.openxmlformats.org/officeDocument/2006/relationships/hyperlink" Target="mailto:cpoveda77@gmail.com" TargetMode="External"/><Relationship Id="rId91" Type="http://schemas.openxmlformats.org/officeDocument/2006/relationships/hyperlink" Target="mailto:mariana_2192@hotmail.com" TargetMode="External"/><Relationship Id="rId145" Type="http://schemas.openxmlformats.org/officeDocument/2006/relationships/hyperlink" Target="mailto:carolinamena85@hotmail.com" TargetMode="External"/><Relationship Id="rId187" Type="http://schemas.openxmlformats.org/officeDocument/2006/relationships/hyperlink" Target="mailto:crissespin@gmail.com" TargetMode="External"/><Relationship Id="rId352" Type="http://schemas.openxmlformats.org/officeDocument/2006/relationships/hyperlink" Target="mailto:adrian_ibarra4@yahoo.com" TargetMode="External"/><Relationship Id="rId394" Type="http://schemas.openxmlformats.org/officeDocument/2006/relationships/hyperlink" Target="mailto:andreae.pardoch@gmail.com" TargetMode="External"/><Relationship Id="rId408" Type="http://schemas.openxmlformats.org/officeDocument/2006/relationships/hyperlink" Target="mailto:glunanarvaez@gmail.com" TargetMode="External"/><Relationship Id="rId212" Type="http://schemas.openxmlformats.org/officeDocument/2006/relationships/hyperlink" Target="mailto:betty.vergaram@gmail.com" TargetMode="External"/><Relationship Id="rId254" Type="http://schemas.openxmlformats.org/officeDocument/2006/relationships/hyperlink" Target="mailto:alexandra.valladares@gmail.com" TargetMode="External"/><Relationship Id="rId49" Type="http://schemas.openxmlformats.org/officeDocument/2006/relationships/hyperlink" Target="mailto:angelita.silviaro@gmail.com" TargetMode="External"/><Relationship Id="rId114" Type="http://schemas.openxmlformats.org/officeDocument/2006/relationships/hyperlink" Target="mailto:ge.nozz@hotmail.com" TargetMode="External"/><Relationship Id="rId296" Type="http://schemas.openxmlformats.org/officeDocument/2006/relationships/hyperlink" Target="mailto:kro16-87@hotmail.com" TargetMode="External"/><Relationship Id="rId461" Type="http://schemas.openxmlformats.org/officeDocument/2006/relationships/hyperlink" Target="mailto:nyleveagb@yahoo.es" TargetMode="External"/><Relationship Id="rId60" Type="http://schemas.openxmlformats.org/officeDocument/2006/relationships/hyperlink" Target="mailto:maria.chicaiza1928@hotmail.com" TargetMode="External"/><Relationship Id="rId156" Type="http://schemas.openxmlformats.org/officeDocument/2006/relationships/hyperlink" Target="mailto:luishsandoval88@gmail.com" TargetMode="External"/><Relationship Id="rId198" Type="http://schemas.openxmlformats.org/officeDocument/2006/relationships/hyperlink" Target="mailto:silviaiturralde1977@gmail%20.com" TargetMode="External"/><Relationship Id="rId321" Type="http://schemas.openxmlformats.org/officeDocument/2006/relationships/hyperlink" Target="mailto:lucia_qc@hotmail.com" TargetMode="External"/><Relationship Id="rId363" Type="http://schemas.openxmlformats.org/officeDocument/2006/relationships/hyperlink" Target="mailto:garnicamabe@gmail.com" TargetMode="External"/><Relationship Id="rId419" Type="http://schemas.openxmlformats.org/officeDocument/2006/relationships/hyperlink" Target="mailto:dieli1788@gmail.com" TargetMode="External"/><Relationship Id="rId223" Type="http://schemas.openxmlformats.org/officeDocument/2006/relationships/hyperlink" Target="mailto:ejimerizalde@hotmail.com" TargetMode="External"/><Relationship Id="rId430" Type="http://schemas.openxmlformats.org/officeDocument/2006/relationships/hyperlink" Target="mailto:majitocruzt@gmail.com" TargetMode="External"/><Relationship Id="rId18" Type="http://schemas.openxmlformats.org/officeDocument/2006/relationships/hyperlink" Target="mailto:vir_74@hotmail.com" TargetMode="External"/><Relationship Id="rId265" Type="http://schemas.openxmlformats.org/officeDocument/2006/relationships/hyperlink" Target="mailto:maga558@hotmail.com" TargetMode="External"/><Relationship Id="rId472" Type="http://schemas.openxmlformats.org/officeDocument/2006/relationships/hyperlink" Target="mailto:nyleveagb@yahoo.es" TargetMode="External"/><Relationship Id="rId125" Type="http://schemas.openxmlformats.org/officeDocument/2006/relationships/hyperlink" Target="mailto:cabezas.marco@hotmail.com" TargetMode="External"/><Relationship Id="rId167" Type="http://schemas.openxmlformats.org/officeDocument/2006/relationships/hyperlink" Target="mailto:loremoncayo08@gmail.com" TargetMode="External"/><Relationship Id="rId332" Type="http://schemas.openxmlformats.org/officeDocument/2006/relationships/hyperlink" Target="mailto:amanda.palacios16@gmail.com" TargetMode="External"/><Relationship Id="rId374" Type="http://schemas.openxmlformats.org/officeDocument/2006/relationships/hyperlink" Target="mailto:andreae.pardoch@gmail.com" TargetMode="External"/><Relationship Id="rId71" Type="http://schemas.openxmlformats.org/officeDocument/2006/relationships/hyperlink" Target="mailto:gagaad@gmail.com" TargetMode="External"/><Relationship Id="rId234" Type="http://schemas.openxmlformats.org/officeDocument/2006/relationships/hyperlink" Target="mailto:paulinaferri@gmail.com" TargetMode="External"/><Relationship Id="rId2" Type="http://schemas.openxmlformats.org/officeDocument/2006/relationships/hyperlink" Target="mailto:anitamarizmusicz@hotmail.com" TargetMode="External"/><Relationship Id="rId29" Type="http://schemas.openxmlformats.org/officeDocument/2006/relationships/hyperlink" Target="mailto:valeriaguirre2000@hotmail.com" TargetMode="External"/><Relationship Id="rId276" Type="http://schemas.openxmlformats.org/officeDocument/2006/relationships/hyperlink" Target="mailto:stefanyfer90@gmail.com" TargetMode="External"/><Relationship Id="rId441" Type="http://schemas.openxmlformats.org/officeDocument/2006/relationships/hyperlink" Target="mailto:vanecls2810@gmail.com" TargetMode="External"/><Relationship Id="rId483" Type="http://schemas.openxmlformats.org/officeDocument/2006/relationships/hyperlink" Target="mailto:ffany_mencias@hotmail.com" TargetMode="External"/><Relationship Id="rId40" Type="http://schemas.openxmlformats.org/officeDocument/2006/relationships/hyperlink" Target="mailto:angelita.silviaro@gmail.com" TargetMode="External"/><Relationship Id="rId136" Type="http://schemas.openxmlformats.org/officeDocument/2006/relationships/hyperlink" Target="mailto:mell0630@hotmail.com" TargetMode="External"/><Relationship Id="rId178" Type="http://schemas.openxmlformats.org/officeDocument/2006/relationships/hyperlink" Target="mailto:doris.almeida.o@gmail.com" TargetMode="External"/><Relationship Id="rId301" Type="http://schemas.openxmlformats.org/officeDocument/2006/relationships/hyperlink" Target="mailto:karen777eliza@hotmail.com" TargetMode="External"/><Relationship Id="rId343" Type="http://schemas.openxmlformats.org/officeDocument/2006/relationships/hyperlink" Target="mailto:adrian_ibarra4@yahoo.com" TargetMode="External"/><Relationship Id="rId82" Type="http://schemas.openxmlformats.org/officeDocument/2006/relationships/hyperlink" Target="mailto:nbonifazm@outcook.com" TargetMode="External"/><Relationship Id="rId203" Type="http://schemas.openxmlformats.org/officeDocument/2006/relationships/hyperlink" Target="mailto:katemel_1989@hotmail.es" TargetMode="External"/><Relationship Id="rId385" Type="http://schemas.openxmlformats.org/officeDocument/2006/relationships/hyperlink" Target="mailto:andreae.pardoch@gmail.com" TargetMode="External"/><Relationship Id="rId245" Type="http://schemas.openxmlformats.org/officeDocument/2006/relationships/hyperlink" Target="mailto:dianaecn@gmail.com" TargetMode="External"/><Relationship Id="rId287" Type="http://schemas.openxmlformats.org/officeDocument/2006/relationships/hyperlink" Target="mailto:adonaypallo@hotmail.com" TargetMode="External"/><Relationship Id="rId410" Type="http://schemas.openxmlformats.org/officeDocument/2006/relationships/hyperlink" Target="mailto:molinamaru@hotmail.com" TargetMode="External"/><Relationship Id="rId452" Type="http://schemas.openxmlformats.org/officeDocument/2006/relationships/hyperlink" Target="mailto:aishapesantez@gmail.com" TargetMode="External"/><Relationship Id="rId494" Type="http://schemas.openxmlformats.org/officeDocument/2006/relationships/hyperlink" Target="mailto:lieselottehassler@hotmail.com" TargetMode="External"/><Relationship Id="rId105" Type="http://schemas.openxmlformats.org/officeDocument/2006/relationships/hyperlink" Target="mailto:abigailmaldonado@hotmail.com" TargetMode="External"/><Relationship Id="rId147" Type="http://schemas.openxmlformats.org/officeDocument/2006/relationships/hyperlink" Target="mailto:priscilamerino84@hotmail.com" TargetMode="External"/><Relationship Id="rId312" Type="http://schemas.openxmlformats.org/officeDocument/2006/relationships/hyperlink" Target="mailto:cruzap.micaela@gmail.com" TargetMode="External"/><Relationship Id="rId354" Type="http://schemas.openxmlformats.org/officeDocument/2006/relationships/hyperlink" Target="mailto:adrian_ibarra4@yahoo.com" TargetMode="External"/><Relationship Id="rId51" Type="http://schemas.openxmlformats.org/officeDocument/2006/relationships/hyperlink" Target="mailto:angelita.silviaro@gmail.com" TargetMode="External"/><Relationship Id="rId93" Type="http://schemas.openxmlformats.org/officeDocument/2006/relationships/hyperlink" Target="mailto:marita.castillo@gmail.com" TargetMode="External"/><Relationship Id="rId189" Type="http://schemas.openxmlformats.org/officeDocument/2006/relationships/hyperlink" Target="mailto:monihervi@gmail.com" TargetMode="External"/><Relationship Id="rId396" Type="http://schemas.openxmlformats.org/officeDocument/2006/relationships/hyperlink" Target="mailto:andreae.pardoch@gmail.com" TargetMode="External"/><Relationship Id="rId214" Type="http://schemas.openxmlformats.org/officeDocument/2006/relationships/hyperlink" Target="mailto:gatteins007@hotmail.com" TargetMode="External"/><Relationship Id="rId256" Type="http://schemas.openxmlformats.org/officeDocument/2006/relationships/hyperlink" Target="mailto:tatiana.meza1973@gmail.com" TargetMode="External"/><Relationship Id="rId298" Type="http://schemas.openxmlformats.org/officeDocument/2006/relationships/hyperlink" Target="mailto:kro16-87@hotmail.com" TargetMode="External"/><Relationship Id="rId421" Type="http://schemas.openxmlformats.org/officeDocument/2006/relationships/hyperlink" Target="mailto:dieli1788@gmail.com" TargetMode="External"/><Relationship Id="rId463" Type="http://schemas.openxmlformats.org/officeDocument/2006/relationships/hyperlink" Target="mailto:nyleveagb@yahoo.es" TargetMode="External"/><Relationship Id="rId116" Type="http://schemas.openxmlformats.org/officeDocument/2006/relationships/hyperlink" Target="mailto:majoroseroe1@gmail.com" TargetMode="External"/><Relationship Id="rId158" Type="http://schemas.openxmlformats.org/officeDocument/2006/relationships/hyperlink" Target="mailto:gcuerito@yahoo.com" TargetMode="External"/><Relationship Id="rId323" Type="http://schemas.openxmlformats.org/officeDocument/2006/relationships/hyperlink" Target="mailto:lucia_qc@hotmail.com" TargetMode="External"/><Relationship Id="rId20" Type="http://schemas.openxmlformats.org/officeDocument/2006/relationships/hyperlink" Target="mailto:vir_74@hotmail.com" TargetMode="External"/><Relationship Id="rId62" Type="http://schemas.openxmlformats.org/officeDocument/2006/relationships/hyperlink" Target="mailto:maria.chicaiza1928@hotmail.com" TargetMode="External"/><Relationship Id="rId365" Type="http://schemas.openxmlformats.org/officeDocument/2006/relationships/hyperlink" Target="mailto:garnicamabe@gmail.com" TargetMode="External"/><Relationship Id="rId225" Type="http://schemas.openxmlformats.org/officeDocument/2006/relationships/hyperlink" Target="mailto:isabellallerena151@gmail.com" TargetMode="External"/><Relationship Id="rId267" Type="http://schemas.openxmlformats.org/officeDocument/2006/relationships/hyperlink" Target="mailto:tipansanchez.pn@gmail.com" TargetMode="External"/><Relationship Id="rId432" Type="http://schemas.openxmlformats.org/officeDocument/2006/relationships/hyperlink" Target="mailto:car-ale-br@hotmail.com" TargetMode="External"/><Relationship Id="rId474" Type="http://schemas.openxmlformats.org/officeDocument/2006/relationships/hyperlink" Target="mailto:susanasuarez@hotmail.com" TargetMode="External"/><Relationship Id="rId106" Type="http://schemas.openxmlformats.org/officeDocument/2006/relationships/hyperlink" Target="mailto:abigailmaldonado@hotmail.com" TargetMode="External"/><Relationship Id="rId127" Type="http://schemas.openxmlformats.org/officeDocument/2006/relationships/hyperlink" Target="mailto:iboneflores@hotmail.com" TargetMode="External"/><Relationship Id="rId313" Type="http://schemas.openxmlformats.org/officeDocument/2006/relationships/hyperlink" Target="mailto:cruzap.micaela@gmail.com" TargetMode="External"/><Relationship Id="rId495" Type="http://schemas.openxmlformats.org/officeDocument/2006/relationships/hyperlink" Target="mailto:christian89.pardo@hotmail.com" TargetMode="External"/><Relationship Id="rId10" Type="http://schemas.openxmlformats.org/officeDocument/2006/relationships/hyperlink" Target="mailto:andressanchez1923@gmail.com" TargetMode="External"/><Relationship Id="rId31" Type="http://schemas.openxmlformats.org/officeDocument/2006/relationships/hyperlink" Target="mailto:valeriaguirre2000@hotmail.com" TargetMode="External"/><Relationship Id="rId52" Type="http://schemas.openxmlformats.org/officeDocument/2006/relationships/hyperlink" Target="mailto:angelita.silviaro@gmail.com" TargetMode="External"/><Relationship Id="rId73" Type="http://schemas.openxmlformats.org/officeDocument/2006/relationships/hyperlink" Target="mailto:laupada9@hotmail.com" TargetMode="External"/><Relationship Id="rId94" Type="http://schemas.openxmlformats.org/officeDocument/2006/relationships/hyperlink" Target="mailto:marita.castillo@gmail.com" TargetMode="External"/><Relationship Id="rId148" Type="http://schemas.openxmlformats.org/officeDocument/2006/relationships/hyperlink" Target="mailto:franchi694@gmail.com" TargetMode="External"/><Relationship Id="rId169" Type="http://schemas.openxmlformats.org/officeDocument/2006/relationships/hyperlink" Target="mailto:snaranjo@hotmail.com" TargetMode="External"/><Relationship Id="rId334" Type="http://schemas.openxmlformats.org/officeDocument/2006/relationships/hyperlink" Target="mailto:amanda.palacios16@gmail.com" TargetMode="External"/><Relationship Id="rId355" Type="http://schemas.openxmlformats.org/officeDocument/2006/relationships/hyperlink" Target="mailto:adrian_ibarra4@yahoo.com" TargetMode="External"/><Relationship Id="rId376" Type="http://schemas.openxmlformats.org/officeDocument/2006/relationships/hyperlink" Target="mailto:andreae.pardoch@gmail.com" TargetMode="External"/><Relationship Id="rId397" Type="http://schemas.openxmlformats.org/officeDocument/2006/relationships/hyperlink" Target="mailto:paul.cherres@gmail.com" TargetMode="External"/><Relationship Id="rId4" Type="http://schemas.openxmlformats.org/officeDocument/2006/relationships/hyperlink" Target="mailto:majovasquez@gmail.com" TargetMode="External"/><Relationship Id="rId180" Type="http://schemas.openxmlformats.org/officeDocument/2006/relationships/hyperlink" Target="mailto:doris.almeida.o@gmail.com" TargetMode="External"/><Relationship Id="rId215" Type="http://schemas.openxmlformats.org/officeDocument/2006/relationships/hyperlink" Target="mailto:gatteins007@hotmail.com" TargetMode="External"/><Relationship Id="rId236" Type="http://schemas.openxmlformats.org/officeDocument/2006/relationships/hyperlink" Target="mailto:kfccadena@gmail.com" TargetMode="External"/><Relationship Id="rId257" Type="http://schemas.openxmlformats.org/officeDocument/2006/relationships/hyperlink" Target="mailto:tatiana.meza1973@gmail.com" TargetMode="External"/><Relationship Id="rId278" Type="http://schemas.openxmlformats.org/officeDocument/2006/relationships/hyperlink" Target="mailto:crispe@gmail.com" TargetMode="External"/><Relationship Id="rId401" Type="http://schemas.openxmlformats.org/officeDocument/2006/relationships/hyperlink" Target="mailto:carla.sandoval92@gmail.com" TargetMode="External"/><Relationship Id="rId422" Type="http://schemas.openxmlformats.org/officeDocument/2006/relationships/hyperlink" Target="mailto:dieli1788@gmail.com" TargetMode="External"/><Relationship Id="rId443" Type="http://schemas.openxmlformats.org/officeDocument/2006/relationships/hyperlink" Target="mailto:paola_valencia19@hotmail.com" TargetMode="External"/><Relationship Id="rId464" Type="http://schemas.openxmlformats.org/officeDocument/2006/relationships/hyperlink" Target="mailto:nyleveagb@yahoo.es" TargetMode="External"/><Relationship Id="rId303" Type="http://schemas.openxmlformats.org/officeDocument/2006/relationships/hyperlink" Target="mailto:gallardo_moni@yahoo.es" TargetMode="External"/><Relationship Id="rId485" Type="http://schemas.openxmlformats.org/officeDocument/2006/relationships/hyperlink" Target="mailto:vivi.narvaez8@gmail.com" TargetMode="External"/><Relationship Id="rId42" Type="http://schemas.openxmlformats.org/officeDocument/2006/relationships/hyperlink" Target="mailto:angelita.silviaro@gmail.com" TargetMode="External"/><Relationship Id="rId84" Type="http://schemas.openxmlformats.org/officeDocument/2006/relationships/hyperlink" Target="mailto:anabelzambrano91@gmail.com" TargetMode="External"/><Relationship Id="rId138" Type="http://schemas.openxmlformats.org/officeDocument/2006/relationships/hyperlink" Target="mailto:mello6302@hotmail.com" TargetMode="External"/><Relationship Id="rId345" Type="http://schemas.openxmlformats.org/officeDocument/2006/relationships/hyperlink" Target="mailto:adrian_ibarra4@yahoo.com" TargetMode="External"/><Relationship Id="rId387" Type="http://schemas.openxmlformats.org/officeDocument/2006/relationships/hyperlink" Target="mailto:andreae.pardoch@gmail.com" TargetMode="External"/><Relationship Id="rId191" Type="http://schemas.openxmlformats.org/officeDocument/2006/relationships/hyperlink" Target="mailto:monihervi@gmail.com" TargetMode="External"/><Relationship Id="rId205" Type="http://schemas.openxmlformats.org/officeDocument/2006/relationships/hyperlink" Target="mailto:katemel_1989@hotmail.es" TargetMode="External"/><Relationship Id="rId247" Type="http://schemas.openxmlformats.org/officeDocument/2006/relationships/hyperlink" Target="mailto:patty.ale88@hotmail.com" TargetMode="External"/><Relationship Id="rId412" Type="http://schemas.openxmlformats.org/officeDocument/2006/relationships/hyperlink" Target="mailto:sacosta.flor@gmail.com" TargetMode="External"/><Relationship Id="rId107" Type="http://schemas.openxmlformats.org/officeDocument/2006/relationships/hyperlink" Target="mailto:abbiejeje@gmail.com" TargetMode="External"/><Relationship Id="rId289" Type="http://schemas.openxmlformats.org/officeDocument/2006/relationships/hyperlink" Target="mailto:kro16-87@hotmail.com" TargetMode="External"/><Relationship Id="rId454" Type="http://schemas.openxmlformats.org/officeDocument/2006/relationships/hyperlink" Target="mailto:aishapesantez@gmail.com" TargetMode="External"/><Relationship Id="rId496" Type="http://schemas.openxmlformats.org/officeDocument/2006/relationships/hyperlink" Target="mailto:christian89.pardo@hotmail.com" TargetMode="External"/><Relationship Id="rId11" Type="http://schemas.openxmlformats.org/officeDocument/2006/relationships/hyperlink" Target="mailto:vanessa_silvaespin@hotmail.com" TargetMode="External"/><Relationship Id="rId53" Type="http://schemas.openxmlformats.org/officeDocument/2006/relationships/hyperlink" Target="mailto:angelita.silviaro@gmail.com" TargetMode="External"/><Relationship Id="rId149" Type="http://schemas.openxmlformats.org/officeDocument/2006/relationships/hyperlink" Target="mailto:karjacquel696@gmail.com" TargetMode="External"/><Relationship Id="rId314" Type="http://schemas.openxmlformats.org/officeDocument/2006/relationships/hyperlink" Target="mailto:cruzap.micaela@gmail.com" TargetMode="External"/><Relationship Id="rId356" Type="http://schemas.openxmlformats.org/officeDocument/2006/relationships/hyperlink" Target="mailto:adrian_ibarra4@yahoo.com" TargetMode="External"/><Relationship Id="rId398" Type="http://schemas.openxmlformats.org/officeDocument/2006/relationships/hyperlink" Target="mailto:keqsmuv@hotmail.com" TargetMode="External"/><Relationship Id="rId95" Type="http://schemas.openxmlformats.org/officeDocument/2006/relationships/hyperlink" Target="mailto:marita.castillo@gmail.com" TargetMode="External"/><Relationship Id="rId160" Type="http://schemas.openxmlformats.org/officeDocument/2006/relationships/hyperlink" Target="mailto:kathykmsl@gmail.com" TargetMode="External"/><Relationship Id="rId216" Type="http://schemas.openxmlformats.org/officeDocument/2006/relationships/hyperlink" Target="mailto:gatteins007@hotmail.com" TargetMode="External"/><Relationship Id="rId423" Type="http://schemas.openxmlformats.org/officeDocument/2006/relationships/hyperlink" Target="mailto:veronicaachi17@outlook.es" TargetMode="External"/><Relationship Id="rId258" Type="http://schemas.openxmlformats.org/officeDocument/2006/relationships/hyperlink" Target="mailto:jimenezgeovanna@hotmail.com" TargetMode="External"/><Relationship Id="rId465" Type="http://schemas.openxmlformats.org/officeDocument/2006/relationships/hyperlink" Target="mailto:nyleveagb@yahoo.es" TargetMode="External"/><Relationship Id="rId22" Type="http://schemas.openxmlformats.org/officeDocument/2006/relationships/hyperlink" Target="mailto:mgrea96@gmail.com" TargetMode="External"/><Relationship Id="rId64" Type="http://schemas.openxmlformats.org/officeDocument/2006/relationships/hyperlink" Target="mailto:maria.chicaiza1928@hotmail.com" TargetMode="External"/><Relationship Id="rId118" Type="http://schemas.openxmlformats.org/officeDocument/2006/relationships/hyperlink" Target="mailto:majoroseroe1@gmail.com" TargetMode="External"/><Relationship Id="rId325" Type="http://schemas.openxmlformats.org/officeDocument/2006/relationships/hyperlink" Target="mailto:alexandradelrociosanchez@gmail.com" TargetMode="External"/><Relationship Id="rId367" Type="http://schemas.openxmlformats.org/officeDocument/2006/relationships/hyperlink" Target="mailto:veroalexa@gmail.com" TargetMode="External"/><Relationship Id="rId171" Type="http://schemas.openxmlformats.org/officeDocument/2006/relationships/hyperlink" Target="mailto:soniaelax@hotmail.com" TargetMode="External"/><Relationship Id="rId227" Type="http://schemas.openxmlformats.org/officeDocument/2006/relationships/hyperlink" Target="mailto:dianakburbano@outlook.com" TargetMode="External"/><Relationship Id="rId269" Type="http://schemas.openxmlformats.org/officeDocument/2006/relationships/hyperlink" Target="mailto:tipansanchez.pn@gmail.com" TargetMode="External"/><Relationship Id="rId434" Type="http://schemas.openxmlformats.org/officeDocument/2006/relationships/hyperlink" Target="mailto:car-ale-br@hotmail.com" TargetMode="External"/><Relationship Id="rId476" Type="http://schemas.openxmlformats.org/officeDocument/2006/relationships/hyperlink" Target="mailto:lindagrp@hotmail.com" TargetMode="External"/><Relationship Id="rId33" Type="http://schemas.openxmlformats.org/officeDocument/2006/relationships/hyperlink" Target="mailto:emilia251997@hotmail.com" TargetMode="External"/><Relationship Id="rId129" Type="http://schemas.openxmlformats.org/officeDocument/2006/relationships/hyperlink" Target="mailto:stefi.espinosa@hotmail.com" TargetMode="External"/><Relationship Id="rId280" Type="http://schemas.openxmlformats.org/officeDocument/2006/relationships/hyperlink" Target="mailto:crispe@gmail.com" TargetMode="External"/><Relationship Id="rId336" Type="http://schemas.openxmlformats.org/officeDocument/2006/relationships/hyperlink" Target="mailto:leticiasanchezv@yahoo.com" TargetMode="External"/><Relationship Id="rId75" Type="http://schemas.openxmlformats.org/officeDocument/2006/relationships/hyperlink" Target="mailto:josselynch1995@gmail.com" TargetMode="External"/><Relationship Id="rId140" Type="http://schemas.openxmlformats.org/officeDocument/2006/relationships/hyperlink" Target="mailto:abg.mendoza@gmail.com" TargetMode="External"/><Relationship Id="rId182" Type="http://schemas.openxmlformats.org/officeDocument/2006/relationships/hyperlink" Target="mailto:mayicienta@hotmail.com" TargetMode="External"/><Relationship Id="rId378" Type="http://schemas.openxmlformats.org/officeDocument/2006/relationships/hyperlink" Target="mailto:andreae.pardoch@gmail.com" TargetMode="External"/><Relationship Id="rId403" Type="http://schemas.openxmlformats.org/officeDocument/2006/relationships/hyperlink" Target="mailto:ximene.orbe@hotmail.es" TargetMode="External"/><Relationship Id="rId6" Type="http://schemas.openxmlformats.org/officeDocument/2006/relationships/hyperlink" Target="mailto:mbelencarpio@hotmail.com" TargetMode="External"/><Relationship Id="rId238" Type="http://schemas.openxmlformats.org/officeDocument/2006/relationships/hyperlink" Target="mailto:andrea_ccajas@yahoo.com" TargetMode="External"/><Relationship Id="rId445" Type="http://schemas.openxmlformats.org/officeDocument/2006/relationships/hyperlink" Target="mailto:paola_valencia19@hotmail.com" TargetMode="External"/><Relationship Id="rId487" Type="http://schemas.openxmlformats.org/officeDocument/2006/relationships/hyperlink" Target="mailto:facturas@hedge.com.ec" TargetMode="External"/><Relationship Id="rId291" Type="http://schemas.openxmlformats.org/officeDocument/2006/relationships/hyperlink" Target="mailto:kro16-87@hotmail.com" TargetMode="External"/><Relationship Id="rId305" Type="http://schemas.openxmlformats.org/officeDocument/2006/relationships/hyperlink" Target="mailto:anar.sanchez@hotmail.com" TargetMode="External"/><Relationship Id="rId347" Type="http://schemas.openxmlformats.org/officeDocument/2006/relationships/hyperlink" Target="mailto:adrian_ibarra4@yahoo.com" TargetMode="External"/><Relationship Id="rId44" Type="http://schemas.openxmlformats.org/officeDocument/2006/relationships/hyperlink" Target="mailto:angelita.silviaro@gmail.com" TargetMode="External"/><Relationship Id="rId86" Type="http://schemas.openxmlformats.org/officeDocument/2006/relationships/hyperlink" Target="mailto:anabelzambrano91@gmail.com" TargetMode="External"/><Relationship Id="rId151" Type="http://schemas.openxmlformats.org/officeDocument/2006/relationships/hyperlink" Target="mailto:criss_ldu@hotmail.com" TargetMode="External"/><Relationship Id="rId389" Type="http://schemas.openxmlformats.org/officeDocument/2006/relationships/hyperlink" Target="mailto:andreae.pardoch@gmail.com" TargetMode="External"/><Relationship Id="rId193" Type="http://schemas.openxmlformats.org/officeDocument/2006/relationships/hyperlink" Target="mailto:monihervi@gmail.com" TargetMode="External"/><Relationship Id="rId207" Type="http://schemas.openxmlformats.org/officeDocument/2006/relationships/hyperlink" Target="mailto:katemel_1989@hotmail.es" TargetMode="External"/><Relationship Id="rId249" Type="http://schemas.openxmlformats.org/officeDocument/2006/relationships/hyperlink" Target="mailto:patty.ale88@hotmail.com" TargetMode="External"/><Relationship Id="rId414" Type="http://schemas.openxmlformats.org/officeDocument/2006/relationships/hyperlink" Target="mailto:sacosta.flor@gmail.com" TargetMode="External"/><Relationship Id="rId456" Type="http://schemas.openxmlformats.org/officeDocument/2006/relationships/hyperlink" Target="mailto:jessmanzano1985@hotmail.com" TargetMode="External"/><Relationship Id="rId498" Type="http://schemas.openxmlformats.org/officeDocument/2006/relationships/printerSettings" Target="../printerSettings/printerSettings3.bin"/><Relationship Id="rId13" Type="http://schemas.openxmlformats.org/officeDocument/2006/relationships/hyperlink" Target="mailto:albadelpilar@gmail.com" TargetMode="External"/><Relationship Id="rId109" Type="http://schemas.openxmlformats.org/officeDocument/2006/relationships/hyperlink" Target="mailto:abbiejeje@gmail.com" TargetMode="External"/><Relationship Id="rId260" Type="http://schemas.openxmlformats.org/officeDocument/2006/relationships/hyperlink" Target="mailto:danialejandra998@gmail.com" TargetMode="External"/><Relationship Id="rId316" Type="http://schemas.openxmlformats.org/officeDocument/2006/relationships/hyperlink" Target="mailto:paola1985.amv@gmail.com" TargetMode="External"/><Relationship Id="rId55" Type="http://schemas.openxmlformats.org/officeDocument/2006/relationships/hyperlink" Target="mailto:maria.chicaiza1928@hotmail.com" TargetMode="External"/><Relationship Id="rId97" Type="http://schemas.openxmlformats.org/officeDocument/2006/relationships/hyperlink" Target="mailto:ericka-poveda.lugo@hotmail.com" TargetMode="External"/><Relationship Id="rId120" Type="http://schemas.openxmlformats.org/officeDocument/2006/relationships/hyperlink" Target="mailto:majoroseroe1@gmail.com" TargetMode="External"/><Relationship Id="rId358" Type="http://schemas.openxmlformats.org/officeDocument/2006/relationships/hyperlink" Target="mailto:adrian_ibarra4@yahoo.com" TargetMode="External"/><Relationship Id="rId162" Type="http://schemas.openxmlformats.org/officeDocument/2006/relationships/hyperlink" Target="mailto:mickyponce18@hotmail.com" TargetMode="External"/><Relationship Id="rId218" Type="http://schemas.openxmlformats.org/officeDocument/2006/relationships/hyperlink" Target="mailto:gatteins007@hotmail.com" TargetMode="External"/><Relationship Id="rId425" Type="http://schemas.openxmlformats.org/officeDocument/2006/relationships/hyperlink" Target="mailto:mafer-reyes@hotmail.ec" TargetMode="External"/><Relationship Id="rId467" Type="http://schemas.openxmlformats.org/officeDocument/2006/relationships/hyperlink" Target="mailto:nyleveagb@yahoo.es" TargetMode="External"/><Relationship Id="rId271" Type="http://schemas.openxmlformats.org/officeDocument/2006/relationships/hyperlink" Target="mailto:tipansanchez.pn@gmail.com" TargetMode="External"/><Relationship Id="rId24" Type="http://schemas.openxmlformats.org/officeDocument/2006/relationships/hyperlink" Target="mailto:mgrea96@gmail.com" TargetMode="External"/><Relationship Id="rId66" Type="http://schemas.openxmlformats.org/officeDocument/2006/relationships/hyperlink" Target="mailto:maria.chicaiza1928@hotmail.com" TargetMode="External"/><Relationship Id="rId131" Type="http://schemas.openxmlformats.org/officeDocument/2006/relationships/hyperlink" Target="mailto:helragba@yahoo.com" TargetMode="External"/><Relationship Id="rId327" Type="http://schemas.openxmlformats.org/officeDocument/2006/relationships/hyperlink" Target="mailto:uvcalahorrano@hotmail.com" TargetMode="External"/><Relationship Id="rId369" Type="http://schemas.openxmlformats.org/officeDocument/2006/relationships/hyperlink" Target="mailto:verjo79@hotmail.com" TargetMode="External"/><Relationship Id="rId173" Type="http://schemas.openxmlformats.org/officeDocument/2006/relationships/hyperlink" Target="mailto:fpacota18@hotmail.com" TargetMode="External"/><Relationship Id="rId229" Type="http://schemas.openxmlformats.org/officeDocument/2006/relationships/hyperlink" Target="mailto:dianakburbano@outlook.com" TargetMode="External"/><Relationship Id="rId380" Type="http://schemas.openxmlformats.org/officeDocument/2006/relationships/hyperlink" Target="mailto:andreae.pardoch@gmail.com" TargetMode="External"/><Relationship Id="rId436" Type="http://schemas.openxmlformats.org/officeDocument/2006/relationships/hyperlink" Target="mailto:valeria_guillota97@hotmail.com" TargetMode="External"/><Relationship Id="rId240" Type="http://schemas.openxmlformats.org/officeDocument/2006/relationships/hyperlink" Target="mailto:werazo29@hotmail.com" TargetMode="External"/><Relationship Id="rId478" Type="http://schemas.openxmlformats.org/officeDocument/2006/relationships/hyperlink" Target="mailto:tstradaioli@gmail.com" TargetMode="External"/><Relationship Id="rId35" Type="http://schemas.openxmlformats.org/officeDocument/2006/relationships/hyperlink" Target="mailto:mppa7mino@gmail.com" TargetMode="External"/><Relationship Id="rId77" Type="http://schemas.openxmlformats.org/officeDocument/2006/relationships/hyperlink" Target="mailto:nbonifazm@outcook.com" TargetMode="External"/><Relationship Id="rId100" Type="http://schemas.openxmlformats.org/officeDocument/2006/relationships/hyperlink" Target="mailto:sofia.gavilanes27@gmail.com" TargetMode="External"/><Relationship Id="rId282" Type="http://schemas.openxmlformats.org/officeDocument/2006/relationships/hyperlink" Target="mailto:crispe@gmail.com" TargetMode="External"/><Relationship Id="rId338" Type="http://schemas.openxmlformats.org/officeDocument/2006/relationships/hyperlink" Target="mailto:valentinaiturralde26@gmail.com" TargetMode="External"/><Relationship Id="rId8" Type="http://schemas.openxmlformats.org/officeDocument/2006/relationships/hyperlink" Target="mailto:vicky_label2000@hotmail.com" TargetMode="External"/><Relationship Id="rId142" Type="http://schemas.openxmlformats.org/officeDocument/2006/relationships/hyperlink" Target="mailto:carolinamena85@hotmail.com" TargetMode="External"/><Relationship Id="rId184" Type="http://schemas.openxmlformats.org/officeDocument/2006/relationships/hyperlink" Target="mailto:michelassol@hotmail.com" TargetMode="External"/><Relationship Id="rId391" Type="http://schemas.openxmlformats.org/officeDocument/2006/relationships/hyperlink" Target="mailto:andreae.pardoch@gmail.com" TargetMode="External"/><Relationship Id="rId405" Type="http://schemas.openxmlformats.org/officeDocument/2006/relationships/hyperlink" Target="mailto:valentinacharpentier33@gmail.com" TargetMode="External"/><Relationship Id="rId447" Type="http://schemas.openxmlformats.org/officeDocument/2006/relationships/hyperlink" Target="mailto:yaguagallo@gmail.com" TargetMode="External"/><Relationship Id="rId251" Type="http://schemas.openxmlformats.org/officeDocument/2006/relationships/hyperlink" Target="mailto:camile.nunez3@gmail.com" TargetMode="External"/><Relationship Id="rId489" Type="http://schemas.openxmlformats.org/officeDocument/2006/relationships/hyperlink" Target="mailto:mlojanov@gmail.com" TargetMode="External"/><Relationship Id="rId46" Type="http://schemas.openxmlformats.org/officeDocument/2006/relationships/hyperlink" Target="mailto:angelita.silviaro@gmail.com" TargetMode="External"/><Relationship Id="rId293" Type="http://schemas.openxmlformats.org/officeDocument/2006/relationships/hyperlink" Target="mailto:kro16-87@hotmail.com" TargetMode="External"/><Relationship Id="rId307" Type="http://schemas.openxmlformats.org/officeDocument/2006/relationships/hyperlink" Target="mailto:milton.aguas@gmai.com" TargetMode="External"/><Relationship Id="rId349" Type="http://schemas.openxmlformats.org/officeDocument/2006/relationships/hyperlink" Target="mailto:adrian_ibarra4@yahoo.com" TargetMode="External"/><Relationship Id="rId88" Type="http://schemas.openxmlformats.org/officeDocument/2006/relationships/hyperlink" Target="mailto:monivivancovi@gmail.com" TargetMode="External"/><Relationship Id="rId111" Type="http://schemas.openxmlformats.org/officeDocument/2006/relationships/hyperlink" Target="mailto:gabrielacuasapazp@gmail.com" TargetMode="External"/><Relationship Id="rId153" Type="http://schemas.openxmlformats.org/officeDocument/2006/relationships/hyperlink" Target="mailto:alexandra.abadiano@gmail.com" TargetMode="External"/><Relationship Id="rId195" Type="http://schemas.openxmlformats.org/officeDocument/2006/relationships/hyperlink" Target="mailto:silviaiturralde1977@gmail%20.com" TargetMode="External"/><Relationship Id="rId209" Type="http://schemas.openxmlformats.org/officeDocument/2006/relationships/hyperlink" Target="mailto:jessbilbao94@gmail.com" TargetMode="External"/><Relationship Id="rId360" Type="http://schemas.openxmlformats.org/officeDocument/2006/relationships/hyperlink" Target="mailto:edithmontaluisa@gemail.com" TargetMode="External"/><Relationship Id="rId416" Type="http://schemas.openxmlformats.org/officeDocument/2006/relationships/hyperlink" Target="mailto:dieli1788@gmail.com" TargetMode="External"/><Relationship Id="rId220" Type="http://schemas.openxmlformats.org/officeDocument/2006/relationships/hyperlink" Target="mailto:monicapizurietav@gmail.com" TargetMode="External"/><Relationship Id="rId458" Type="http://schemas.openxmlformats.org/officeDocument/2006/relationships/hyperlink" Target="mailto:jessmanzano1985@hotmail.com" TargetMode="External"/><Relationship Id="rId15" Type="http://schemas.openxmlformats.org/officeDocument/2006/relationships/hyperlink" Target="mailto:maritza_izurieta@hotmail.com" TargetMode="External"/><Relationship Id="rId57" Type="http://schemas.openxmlformats.org/officeDocument/2006/relationships/hyperlink" Target="mailto:maria.chicaiza1928@hotmail.com" TargetMode="External"/><Relationship Id="rId262" Type="http://schemas.openxmlformats.org/officeDocument/2006/relationships/hyperlink" Target="mailto:egbduque@gmail.com" TargetMode="External"/><Relationship Id="rId318" Type="http://schemas.openxmlformats.org/officeDocument/2006/relationships/hyperlink" Target="mailto:aanavarretey@hotmail.com" TargetMode="External"/><Relationship Id="rId99" Type="http://schemas.openxmlformats.org/officeDocument/2006/relationships/hyperlink" Target="mailto:sofia.gavilanes27@gmail.com" TargetMode="External"/><Relationship Id="rId122" Type="http://schemas.openxmlformats.org/officeDocument/2006/relationships/hyperlink" Target="mailto:majoroseroe1@gmail.com" TargetMode="External"/><Relationship Id="rId164" Type="http://schemas.openxmlformats.org/officeDocument/2006/relationships/hyperlink" Target="mailto:mickyponce18@hotmail.com" TargetMode="External"/><Relationship Id="rId371" Type="http://schemas.openxmlformats.org/officeDocument/2006/relationships/hyperlink" Target="mailto:estelavargasi52@gmail.com" TargetMode="External"/><Relationship Id="rId427" Type="http://schemas.openxmlformats.org/officeDocument/2006/relationships/hyperlink" Target="mailto:mafer-reyes@hotmail.ec" TargetMode="External"/><Relationship Id="rId469" Type="http://schemas.openxmlformats.org/officeDocument/2006/relationships/hyperlink" Target="mailto:nyleveagb@yahoo.es" TargetMode="External"/><Relationship Id="rId26" Type="http://schemas.openxmlformats.org/officeDocument/2006/relationships/hyperlink" Target="mailto:mgrea96@gmail.com" TargetMode="External"/><Relationship Id="rId231" Type="http://schemas.openxmlformats.org/officeDocument/2006/relationships/hyperlink" Target="mailto:adriana.yugsi@gmail.com" TargetMode="External"/><Relationship Id="rId273" Type="http://schemas.openxmlformats.org/officeDocument/2006/relationships/hyperlink" Target="mailto:tipansanchez.pn@gmail.com" TargetMode="External"/><Relationship Id="rId329" Type="http://schemas.openxmlformats.org/officeDocument/2006/relationships/hyperlink" Target="mailto:monigoteja123@gmail.com" TargetMode="External"/><Relationship Id="rId480" Type="http://schemas.openxmlformats.org/officeDocument/2006/relationships/hyperlink" Target="mailto:nchllOrbe@gmail.com" TargetMode="External"/><Relationship Id="rId68" Type="http://schemas.openxmlformats.org/officeDocument/2006/relationships/hyperlink" Target="mailto:jrv_1618@hotmail.com" TargetMode="External"/><Relationship Id="rId133" Type="http://schemas.openxmlformats.org/officeDocument/2006/relationships/hyperlink" Target="mailto:leo.Asorente@hotmail.com" TargetMode="External"/><Relationship Id="rId175" Type="http://schemas.openxmlformats.org/officeDocument/2006/relationships/hyperlink" Target="mailto:doris.almeida.o@gmail.com" TargetMode="External"/><Relationship Id="rId340" Type="http://schemas.openxmlformats.org/officeDocument/2006/relationships/hyperlink" Target="mailto:adrian_ibarra4@yahoo.com" TargetMode="External"/><Relationship Id="rId200" Type="http://schemas.openxmlformats.org/officeDocument/2006/relationships/hyperlink" Target="mailto:carolinavallejo.ac@gmail.com" TargetMode="External"/><Relationship Id="rId382" Type="http://schemas.openxmlformats.org/officeDocument/2006/relationships/hyperlink" Target="mailto:andreae.pardoch@gmail.com" TargetMode="External"/><Relationship Id="rId438" Type="http://schemas.openxmlformats.org/officeDocument/2006/relationships/hyperlink" Target="mailto:jan.ce46@hotmail.com" TargetMode="External"/><Relationship Id="rId242" Type="http://schemas.openxmlformats.org/officeDocument/2006/relationships/hyperlink" Target="mailto:dianaecn@gmail.com" TargetMode="External"/><Relationship Id="rId284" Type="http://schemas.openxmlformats.org/officeDocument/2006/relationships/hyperlink" Target="mailto:adonaypallo@hotmail.com" TargetMode="External"/><Relationship Id="rId491" Type="http://schemas.openxmlformats.org/officeDocument/2006/relationships/hyperlink" Target="mailto:cpoveda77@gmail.com" TargetMode="External"/><Relationship Id="rId37" Type="http://schemas.openxmlformats.org/officeDocument/2006/relationships/hyperlink" Target="mailto:angelita.silviaro@gmail.com" TargetMode="External"/><Relationship Id="rId79" Type="http://schemas.openxmlformats.org/officeDocument/2006/relationships/hyperlink" Target="mailto:nbonifazm@outcook.com" TargetMode="External"/><Relationship Id="rId102" Type="http://schemas.openxmlformats.org/officeDocument/2006/relationships/hyperlink" Target="mailto:sofia.gavilanes27@gmail.com" TargetMode="External"/><Relationship Id="rId144" Type="http://schemas.openxmlformats.org/officeDocument/2006/relationships/hyperlink" Target="mailto:carolinamena85@hotmail.com" TargetMode="External"/><Relationship Id="rId90" Type="http://schemas.openxmlformats.org/officeDocument/2006/relationships/hyperlink" Target="mailto:mariana_2192@hotmail.com" TargetMode="External"/><Relationship Id="rId186" Type="http://schemas.openxmlformats.org/officeDocument/2006/relationships/hyperlink" Target="mailto:crissespin@gmail.com" TargetMode="External"/><Relationship Id="rId351" Type="http://schemas.openxmlformats.org/officeDocument/2006/relationships/hyperlink" Target="mailto:adrian_ibarra4@yahoo.com" TargetMode="External"/><Relationship Id="rId393" Type="http://schemas.openxmlformats.org/officeDocument/2006/relationships/hyperlink" Target="mailto:andreae.pardoch@gmail.com" TargetMode="External"/><Relationship Id="rId407" Type="http://schemas.openxmlformats.org/officeDocument/2006/relationships/hyperlink" Target="mailto:glunanarvaez@gmail.com" TargetMode="External"/><Relationship Id="rId449" Type="http://schemas.openxmlformats.org/officeDocument/2006/relationships/hyperlink" Target="mailto:huasiquindi@hotmail.com" TargetMode="External"/><Relationship Id="rId211" Type="http://schemas.openxmlformats.org/officeDocument/2006/relationships/hyperlink" Target="mailto:sofiaruizg21@gmail.com" TargetMode="External"/><Relationship Id="rId253" Type="http://schemas.openxmlformats.org/officeDocument/2006/relationships/hyperlink" Target="mailto:alexandra.valladares@gmail.com" TargetMode="External"/><Relationship Id="rId295" Type="http://schemas.openxmlformats.org/officeDocument/2006/relationships/hyperlink" Target="mailto:kro16-87@hotmail.com" TargetMode="External"/><Relationship Id="rId309" Type="http://schemas.openxmlformats.org/officeDocument/2006/relationships/hyperlink" Target="mailto:milton.aguas@gmai.com" TargetMode="External"/><Relationship Id="rId460" Type="http://schemas.openxmlformats.org/officeDocument/2006/relationships/hyperlink" Target="mailto:jessmanzano1985@hotmail.com" TargetMode="External"/><Relationship Id="rId48" Type="http://schemas.openxmlformats.org/officeDocument/2006/relationships/hyperlink" Target="mailto:angelita.silviaro@gmail.com" TargetMode="External"/><Relationship Id="rId113" Type="http://schemas.openxmlformats.org/officeDocument/2006/relationships/hyperlink" Target="mailto:latama2001@yohoo.es" TargetMode="External"/><Relationship Id="rId320" Type="http://schemas.openxmlformats.org/officeDocument/2006/relationships/hyperlink" Target="mailto:lucia_qc@hotmail.com" TargetMode="External"/><Relationship Id="rId155" Type="http://schemas.openxmlformats.org/officeDocument/2006/relationships/hyperlink" Target="mailto:veronic.chm2503@hotmail.com" TargetMode="External"/><Relationship Id="rId197" Type="http://schemas.openxmlformats.org/officeDocument/2006/relationships/hyperlink" Target="mailto:silviaiturralde1977@gmail%20.com" TargetMode="External"/><Relationship Id="rId362" Type="http://schemas.openxmlformats.org/officeDocument/2006/relationships/hyperlink" Target="mailto:edithmontaluisa@gemail.com" TargetMode="External"/><Relationship Id="rId418" Type="http://schemas.openxmlformats.org/officeDocument/2006/relationships/hyperlink" Target="mailto:dieli1788@gmail.com" TargetMode="External"/><Relationship Id="rId222" Type="http://schemas.openxmlformats.org/officeDocument/2006/relationships/hyperlink" Target="mailto:ejimerizalde@hotmail.com" TargetMode="External"/><Relationship Id="rId264" Type="http://schemas.openxmlformats.org/officeDocument/2006/relationships/hyperlink" Target="mailto:verolunita@yahoo.com" TargetMode="External"/><Relationship Id="rId471" Type="http://schemas.openxmlformats.org/officeDocument/2006/relationships/hyperlink" Target="mailto:nyleveagb@yahoo.es" TargetMode="External"/><Relationship Id="rId17" Type="http://schemas.openxmlformats.org/officeDocument/2006/relationships/hyperlink" Target="mailto:vir_74@hotmail.com" TargetMode="External"/><Relationship Id="rId59" Type="http://schemas.openxmlformats.org/officeDocument/2006/relationships/hyperlink" Target="mailto:maria.chicaiza1928@hotmail.com" TargetMode="External"/><Relationship Id="rId124" Type="http://schemas.openxmlformats.org/officeDocument/2006/relationships/hyperlink" Target="mailto:majoroseroe1@gmail.com" TargetMode="External"/><Relationship Id="rId70" Type="http://schemas.openxmlformats.org/officeDocument/2006/relationships/hyperlink" Target="mailto:gagaad@gmail.com" TargetMode="External"/><Relationship Id="rId166" Type="http://schemas.openxmlformats.org/officeDocument/2006/relationships/hyperlink" Target="mailto:squevedo94@outlook.es" TargetMode="External"/><Relationship Id="rId331" Type="http://schemas.openxmlformats.org/officeDocument/2006/relationships/hyperlink" Target="mailto:maverom_25@hotmail.com" TargetMode="External"/><Relationship Id="rId373" Type="http://schemas.openxmlformats.org/officeDocument/2006/relationships/hyperlink" Target="mailto:andreae.pardoch@gmail.com" TargetMode="External"/><Relationship Id="rId429" Type="http://schemas.openxmlformats.org/officeDocument/2006/relationships/hyperlink" Target="mailto:paulyespin@hotmail.com" TargetMode="External"/><Relationship Id="rId1" Type="http://schemas.openxmlformats.org/officeDocument/2006/relationships/hyperlink" Target="mailto:g.castellanos92@gmail.com" TargetMode="External"/><Relationship Id="rId233" Type="http://schemas.openxmlformats.org/officeDocument/2006/relationships/hyperlink" Target="mailto:sp.galindoh@gmail.com" TargetMode="External"/><Relationship Id="rId440" Type="http://schemas.openxmlformats.org/officeDocument/2006/relationships/hyperlink" Target="mailto:jan.ce46@hotmail.com" TargetMode="External"/><Relationship Id="rId28" Type="http://schemas.openxmlformats.org/officeDocument/2006/relationships/hyperlink" Target="mailto:sandosmonterobetty@gmail.com" TargetMode="External"/><Relationship Id="rId275" Type="http://schemas.openxmlformats.org/officeDocument/2006/relationships/hyperlink" Target="mailto:sammy@hotmail.es" TargetMode="External"/><Relationship Id="rId300" Type="http://schemas.openxmlformats.org/officeDocument/2006/relationships/hyperlink" Target="mailto:masolrl@gmail.com" TargetMode="External"/><Relationship Id="rId482" Type="http://schemas.openxmlformats.org/officeDocument/2006/relationships/hyperlink" Target="mailto:ffany_mencias@hotmail.com" TargetMode="External"/><Relationship Id="rId81" Type="http://schemas.openxmlformats.org/officeDocument/2006/relationships/hyperlink" Target="mailto:nbonifazm@outcook.com" TargetMode="External"/><Relationship Id="rId135" Type="http://schemas.openxmlformats.org/officeDocument/2006/relationships/hyperlink" Target="mailto:leo.Asorente@hotmail.com" TargetMode="External"/><Relationship Id="rId177" Type="http://schemas.openxmlformats.org/officeDocument/2006/relationships/hyperlink" Target="mailto:doris.almeida.o@gmail.com" TargetMode="External"/><Relationship Id="rId342" Type="http://schemas.openxmlformats.org/officeDocument/2006/relationships/hyperlink" Target="mailto:adrian_ibarra4@yahoo.com" TargetMode="External"/><Relationship Id="rId384" Type="http://schemas.openxmlformats.org/officeDocument/2006/relationships/hyperlink" Target="mailto:andreae.pardoch@gmail.com" TargetMode="External"/><Relationship Id="rId202" Type="http://schemas.openxmlformats.org/officeDocument/2006/relationships/hyperlink" Target="mailto:nut.alegriabaez@gmail.com" TargetMode="External"/><Relationship Id="rId244" Type="http://schemas.openxmlformats.org/officeDocument/2006/relationships/hyperlink" Target="mailto:dianaecn@gmail.com" TargetMode="External"/><Relationship Id="rId39" Type="http://schemas.openxmlformats.org/officeDocument/2006/relationships/hyperlink" Target="mailto:angelita.silviaro@gmail.com" TargetMode="External"/><Relationship Id="rId286" Type="http://schemas.openxmlformats.org/officeDocument/2006/relationships/hyperlink" Target="mailto:adonaypallo@hotmail.com" TargetMode="External"/><Relationship Id="rId451" Type="http://schemas.openxmlformats.org/officeDocument/2006/relationships/hyperlink" Target="mailto:tgaibor1@hotmail.com" TargetMode="External"/><Relationship Id="rId493" Type="http://schemas.openxmlformats.org/officeDocument/2006/relationships/hyperlink" Target="mailto:carlospovedam@yahoo.com" TargetMode="External"/><Relationship Id="rId50" Type="http://schemas.openxmlformats.org/officeDocument/2006/relationships/hyperlink" Target="mailto:angelita.silviaro@gmail.com" TargetMode="External"/><Relationship Id="rId104" Type="http://schemas.openxmlformats.org/officeDocument/2006/relationships/hyperlink" Target="mailto:sofia.gavilanes27@gmail.com" TargetMode="External"/><Relationship Id="rId146" Type="http://schemas.openxmlformats.org/officeDocument/2006/relationships/hyperlink" Target="mailto:melaniejajame@gmail.com" TargetMode="External"/><Relationship Id="rId188" Type="http://schemas.openxmlformats.org/officeDocument/2006/relationships/hyperlink" Target="mailto:crissespin@gmail.com" TargetMode="External"/><Relationship Id="rId311" Type="http://schemas.openxmlformats.org/officeDocument/2006/relationships/hyperlink" Target="mailto:cruzap.micaela@gmail.com" TargetMode="External"/><Relationship Id="rId353" Type="http://schemas.openxmlformats.org/officeDocument/2006/relationships/hyperlink" Target="mailto:adrian_ibarra4@yahoo.com" TargetMode="External"/><Relationship Id="rId395" Type="http://schemas.openxmlformats.org/officeDocument/2006/relationships/hyperlink" Target="mailto:andreae.pardoch@gmail.com" TargetMode="External"/><Relationship Id="rId409" Type="http://schemas.openxmlformats.org/officeDocument/2006/relationships/hyperlink" Target="mailto:glunanarvaez@gmail.com" TargetMode="External"/><Relationship Id="rId92" Type="http://schemas.openxmlformats.org/officeDocument/2006/relationships/hyperlink" Target="mailto:mariana_2192@hotmail.com" TargetMode="External"/><Relationship Id="rId213" Type="http://schemas.openxmlformats.org/officeDocument/2006/relationships/hyperlink" Target="mailto:lesjacomemora@gmail.com" TargetMode="External"/><Relationship Id="rId420" Type="http://schemas.openxmlformats.org/officeDocument/2006/relationships/hyperlink" Target="mailto:dieli1788@gmail.com" TargetMode="External"/><Relationship Id="rId255" Type="http://schemas.openxmlformats.org/officeDocument/2006/relationships/hyperlink" Target="mailto:alexandra.valladares@gmail.com" TargetMode="External"/><Relationship Id="rId297" Type="http://schemas.openxmlformats.org/officeDocument/2006/relationships/hyperlink" Target="mailto:kro16-87@hotmail.com" TargetMode="External"/><Relationship Id="rId462" Type="http://schemas.openxmlformats.org/officeDocument/2006/relationships/hyperlink" Target="mailto:nyleveagb@yahoo.es" TargetMode="External"/><Relationship Id="rId115" Type="http://schemas.openxmlformats.org/officeDocument/2006/relationships/hyperlink" Target="mailto:giss-1016@hotmail.com" TargetMode="External"/><Relationship Id="rId157" Type="http://schemas.openxmlformats.org/officeDocument/2006/relationships/hyperlink" Target="mailto:vickyroman_7@hotmail.com" TargetMode="External"/><Relationship Id="rId322" Type="http://schemas.openxmlformats.org/officeDocument/2006/relationships/hyperlink" Target="mailto:lucia_qc@hotmail.com" TargetMode="External"/><Relationship Id="rId364" Type="http://schemas.openxmlformats.org/officeDocument/2006/relationships/hyperlink" Target="mailto:garnicamabe@gmail.com" TargetMode="External"/><Relationship Id="rId61" Type="http://schemas.openxmlformats.org/officeDocument/2006/relationships/hyperlink" Target="mailto:maria.chicaiza1928@hotmail.com" TargetMode="External"/><Relationship Id="rId199" Type="http://schemas.openxmlformats.org/officeDocument/2006/relationships/hyperlink" Target="mailto:carolinavallejo.ac@gmail.com" TargetMode="External"/><Relationship Id="rId19" Type="http://schemas.openxmlformats.org/officeDocument/2006/relationships/hyperlink" Target="mailto:vir_74@hotmail.com" TargetMode="External"/><Relationship Id="rId224" Type="http://schemas.openxmlformats.org/officeDocument/2006/relationships/hyperlink" Target="mailto:isabellallerena151@gmail.com" TargetMode="External"/><Relationship Id="rId266" Type="http://schemas.openxmlformats.org/officeDocument/2006/relationships/hyperlink" Target="mailto:tipansanchez.pn@gmail.com" TargetMode="External"/><Relationship Id="rId431" Type="http://schemas.openxmlformats.org/officeDocument/2006/relationships/hyperlink" Target="mailto:car-ale-br@hotmail.com" TargetMode="External"/><Relationship Id="rId473" Type="http://schemas.openxmlformats.org/officeDocument/2006/relationships/hyperlink" Target="mailto:susanasuarez@hotmail.com" TargetMode="External"/><Relationship Id="rId30" Type="http://schemas.openxmlformats.org/officeDocument/2006/relationships/hyperlink" Target="mailto:valeriaguirre2000@hotmail.com" TargetMode="External"/><Relationship Id="rId126" Type="http://schemas.openxmlformats.org/officeDocument/2006/relationships/hyperlink" Target="mailto:lcda.lucy@hotmail.com" TargetMode="External"/><Relationship Id="rId168" Type="http://schemas.openxmlformats.org/officeDocument/2006/relationships/hyperlink" Target="mailto:snaranjo@hotmail.com" TargetMode="External"/><Relationship Id="rId333" Type="http://schemas.openxmlformats.org/officeDocument/2006/relationships/hyperlink" Target="mailto:amanda.palacios16@gmail.com" TargetMode="External"/><Relationship Id="rId72" Type="http://schemas.openxmlformats.org/officeDocument/2006/relationships/hyperlink" Target="mailto:laupada9@hotmail.com" TargetMode="External"/><Relationship Id="rId375" Type="http://schemas.openxmlformats.org/officeDocument/2006/relationships/hyperlink" Target="mailto:andreae.pardoch@gmail.com" TargetMode="External"/><Relationship Id="rId3" Type="http://schemas.openxmlformats.org/officeDocument/2006/relationships/hyperlink" Target="mailto:stefimil89@hotmail.com" TargetMode="External"/><Relationship Id="rId235" Type="http://schemas.openxmlformats.org/officeDocument/2006/relationships/hyperlink" Target="mailto:lesslielopez2304@gmail.com" TargetMode="External"/><Relationship Id="rId277" Type="http://schemas.openxmlformats.org/officeDocument/2006/relationships/hyperlink" Target="mailto:crispe@gmail.com" TargetMode="External"/><Relationship Id="rId400" Type="http://schemas.openxmlformats.org/officeDocument/2006/relationships/hyperlink" Target="mailto:keqsmuv@hotmail.com" TargetMode="External"/><Relationship Id="rId442" Type="http://schemas.openxmlformats.org/officeDocument/2006/relationships/hyperlink" Target="mailto:vanecls2810@gmail.com" TargetMode="External"/><Relationship Id="rId484" Type="http://schemas.openxmlformats.org/officeDocument/2006/relationships/hyperlink" Target="mailto:vivi.narvaez8@gmail.com" TargetMode="External"/><Relationship Id="rId137" Type="http://schemas.openxmlformats.org/officeDocument/2006/relationships/hyperlink" Target="mailto:mell0630@hotmail.com" TargetMode="External"/><Relationship Id="rId302" Type="http://schemas.openxmlformats.org/officeDocument/2006/relationships/hyperlink" Target="mailto:gallardo_moni@yahoo.es" TargetMode="External"/><Relationship Id="rId344" Type="http://schemas.openxmlformats.org/officeDocument/2006/relationships/hyperlink" Target="mailto:adrian_ibarra4@yahoo.com" TargetMode="External"/><Relationship Id="rId41" Type="http://schemas.openxmlformats.org/officeDocument/2006/relationships/hyperlink" Target="mailto:angelita.silviaro@gmail.com" TargetMode="External"/><Relationship Id="rId83" Type="http://schemas.openxmlformats.org/officeDocument/2006/relationships/hyperlink" Target="mailto:arisalazara22@gmail.com" TargetMode="External"/><Relationship Id="rId179" Type="http://schemas.openxmlformats.org/officeDocument/2006/relationships/hyperlink" Target="mailto:doris.almeida.o@gmail.com" TargetMode="External"/><Relationship Id="rId386" Type="http://schemas.openxmlformats.org/officeDocument/2006/relationships/hyperlink" Target="mailto:andreae.pardoch@gmail.com" TargetMode="External"/><Relationship Id="rId190" Type="http://schemas.openxmlformats.org/officeDocument/2006/relationships/hyperlink" Target="mailto:monihervi@gmail.com" TargetMode="External"/><Relationship Id="rId204" Type="http://schemas.openxmlformats.org/officeDocument/2006/relationships/hyperlink" Target="mailto:katemel_1989@hotmail.es" TargetMode="External"/><Relationship Id="rId246" Type="http://schemas.openxmlformats.org/officeDocument/2006/relationships/hyperlink" Target="mailto:dianaecn@gmail.com" TargetMode="External"/><Relationship Id="rId288" Type="http://schemas.openxmlformats.org/officeDocument/2006/relationships/hyperlink" Target="mailto:archiguamanzara@gmail.com" TargetMode="External"/><Relationship Id="rId411" Type="http://schemas.openxmlformats.org/officeDocument/2006/relationships/hyperlink" Target="mailto:sacosta.flor@gmail.com" TargetMode="External"/><Relationship Id="rId453" Type="http://schemas.openxmlformats.org/officeDocument/2006/relationships/hyperlink" Target="mailto:aishapesant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zoomScaleNormal="100" workbookViewId="0">
      <selection activeCell="A53" sqref="A53:B53"/>
    </sheetView>
  </sheetViews>
  <sheetFormatPr baseColWidth="10" defaultColWidth="9.140625" defaultRowHeight="16.5" x14ac:dyDescent="0.3"/>
  <cols>
    <col min="1" max="1" width="32.7109375" style="91" customWidth="1"/>
    <col min="2" max="2" width="15" style="91" customWidth="1"/>
    <col min="3" max="3" width="20" style="91" customWidth="1"/>
    <col min="4" max="4" width="31" style="91" customWidth="1"/>
    <col min="5" max="16384" width="9.140625" style="91"/>
  </cols>
  <sheetData>
    <row r="1" spans="1:4" ht="39.950000000000003" customHeight="1" x14ac:dyDescent="0.3">
      <c r="A1" s="105" t="s">
        <v>0</v>
      </c>
      <c r="B1" s="106"/>
      <c r="C1" s="106"/>
      <c r="D1" s="106"/>
    </row>
    <row r="2" spans="1:4" ht="24.95" customHeight="1" x14ac:dyDescent="0.3">
      <c r="A2" s="1" t="s">
        <v>397</v>
      </c>
      <c r="B2" s="1" t="s">
        <v>1</v>
      </c>
      <c r="C2" s="1" t="s">
        <v>2</v>
      </c>
      <c r="D2" s="1" t="s">
        <v>3</v>
      </c>
    </row>
    <row r="3" spans="1:4" ht="20.100000000000001" customHeight="1" x14ac:dyDescent="0.3">
      <c r="A3" s="93" t="s">
        <v>102</v>
      </c>
      <c r="B3" s="94">
        <v>10</v>
      </c>
      <c r="C3" s="95">
        <v>60</v>
      </c>
      <c r="D3" s="96" t="s">
        <v>981</v>
      </c>
    </row>
    <row r="4" spans="1:4" ht="20.100000000000001" customHeight="1" x14ac:dyDescent="0.3">
      <c r="A4" s="93" t="s">
        <v>28</v>
      </c>
      <c r="B4" s="94">
        <v>15</v>
      </c>
      <c r="C4" s="97">
        <v>90</v>
      </c>
      <c r="D4" s="98" t="s">
        <v>982</v>
      </c>
    </row>
    <row r="5" spans="1:4" ht="20.100000000000001" customHeight="1" x14ac:dyDescent="0.3">
      <c r="A5" s="93" t="s">
        <v>6</v>
      </c>
      <c r="B5" s="94">
        <v>12</v>
      </c>
      <c r="C5" s="95">
        <v>60</v>
      </c>
      <c r="D5" s="96" t="s">
        <v>981</v>
      </c>
    </row>
    <row r="6" spans="1:4" ht="20.100000000000001" customHeight="1" x14ac:dyDescent="0.3">
      <c r="A6" s="93" t="s">
        <v>52</v>
      </c>
      <c r="B6" s="94">
        <v>17</v>
      </c>
      <c r="C6" s="97">
        <v>90</v>
      </c>
      <c r="D6" s="98" t="s">
        <v>982</v>
      </c>
    </row>
    <row r="7" spans="1:4" ht="20.100000000000001" customHeight="1" x14ac:dyDescent="0.3">
      <c r="A7" s="93" t="s">
        <v>992</v>
      </c>
      <c r="B7" s="94">
        <v>8</v>
      </c>
      <c r="C7" s="99">
        <v>60</v>
      </c>
      <c r="D7" s="100" t="s">
        <v>981</v>
      </c>
    </row>
    <row r="8" spans="1:4" ht="20.100000000000001" customHeight="1" x14ac:dyDescent="0.3">
      <c r="A8" s="93" t="s">
        <v>710</v>
      </c>
      <c r="B8" s="94">
        <v>8</v>
      </c>
      <c r="C8" s="99">
        <v>60</v>
      </c>
      <c r="D8" s="100" t="s">
        <v>981</v>
      </c>
    </row>
    <row r="9" spans="1:4" ht="20.100000000000001" customHeight="1" x14ac:dyDescent="0.3">
      <c r="A9" s="93" t="s">
        <v>1232</v>
      </c>
      <c r="B9" s="94">
        <v>8</v>
      </c>
      <c r="C9" s="99">
        <v>30</v>
      </c>
      <c r="D9" s="100" t="s">
        <v>981</v>
      </c>
    </row>
    <row r="10" spans="1:4" ht="20.100000000000001" customHeight="1" x14ac:dyDescent="0.3">
      <c r="A10" s="93" t="s">
        <v>1233</v>
      </c>
      <c r="B10" s="94">
        <v>10</v>
      </c>
      <c r="C10" s="99">
        <v>30</v>
      </c>
      <c r="D10" s="100" t="s">
        <v>1234</v>
      </c>
    </row>
    <row r="11" spans="1:4" ht="20.100000000000001" customHeight="1" x14ac:dyDescent="0.3">
      <c r="A11" s="93" t="s">
        <v>1228</v>
      </c>
      <c r="B11" s="94">
        <v>20</v>
      </c>
      <c r="C11" s="99">
        <v>120</v>
      </c>
      <c r="D11" s="98" t="s">
        <v>982</v>
      </c>
    </row>
    <row r="12" spans="1:4" ht="20.100000000000001" customHeight="1" x14ac:dyDescent="0.3">
      <c r="A12" s="93" t="s">
        <v>1229</v>
      </c>
      <c r="B12" s="94">
        <v>22</v>
      </c>
      <c r="C12" s="99">
        <v>120</v>
      </c>
      <c r="D12" s="98" t="s">
        <v>982</v>
      </c>
    </row>
    <row r="13" spans="1:4" ht="20.100000000000001" customHeight="1" x14ac:dyDescent="0.3">
      <c r="A13" s="93" t="s">
        <v>988</v>
      </c>
      <c r="B13" s="94">
        <v>28</v>
      </c>
      <c r="C13" s="95">
        <v>180</v>
      </c>
      <c r="D13" s="98" t="s">
        <v>982</v>
      </c>
    </row>
    <row r="14" spans="1:4" x14ac:dyDescent="0.3">
      <c r="A14" s="93" t="s">
        <v>987</v>
      </c>
      <c r="B14" s="94">
        <v>30</v>
      </c>
      <c r="C14" s="99">
        <v>240</v>
      </c>
      <c r="D14" s="98" t="s">
        <v>982</v>
      </c>
    </row>
    <row r="15" spans="1:4" x14ac:dyDescent="0.3">
      <c r="A15" s="93" t="s">
        <v>993</v>
      </c>
      <c r="B15" s="94">
        <v>22</v>
      </c>
      <c r="C15" s="99">
        <v>120</v>
      </c>
      <c r="D15" s="98" t="s">
        <v>982</v>
      </c>
    </row>
    <row r="16" spans="1:4" x14ac:dyDescent="0.3">
      <c r="A16" s="93" t="s">
        <v>4</v>
      </c>
      <c r="B16" s="94">
        <v>20</v>
      </c>
      <c r="C16" s="99">
        <v>120</v>
      </c>
      <c r="D16" s="98" t="s">
        <v>982</v>
      </c>
    </row>
    <row r="17" spans="1:4" x14ac:dyDescent="0.3">
      <c r="A17" s="93" t="s">
        <v>983</v>
      </c>
      <c r="B17" s="94">
        <v>28</v>
      </c>
      <c r="C17" s="99">
        <v>180</v>
      </c>
      <c r="D17" s="98" t="s">
        <v>982</v>
      </c>
    </row>
    <row r="18" spans="1:4" ht="33" x14ac:dyDescent="0.3">
      <c r="A18" s="93" t="s">
        <v>984</v>
      </c>
      <c r="B18" s="94">
        <v>35</v>
      </c>
      <c r="C18" s="99">
        <v>180</v>
      </c>
      <c r="D18" s="98" t="s">
        <v>982</v>
      </c>
    </row>
    <row r="19" spans="1:4" x14ac:dyDescent="0.3">
      <c r="A19" s="93" t="s">
        <v>985</v>
      </c>
      <c r="B19" s="94">
        <v>30</v>
      </c>
      <c r="C19" s="99">
        <v>180</v>
      </c>
      <c r="D19" s="98" t="s">
        <v>982</v>
      </c>
    </row>
    <row r="20" spans="1:4" x14ac:dyDescent="0.3">
      <c r="A20" s="93" t="s">
        <v>986</v>
      </c>
      <c r="B20" s="94">
        <v>36</v>
      </c>
      <c r="C20" s="99">
        <v>180</v>
      </c>
      <c r="D20" s="98" t="s">
        <v>982</v>
      </c>
    </row>
    <row r="21" spans="1:4" x14ac:dyDescent="0.3">
      <c r="A21" s="93" t="s">
        <v>989</v>
      </c>
      <c r="B21" s="94">
        <v>23</v>
      </c>
      <c r="C21" s="99">
        <v>120</v>
      </c>
      <c r="D21" s="98" t="s">
        <v>982</v>
      </c>
    </row>
    <row r="22" spans="1:4" x14ac:dyDescent="0.3">
      <c r="A22" s="93" t="s">
        <v>990</v>
      </c>
      <c r="B22" s="94">
        <v>23</v>
      </c>
      <c r="C22" s="99">
        <v>120</v>
      </c>
      <c r="D22" s="98" t="s">
        <v>982</v>
      </c>
    </row>
    <row r="23" spans="1:4" x14ac:dyDescent="0.3">
      <c r="A23" s="93" t="s">
        <v>1235</v>
      </c>
      <c r="B23" s="94">
        <v>2</v>
      </c>
      <c r="C23" s="99">
        <v>10</v>
      </c>
      <c r="D23" s="100" t="s">
        <v>981</v>
      </c>
    </row>
    <row r="24" spans="1:4" x14ac:dyDescent="0.3">
      <c r="A24" s="93" t="s">
        <v>991</v>
      </c>
      <c r="B24" s="94">
        <v>20</v>
      </c>
      <c r="C24" s="99">
        <v>60</v>
      </c>
      <c r="D24" s="100" t="s">
        <v>981</v>
      </c>
    </row>
    <row r="25" spans="1:4" ht="33" x14ac:dyDescent="0.3">
      <c r="A25" s="93" t="s">
        <v>994</v>
      </c>
      <c r="B25" s="101">
        <v>1.5</v>
      </c>
      <c r="C25" s="95">
        <v>60</v>
      </c>
      <c r="D25" s="98" t="s">
        <v>982</v>
      </c>
    </row>
    <row r="26" spans="1:4" x14ac:dyDescent="0.3">
      <c r="A26" s="93" t="s">
        <v>995</v>
      </c>
      <c r="B26" s="94">
        <v>2</v>
      </c>
      <c r="C26" s="99">
        <v>60</v>
      </c>
      <c r="D26" s="98" t="s">
        <v>982</v>
      </c>
    </row>
    <row r="27" spans="1:4" x14ac:dyDescent="0.3">
      <c r="A27" s="93" t="s">
        <v>996</v>
      </c>
      <c r="B27" s="94">
        <v>6</v>
      </c>
      <c r="C27" s="99">
        <v>60</v>
      </c>
      <c r="D27" s="98" t="s">
        <v>982</v>
      </c>
    </row>
    <row r="28" spans="1:4" x14ac:dyDescent="0.3">
      <c r="A28" s="93" t="s">
        <v>997</v>
      </c>
      <c r="B28" s="94">
        <v>1</v>
      </c>
      <c r="C28" s="99">
        <v>60</v>
      </c>
      <c r="D28" s="98" t="s">
        <v>982</v>
      </c>
    </row>
    <row r="29" spans="1:4" x14ac:dyDescent="0.3">
      <c r="A29" s="93" t="s">
        <v>998</v>
      </c>
      <c r="B29" s="94">
        <v>1</v>
      </c>
      <c r="C29" s="99">
        <v>60</v>
      </c>
      <c r="D29" s="98" t="s">
        <v>982</v>
      </c>
    </row>
    <row r="30" spans="1:4" x14ac:dyDescent="0.3">
      <c r="A30" s="93" t="s">
        <v>1236</v>
      </c>
      <c r="B30" s="94">
        <v>1</v>
      </c>
      <c r="C30" s="99">
        <v>60</v>
      </c>
      <c r="D30" s="98" t="s">
        <v>982</v>
      </c>
    </row>
    <row r="31" spans="1:4" x14ac:dyDescent="0.3">
      <c r="A31" s="93" t="s">
        <v>274</v>
      </c>
      <c r="B31" s="94">
        <v>5</v>
      </c>
      <c r="C31" s="99">
        <v>40</v>
      </c>
      <c r="D31" s="98"/>
    </row>
    <row r="32" spans="1:4" x14ac:dyDescent="0.3">
      <c r="A32" s="93" t="s">
        <v>1237</v>
      </c>
      <c r="B32" s="94">
        <v>3</v>
      </c>
      <c r="C32" s="99">
        <v>20</v>
      </c>
      <c r="D32" s="96" t="s">
        <v>981</v>
      </c>
    </row>
    <row r="33" spans="1:4" x14ac:dyDescent="0.3">
      <c r="A33" s="93" t="s">
        <v>1238</v>
      </c>
      <c r="B33" s="94">
        <v>5</v>
      </c>
      <c r="C33" s="99">
        <v>30</v>
      </c>
      <c r="D33" s="98" t="s">
        <v>982</v>
      </c>
    </row>
    <row r="34" spans="1:4" x14ac:dyDescent="0.3">
      <c r="A34" s="93" t="s">
        <v>852</v>
      </c>
      <c r="B34" s="94">
        <v>10</v>
      </c>
      <c r="C34" s="99">
        <v>30</v>
      </c>
      <c r="D34" s="100" t="s">
        <v>981</v>
      </c>
    </row>
    <row r="35" spans="1:4" x14ac:dyDescent="0.3">
      <c r="A35" s="93" t="s">
        <v>1006</v>
      </c>
      <c r="B35" s="94">
        <v>15</v>
      </c>
      <c r="C35" s="99">
        <v>30</v>
      </c>
      <c r="D35" s="100" t="s">
        <v>981</v>
      </c>
    </row>
    <row r="36" spans="1:4" x14ac:dyDescent="0.3">
      <c r="A36" s="93" t="s">
        <v>1007</v>
      </c>
      <c r="B36" s="94">
        <v>4</v>
      </c>
      <c r="C36" s="99">
        <v>20</v>
      </c>
      <c r="D36" s="100" t="s">
        <v>981</v>
      </c>
    </row>
    <row r="37" spans="1:4" x14ac:dyDescent="0.3">
      <c r="A37" s="93" t="s">
        <v>1240</v>
      </c>
      <c r="B37" s="94">
        <v>4</v>
      </c>
      <c r="C37" s="99">
        <v>20</v>
      </c>
      <c r="D37" s="100" t="s">
        <v>981</v>
      </c>
    </row>
    <row r="38" spans="1:4" x14ac:dyDescent="0.3">
      <c r="A38" s="93" t="s">
        <v>1008</v>
      </c>
      <c r="B38" s="94">
        <v>4</v>
      </c>
      <c r="C38" s="99">
        <v>30</v>
      </c>
      <c r="D38" s="100" t="s">
        <v>981</v>
      </c>
    </row>
    <row r="39" spans="1:4" x14ac:dyDescent="0.3">
      <c r="A39" s="93" t="s">
        <v>1009</v>
      </c>
      <c r="B39" s="94">
        <v>18</v>
      </c>
      <c r="C39" s="99">
        <v>20</v>
      </c>
      <c r="D39" s="100" t="s">
        <v>981</v>
      </c>
    </row>
    <row r="40" spans="1:4" x14ac:dyDescent="0.3">
      <c r="A40" s="93" t="s">
        <v>1241</v>
      </c>
      <c r="B40" s="94">
        <v>8</v>
      </c>
      <c r="C40" s="99">
        <v>40</v>
      </c>
      <c r="D40" s="98" t="s">
        <v>982</v>
      </c>
    </row>
    <row r="41" spans="1:4" ht="22.9" customHeight="1" x14ac:dyDescent="0.3">
      <c r="A41" s="93" t="s">
        <v>999</v>
      </c>
      <c r="B41" s="94">
        <v>15</v>
      </c>
      <c r="C41" s="99">
        <v>60</v>
      </c>
      <c r="D41" s="98" t="s">
        <v>982</v>
      </c>
    </row>
    <row r="42" spans="1:4" x14ac:dyDescent="0.3">
      <c r="A42" s="93" t="s">
        <v>1000</v>
      </c>
      <c r="B42" s="94">
        <v>20</v>
      </c>
      <c r="C42" s="99">
        <v>90</v>
      </c>
      <c r="D42" s="98" t="s">
        <v>982</v>
      </c>
    </row>
    <row r="43" spans="1:4" x14ac:dyDescent="0.3">
      <c r="A43" s="93" t="s">
        <v>1002</v>
      </c>
      <c r="B43" s="94">
        <v>16</v>
      </c>
      <c r="C43" s="99">
        <v>90</v>
      </c>
      <c r="D43" s="98" t="s">
        <v>982</v>
      </c>
    </row>
    <row r="44" spans="1:4" x14ac:dyDescent="0.3">
      <c r="A44" s="93" t="s">
        <v>1001</v>
      </c>
      <c r="B44" s="94">
        <v>12</v>
      </c>
      <c r="C44" s="99">
        <v>90</v>
      </c>
      <c r="D44" s="98" t="s">
        <v>982</v>
      </c>
    </row>
    <row r="45" spans="1:4" x14ac:dyDescent="0.3">
      <c r="A45" s="93" t="s">
        <v>1003</v>
      </c>
      <c r="B45" s="94">
        <v>20</v>
      </c>
      <c r="C45" s="99">
        <v>90</v>
      </c>
      <c r="D45" s="98" t="s">
        <v>982</v>
      </c>
    </row>
    <row r="46" spans="1:4" x14ac:dyDescent="0.3">
      <c r="A46" s="93" t="s">
        <v>1230</v>
      </c>
      <c r="B46" s="94">
        <v>20</v>
      </c>
      <c r="C46" s="99">
        <v>30</v>
      </c>
      <c r="D46" s="98" t="s">
        <v>1231</v>
      </c>
    </row>
    <row r="47" spans="1:4" x14ac:dyDescent="0.3">
      <c r="A47" s="93" t="s">
        <v>1004</v>
      </c>
      <c r="B47" s="94">
        <v>25</v>
      </c>
      <c r="C47" s="99">
        <v>60</v>
      </c>
      <c r="D47" s="98" t="s">
        <v>1231</v>
      </c>
    </row>
    <row r="48" spans="1:4" x14ac:dyDescent="0.3">
      <c r="A48" s="93" t="s">
        <v>1005</v>
      </c>
      <c r="B48" s="94">
        <v>12</v>
      </c>
      <c r="C48" s="99">
        <v>40</v>
      </c>
      <c r="D48" s="100" t="s">
        <v>1242</v>
      </c>
    </row>
    <row r="49" spans="1:4" x14ac:dyDescent="0.3">
      <c r="A49" s="93" t="s">
        <v>1096</v>
      </c>
      <c r="B49" s="102">
        <v>1.5</v>
      </c>
      <c r="C49" s="99">
        <v>5</v>
      </c>
      <c r="D49" s="100" t="s">
        <v>1231</v>
      </c>
    </row>
    <row r="50" spans="1:4" x14ac:dyDescent="0.3">
      <c r="A50" s="103" t="s">
        <v>1243</v>
      </c>
      <c r="B50" s="104">
        <v>7</v>
      </c>
      <c r="C50" s="92">
        <v>5</v>
      </c>
      <c r="D50" s="100" t="s">
        <v>1231</v>
      </c>
    </row>
    <row r="51" spans="1:4" x14ac:dyDescent="0.3">
      <c r="A51" s="103" t="s">
        <v>1244</v>
      </c>
      <c r="B51" s="104">
        <v>8</v>
      </c>
      <c r="C51" s="92">
        <v>5</v>
      </c>
      <c r="D51" s="100" t="s">
        <v>1231</v>
      </c>
    </row>
    <row r="52" spans="1:4" x14ac:dyDescent="0.3">
      <c r="A52" s="103" t="s">
        <v>1239</v>
      </c>
      <c r="B52" s="104">
        <v>6</v>
      </c>
      <c r="C52" s="92">
        <v>5</v>
      </c>
      <c r="D52" s="100" t="s">
        <v>1231</v>
      </c>
    </row>
    <row r="53" spans="1:4" x14ac:dyDescent="0.3">
      <c r="A53" s="103" t="s">
        <v>1245</v>
      </c>
      <c r="B53" s="104">
        <v>10</v>
      </c>
      <c r="C53" s="92">
        <v>5</v>
      </c>
      <c r="D53" s="100">
        <v>30</v>
      </c>
    </row>
  </sheetData>
  <mergeCells count="1">
    <mergeCell ref="A1:D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269"/>
  <sheetViews>
    <sheetView tabSelected="1" topLeftCell="A13" zoomScale="90" zoomScaleNormal="90" workbookViewId="0">
      <selection activeCell="C17" sqref="C17"/>
    </sheetView>
  </sheetViews>
  <sheetFormatPr baseColWidth="10" defaultColWidth="9.140625" defaultRowHeight="17.25" x14ac:dyDescent="0.3"/>
  <cols>
    <col min="1" max="1" width="20" style="13" bestFit="1" customWidth="1"/>
    <col min="2" max="2" width="46.5703125" style="13" bestFit="1" customWidth="1"/>
    <col min="3" max="3" width="15" style="13" customWidth="1"/>
    <col min="4" max="4" width="38.7109375" style="13" bestFit="1" customWidth="1"/>
    <col min="5" max="5" width="24" style="50" customWidth="1"/>
    <col min="6" max="6" width="18" style="13" customWidth="1"/>
    <col min="7" max="16384" width="9.140625" style="13"/>
  </cols>
  <sheetData>
    <row r="1" spans="1:6" ht="39.950000000000003" customHeight="1" x14ac:dyDescent="0.3">
      <c r="A1" s="105" t="s">
        <v>7</v>
      </c>
      <c r="B1" s="106"/>
      <c r="C1" s="106"/>
      <c r="D1" s="106"/>
      <c r="E1" s="106"/>
      <c r="F1" s="106"/>
    </row>
    <row r="2" spans="1:6" ht="24.95" customHeight="1" x14ac:dyDescent="0.3">
      <c r="A2" s="69" t="s">
        <v>398</v>
      </c>
      <c r="B2" s="69" t="s">
        <v>397</v>
      </c>
      <c r="C2" s="69" t="s">
        <v>8</v>
      </c>
      <c r="D2" s="69" t="s">
        <v>9</v>
      </c>
      <c r="E2" s="69" t="s">
        <v>952</v>
      </c>
      <c r="F2" s="69" t="s">
        <v>10</v>
      </c>
    </row>
    <row r="3" spans="1:6" ht="20.100000000000001" customHeight="1" x14ac:dyDescent="0.3">
      <c r="A3" s="16" t="s">
        <v>658</v>
      </c>
      <c r="B3" s="16" t="s">
        <v>55</v>
      </c>
      <c r="C3" s="16">
        <v>995001425</v>
      </c>
      <c r="D3" s="5" t="s">
        <v>401</v>
      </c>
      <c r="E3" s="71"/>
      <c r="F3" s="70" t="s">
        <v>12</v>
      </c>
    </row>
    <row r="4" spans="1:6" ht="20.100000000000001" customHeight="1" x14ac:dyDescent="0.3">
      <c r="A4" s="16">
        <v>1701432229</v>
      </c>
      <c r="B4" s="16" t="s">
        <v>58</v>
      </c>
      <c r="C4" s="16">
        <v>962842721</v>
      </c>
      <c r="D4" s="63" t="s">
        <v>1192</v>
      </c>
      <c r="E4" s="71">
        <v>46033</v>
      </c>
      <c r="F4" s="70" t="s">
        <v>12</v>
      </c>
    </row>
    <row r="5" spans="1:6" x14ac:dyDescent="0.3">
      <c r="A5" s="16">
        <v>1707963227</v>
      </c>
      <c r="B5" s="16" t="s">
        <v>33</v>
      </c>
      <c r="C5" s="16">
        <v>962842721</v>
      </c>
      <c r="D5" s="5" t="s">
        <v>399</v>
      </c>
      <c r="E5" s="71">
        <v>46242</v>
      </c>
      <c r="F5" s="70" t="s">
        <v>12</v>
      </c>
    </row>
    <row r="6" spans="1:6" x14ac:dyDescent="0.3">
      <c r="A6" s="16">
        <v>1721946067</v>
      </c>
      <c r="B6" s="16" t="s">
        <v>31</v>
      </c>
      <c r="C6" s="16">
        <v>997562221</v>
      </c>
      <c r="D6" s="5" t="s">
        <v>433</v>
      </c>
      <c r="E6" s="71">
        <v>46322</v>
      </c>
      <c r="F6" s="70" t="s">
        <v>12</v>
      </c>
    </row>
    <row r="7" spans="1:6" x14ac:dyDescent="0.3">
      <c r="A7" s="16">
        <v>1714063292</v>
      </c>
      <c r="B7" s="16" t="s">
        <v>29</v>
      </c>
      <c r="C7" s="16">
        <v>995674830</v>
      </c>
      <c r="D7" s="5" t="s">
        <v>430</v>
      </c>
      <c r="E7" s="71">
        <v>46140</v>
      </c>
      <c r="F7" s="70" t="s">
        <v>12</v>
      </c>
    </row>
    <row r="8" spans="1:6" x14ac:dyDescent="0.3">
      <c r="A8" s="16">
        <v>1802650844</v>
      </c>
      <c r="B8" s="16" t="s">
        <v>34</v>
      </c>
      <c r="C8" s="16">
        <v>997760897</v>
      </c>
      <c r="D8" s="16"/>
      <c r="E8" s="71"/>
      <c r="F8" s="70" t="s">
        <v>12</v>
      </c>
    </row>
    <row r="9" spans="1:6" x14ac:dyDescent="0.3">
      <c r="A9" s="16">
        <v>1802650844</v>
      </c>
      <c r="B9" s="16" t="s">
        <v>36</v>
      </c>
      <c r="C9" s="16">
        <v>997760897</v>
      </c>
      <c r="D9" s="16"/>
      <c r="E9" s="71"/>
      <c r="F9" s="70" t="s">
        <v>12</v>
      </c>
    </row>
    <row r="10" spans="1:6" x14ac:dyDescent="0.3">
      <c r="A10" s="16">
        <v>1802650844</v>
      </c>
      <c r="B10" s="16" t="s">
        <v>35</v>
      </c>
      <c r="C10" s="16">
        <v>997760897</v>
      </c>
      <c r="D10" s="16"/>
      <c r="E10" s="71"/>
      <c r="F10" s="70" t="s">
        <v>12</v>
      </c>
    </row>
    <row r="11" spans="1:6" x14ac:dyDescent="0.3">
      <c r="A11" s="16">
        <v>1723645212</v>
      </c>
      <c r="B11" s="16" t="s">
        <v>63</v>
      </c>
      <c r="C11" s="16">
        <v>995490435</v>
      </c>
      <c r="D11" s="63" t="s">
        <v>980</v>
      </c>
      <c r="E11" s="71">
        <v>46177</v>
      </c>
      <c r="F11" s="70" t="s">
        <v>12</v>
      </c>
    </row>
    <row r="12" spans="1:6" x14ac:dyDescent="0.3">
      <c r="A12" s="16">
        <v>1722544226</v>
      </c>
      <c r="B12" s="16" t="s">
        <v>71</v>
      </c>
      <c r="C12" s="16">
        <v>992792740</v>
      </c>
      <c r="D12" s="5" t="s">
        <v>424</v>
      </c>
      <c r="E12" s="71"/>
      <c r="F12" s="70" t="s">
        <v>12</v>
      </c>
    </row>
    <row r="13" spans="1:6" x14ac:dyDescent="0.3">
      <c r="A13" s="16">
        <v>1707970552</v>
      </c>
      <c r="B13" s="16" t="s">
        <v>198</v>
      </c>
      <c r="C13" s="16">
        <v>983427064</v>
      </c>
      <c r="D13" s="5" t="s">
        <v>443</v>
      </c>
      <c r="E13" s="71"/>
      <c r="F13" s="70" t="s">
        <v>12</v>
      </c>
    </row>
    <row r="14" spans="1:6" x14ac:dyDescent="0.3">
      <c r="A14" s="16">
        <v>1500003023</v>
      </c>
      <c r="B14" s="16" t="s">
        <v>668</v>
      </c>
      <c r="C14" s="16">
        <v>996479333</v>
      </c>
      <c r="D14" s="5" t="s">
        <v>410</v>
      </c>
      <c r="E14" s="71"/>
      <c r="F14" s="70" t="s">
        <v>12</v>
      </c>
    </row>
    <row r="15" spans="1:6" x14ac:dyDescent="0.3">
      <c r="A15" s="16">
        <v>1718764119</v>
      </c>
      <c r="B15" s="16" t="s">
        <v>253</v>
      </c>
      <c r="C15" s="16">
        <v>999380328</v>
      </c>
      <c r="D15" s="5" t="s">
        <v>400</v>
      </c>
      <c r="E15" s="71"/>
      <c r="F15" s="70" t="s">
        <v>12</v>
      </c>
    </row>
    <row r="16" spans="1:6" x14ac:dyDescent="0.3">
      <c r="A16" s="16">
        <v>106143837</v>
      </c>
      <c r="B16" s="16" t="s">
        <v>56</v>
      </c>
      <c r="C16" s="16">
        <v>959814387</v>
      </c>
      <c r="D16" s="5" t="s">
        <v>402</v>
      </c>
      <c r="E16" s="71"/>
      <c r="F16" s="70" t="s">
        <v>12</v>
      </c>
    </row>
    <row r="17" spans="1:6" x14ac:dyDescent="0.3">
      <c r="A17" s="16" t="s">
        <v>658</v>
      </c>
      <c r="B17" s="16" t="s">
        <v>57</v>
      </c>
      <c r="C17" s="16">
        <v>998923138</v>
      </c>
      <c r="D17" s="5" t="s">
        <v>403</v>
      </c>
      <c r="E17" s="71"/>
      <c r="F17" s="70" t="s">
        <v>12</v>
      </c>
    </row>
    <row r="18" spans="1:6" x14ac:dyDescent="0.3">
      <c r="A18" s="16">
        <v>1721675153</v>
      </c>
      <c r="B18" s="16" t="s">
        <v>156</v>
      </c>
      <c r="C18" s="16">
        <v>992877753</v>
      </c>
      <c r="D18" s="5" t="s">
        <v>464</v>
      </c>
      <c r="E18" s="71"/>
      <c r="F18" s="70" t="s">
        <v>12</v>
      </c>
    </row>
    <row r="19" spans="1:6" x14ac:dyDescent="0.3">
      <c r="A19" s="16">
        <v>1717177966</v>
      </c>
      <c r="B19" s="16" t="s">
        <v>60</v>
      </c>
      <c r="C19" s="16">
        <v>987830893</v>
      </c>
      <c r="D19" s="5" t="s">
        <v>553</v>
      </c>
      <c r="E19" s="71"/>
      <c r="F19" s="70" t="s">
        <v>12</v>
      </c>
    </row>
    <row r="20" spans="1:6" x14ac:dyDescent="0.3">
      <c r="A20" s="27">
        <v>1716041510001</v>
      </c>
      <c r="B20" s="16" t="s">
        <v>975</v>
      </c>
      <c r="C20" s="16">
        <v>995176421</v>
      </c>
      <c r="D20" s="5" t="s">
        <v>404</v>
      </c>
      <c r="E20" s="71"/>
      <c r="F20" s="70" t="s">
        <v>12</v>
      </c>
    </row>
    <row r="21" spans="1:6" x14ac:dyDescent="0.3">
      <c r="A21" s="16">
        <v>1718346016</v>
      </c>
      <c r="B21" s="16" t="s">
        <v>282</v>
      </c>
      <c r="C21" s="16">
        <v>998578703</v>
      </c>
      <c r="D21" s="5" t="s">
        <v>496</v>
      </c>
      <c r="E21" s="71"/>
      <c r="F21" s="70" t="s">
        <v>12</v>
      </c>
    </row>
    <row r="22" spans="1:6" x14ac:dyDescent="0.3">
      <c r="A22" s="16">
        <v>1707123897</v>
      </c>
      <c r="B22" s="16" t="s">
        <v>216</v>
      </c>
      <c r="C22" s="16">
        <v>987282698</v>
      </c>
      <c r="D22" s="5" t="s">
        <v>451</v>
      </c>
      <c r="E22" s="71"/>
      <c r="F22" s="70" t="s">
        <v>12</v>
      </c>
    </row>
    <row r="23" spans="1:6" x14ac:dyDescent="0.3">
      <c r="A23" s="16">
        <v>1723184295</v>
      </c>
      <c r="B23" s="16" t="s">
        <v>671</v>
      </c>
      <c r="C23" s="16">
        <v>983568077</v>
      </c>
      <c r="D23" s="16"/>
      <c r="E23" s="71"/>
      <c r="F23" s="70" t="s">
        <v>12</v>
      </c>
    </row>
    <row r="24" spans="1:6" x14ac:dyDescent="0.3">
      <c r="A24" s="16">
        <v>1720171246</v>
      </c>
      <c r="B24" s="16" t="s">
        <v>67</v>
      </c>
      <c r="C24" s="16">
        <v>983700050</v>
      </c>
      <c r="D24" s="16"/>
      <c r="E24" s="71"/>
      <c r="F24" s="70" t="s">
        <v>12</v>
      </c>
    </row>
    <row r="25" spans="1:6" x14ac:dyDescent="0.3">
      <c r="A25" s="16" t="s">
        <v>658</v>
      </c>
      <c r="B25" s="16" t="s">
        <v>79</v>
      </c>
      <c r="C25" s="16">
        <v>998028396</v>
      </c>
      <c r="D25" s="5" t="s">
        <v>406</v>
      </c>
      <c r="E25" s="71"/>
      <c r="F25" s="70" t="s">
        <v>12</v>
      </c>
    </row>
    <row r="26" spans="1:6" x14ac:dyDescent="0.3">
      <c r="A26" s="16" t="s">
        <v>658</v>
      </c>
      <c r="B26" s="16" t="s">
        <v>977</v>
      </c>
      <c r="C26" s="16">
        <v>995401635</v>
      </c>
      <c r="D26" s="5" t="s">
        <v>405</v>
      </c>
      <c r="E26" s="71"/>
      <c r="F26" s="70" t="s">
        <v>12</v>
      </c>
    </row>
    <row r="27" spans="1:6" x14ac:dyDescent="0.3">
      <c r="A27" s="16" t="s">
        <v>658</v>
      </c>
      <c r="B27" s="16" t="s">
        <v>77</v>
      </c>
      <c r="C27" s="16">
        <v>998991126</v>
      </c>
      <c r="D27" s="16"/>
      <c r="E27" s="71"/>
      <c r="F27" s="70" t="s">
        <v>12</v>
      </c>
    </row>
    <row r="28" spans="1:6" x14ac:dyDescent="0.3">
      <c r="A28" s="16" t="s">
        <v>658</v>
      </c>
      <c r="B28" s="16" t="s">
        <v>82</v>
      </c>
      <c r="C28" s="16">
        <v>978816199</v>
      </c>
      <c r="D28" s="16"/>
      <c r="E28" s="71"/>
      <c r="F28" s="70" t="s">
        <v>12</v>
      </c>
    </row>
    <row r="29" spans="1:6" x14ac:dyDescent="0.3">
      <c r="A29" s="16" t="s">
        <v>658</v>
      </c>
      <c r="B29" s="16" t="s">
        <v>81</v>
      </c>
      <c r="C29" s="16">
        <v>958996449</v>
      </c>
      <c r="D29" s="16"/>
      <c r="E29" s="71"/>
      <c r="F29" s="70" t="s">
        <v>12</v>
      </c>
    </row>
    <row r="30" spans="1:6" x14ac:dyDescent="0.3">
      <c r="A30" s="16">
        <v>1723292700</v>
      </c>
      <c r="B30" s="16" t="s">
        <v>84</v>
      </c>
      <c r="C30" s="16">
        <v>981412864</v>
      </c>
      <c r="D30" s="5" t="s">
        <v>479</v>
      </c>
      <c r="E30" s="71"/>
      <c r="F30" s="70" t="s">
        <v>12</v>
      </c>
    </row>
    <row r="31" spans="1:6" x14ac:dyDescent="0.3">
      <c r="A31" s="16" t="s">
        <v>658</v>
      </c>
      <c r="B31" s="16" t="s">
        <v>96</v>
      </c>
      <c r="C31" s="16">
        <v>991988005</v>
      </c>
      <c r="D31" s="16"/>
      <c r="E31" s="71"/>
      <c r="F31" s="70" t="s">
        <v>12</v>
      </c>
    </row>
    <row r="32" spans="1:6" x14ac:dyDescent="0.3">
      <c r="A32" s="16">
        <v>1720400892</v>
      </c>
      <c r="B32" s="16" t="s">
        <v>100</v>
      </c>
      <c r="C32" s="16">
        <v>990975888</v>
      </c>
      <c r="D32" s="16"/>
      <c r="E32" s="71"/>
      <c r="F32" s="70" t="s">
        <v>12</v>
      </c>
    </row>
    <row r="33" spans="1:6" x14ac:dyDescent="0.3">
      <c r="A33" s="16">
        <v>1721675153</v>
      </c>
      <c r="B33" s="16" t="s">
        <v>98</v>
      </c>
      <c r="C33" s="16">
        <v>981111032</v>
      </c>
      <c r="D33" s="5" t="s">
        <v>408</v>
      </c>
      <c r="E33" s="71"/>
      <c r="F33" s="70" t="s">
        <v>12</v>
      </c>
    </row>
    <row r="34" spans="1:6" x14ac:dyDescent="0.3">
      <c r="A34" s="16">
        <v>1719219527</v>
      </c>
      <c r="B34" s="16" t="s">
        <v>97</v>
      </c>
      <c r="C34" s="16">
        <v>981111032</v>
      </c>
      <c r="D34" s="5" t="s">
        <v>408</v>
      </c>
      <c r="E34" s="71"/>
      <c r="F34" s="70" t="s">
        <v>12</v>
      </c>
    </row>
    <row r="35" spans="1:6" x14ac:dyDescent="0.3">
      <c r="A35" s="16">
        <v>1721182903</v>
      </c>
      <c r="B35" s="16" t="s">
        <v>95</v>
      </c>
      <c r="C35" s="16">
        <v>998420775</v>
      </c>
      <c r="D35" s="5" t="s">
        <v>407</v>
      </c>
      <c r="E35" s="71"/>
      <c r="F35" s="70" t="s">
        <v>12</v>
      </c>
    </row>
    <row r="36" spans="1:6" x14ac:dyDescent="0.3">
      <c r="A36" s="16">
        <v>1718245812</v>
      </c>
      <c r="B36" s="16" t="s">
        <v>99</v>
      </c>
      <c r="C36" s="16">
        <v>998770121</v>
      </c>
      <c r="D36" s="5" t="s">
        <v>432</v>
      </c>
      <c r="E36" s="71"/>
      <c r="F36" s="70" t="s">
        <v>12</v>
      </c>
    </row>
    <row r="37" spans="1:6" x14ac:dyDescent="0.3">
      <c r="A37" s="16">
        <v>1725577504</v>
      </c>
      <c r="B37" s="16" t="s">
        <v>106</v>
      </c>
      <c r="C37" s="16">
        <v>987789055</v>
      </c>
      <c r="D37" s="5" t="s">
        <v>409</v>
      </c>
      <c r="E37" s="71"/>
      <c r="F37" s="70" t="s">
        <v>12</v>
      </c>
    </row>
    <row r="38" spans="1:6" x14ac:dyDescent="0.3">
      <c r="A38" s="16">
        <v>1723304125</v>
      </c>
      <c r="B38" s="16" t="s">
        <v>105</v>
      </c>
      <c r="C38" s="16">
        <v>969479002</v>
      </c>
      <c r="D38" s="16"/>
      <c r="E38" s="71"/>
      <c r="F38" s="70" t="s">
        <v>12</v>
      </c>
    </row>
    <row r="39" spans="1:6" x14ac:dyDescent="0.3">
      <c r="A39" s="26">
        <v>1712323961001</v>
      </c>
      <c r="B39" s="16" t="s">
        <v>183</v>
      </c>
      <c r="C39" s="16">
        <v>988538691</v>
      </c>
      <c r="D39" s="16"/>
      <c r="E39" s="71"/>
      <c r="F39" s="70" t="s">
        <v>12</v>
      </c>
    </row>
    <row r="40" spans="1:6" x14ac:dyDescent="0.3">
      <c r="A40" s="16">
        <v>1703895431</v>
      </c>
      <c r="B40" s="16" t="s">
        <v>109</v>
      </c>
      <c r="C40" s="16">
        <v>987775005</v>
      </c>
      <c r="D40" s="63" t="s">
        <v>970</v>
      </c>
      <c r="E40" s="71">
        <v>46381</v>
      </c>
      <c r="F40" s="70" t="s">
        <v>12</v>
      </c>
    </row>
    <row r="41" spans="1:6" x14ac:dyDescent="0.3">
      <c r="A41" s="16">
        <v>1717869984</v>
      </c>
      <c r="B41" s="16" t="s">
        <v>308</v>
      </c>
      <c r="C41" s="16">
        <v>984253456</v>
      </c>
      <c r="D41" s="5" t="s">
        <v>524</v>
      </c>
      <c r="E41" s="71"/>
      <c r="F41" s="70" t="s">
        <v>12</v>
      </c>
    </row>
    <row r="42" spans="1:6" x14ac:dyDescent="0.3">
      <c r="A42" s="16">
        <v>1713919163</v>
      </c>
      <c r="B42" s="16" t="s">
        <v>143</v>
      </c>
      <c r="C42" s="16">
        <v>992725974</v>
      </c>
      <c r="D42" s="5" t="s">
        <v>421</v>
      </c>
      <c r="E42" s="71"/>
      <c r="F42" s="70" t="s">
        <v>12</v>
      </c>
    </row>
    <row r="43" spans="1:6" x14ac:dyDescent="0.3">
      <c r="A43" s="16">
        <v>1719893354</v>
      </c>
      <c r="B43" s="16" t="s">
        <v>111</v>
      </c>
      <c r="C43" s="16">
        <v>999083188</v>
      </c>
      <c r="D43" s="5" t="s">
        <v>411</v>
      </c>
      <c r="E43" s="71"/>
      <c r="F43" s="70" t="s">
        <v>12</v>
      </c>
    </row>
    <row r="44" spans="1:6" x14ac:dyDescent="0.3">
      <c r="A44" s="16" t="s">
        <v>658</v>
      </c>
      <c r="B44" s="16" t="s">
        <v>112</v>
      </c>
      <c r="C44" s="16">
        <v>985058795</v>
      </c>
      <c r="D44" s="16"/>
      <c r="E44" s="71"/>
      <c r="F44" s="70" t="s">
        <v>12</v>
      </c>
    </row>
    <row r="45" spans="1:6" x14ac:dyDescent="0.3">
      <c r="A45" s="16">
        <v>1715315907</v>
      </c>
      <c r="B45" s="16" t="s">
        <v>114</v>
      </c>
      <c r="C45" s="16">
        <v>984222444</v>
      </c>
      <c r="D45" s="5" t="s">
        <v>413</v>
      </c>
      <c r="E45" s="71"/>
      <c r="F45" s="70" t="s">
        <v>12</v>
      </c>
    </row>
    <row r="46" spans="1:6" x14ac:dyDescent="0.3">
      <c r="A46" s="16">
        <v>1714789540</v>
      </c>
      <c r="B46" s="16" t="s">
        <v>113</v>
      </c>
      <c r="C46" s="16">
        <v>989507871</v>
      </c>
      <c r="D46" s="5" t="s">
        <v>412</v>
      </c>
      <c r="E46" s="71"/>
      <c r="F46" s="70" t="s">
        <v>12</v>
      </c>
    </row>
    <row r="47" spans="1:6" x14ac:dyDescent="0.3">
      <c r="A47" s="16" t="s">
        <v>658</v>
      </c>
      <c r="B47" s="16" t="s">
        <v>158</v>
      </c>
      <c r="C47" s="16">
        <v>996115459</v>
      </c>
      <c r="D47" s="16"/>
      <c r="E47" s="71"/>
      <c r="F47" s="70" t="s">
        <v>12</v>
      </c>
    </row>
    <row r="48" spans="1:6" x14ac:dyDescent="0.3">
      <c r="A48" s="16">
        <v>1719118695</v>
      </c>
      <c r="B48" s="16" t="s">
        <v>148</v>
      </c>
      <c r="C48" s="16">
        <v>984163500</v>
      </c>
      <c r="D48" s="5" t="s">
        <v>416</v>
      </c>
      <c r="E48" s="71"/>
      <c r="F48" s="70" t="s">
        <v>12</v>
      </c>
    </row>
    <row r="49" spans="1:6" x14ac:dyDescent="0.3">
      <c r="A49" s="16">
        <v>1723127823</v>
      </c>
      <c r="B49" s="16" t="s">
        <v>115</v>
      </c>
      <c r="C49" s="16">
        <v>992735663</v>
      </c>
      <c r="D49" s="5" t="s">
        <v>414</v>
      </c>
      <c r="E49" s="71"/>
      <c r="F49" s="70" t="s">
        <v>12</v>
      </c>
    </row>
    <row r="50" spans="1:6" x14ac:dyDescent="0.3">
      <c r="A50" s="16">
        <v>1714650379</v>
      </c>
      <c r="B50" s="16" t="s">
        <v>664</v>
      </c>
      <c r="C50" s="16">
        <v>982663163</v>
      </c>
      <c r="D50" s="5" t="s">
        <v>475</v>
      </c>
      <c r="E50" s="71"/>
      <c r="F50" s="70" t="s">
        <v>12</v>
      </c>
    </row>
    <row r="51" spans="1:6" x14ac:dyDescent="0.3">
      <c r="A51" s="16">
        <v>1714061981</v>
      </c>
      <c r="B51" s="16" t="s">
        <v>116</v>
      </c>
      <c r="C51" s="16">
        <v>984254895</v>
      </c>
      <c r="D51" s="5" t="s">
        <v>419</v>
      </c>
      <c r="E51" s="71"/>
      <c r="F51" s="70" t="s">
        <v>12</v>
      </c>
    </row>
    <row r="52" spans="1:6" x14ac:dyDescent="0.3">
      <c r="A52" s="16" t="s">
        <v>658</v>
      </c>
      <c r="B52" s="16" t="s">
        <v>119</v>
      </c>
      <c r="C52" s="16">
        <v>983040513</v>
      </c>
      <c r="D52" s="16"/>
      <c r="E52" s="71"/>
      <c r="F52" s="70" t="s">
        <v>12</v>
      </c>
    </row>
    <row r="53" spans="1:6" x14ac:dyDescent="0.3">
      <c r="A53" s="16" t="s">
        <v>658</v>
      </c>
      <c r="B53" s="16" t="s">
        <v>125</v>
      </c>
      <c r="C53" s="16">
        <v>982734868</v>
      </c>
      <c r="D53" s="16"/>
      <c r="E53" s="71"/>
      <c r="F53" s="70" t="s">
        <v>12</v>
      </c>
    </row>
    <row r="54" spans="1:6" x14ac:dyDescent="0.3">
      <c r="A54" s="16">
        <v>1718017302</v>
      </c>
      <c r="B54" s="16" t="s">
        <v>127</v>
      </c>
      <c r="C54" s="16">
        <v>984043562</v>
      </c>
      <c r="D54" s="5" t="s">
        <v>417</v>
      </c>
      <c r="E54" s="71"/>
      <c r="F54" s="70" t="s">
        <v>12</v>
      </c>
    </row>
    <row r="55" spans="1:6" x14ac:dyDescent="0.3">
      <c r="A55" s="16">
        <v>401094149</v>
      </c>
      <c r="B55" s="16" t="s">
        <v>348</v>
      </c>
      <c r="C55" s="16">
        <v>997235655</v>
      </c>
      <c r="D55" s="5"/>
      <c r="E55" s="71"/>
      <c r="F55" s="70" t="s">
        <v>12</v>
      </c>
    </row>
    <row r="56" spans="1:6" x14ac:dyDescent="0.3">
      <c r="A56" s="16">
        <v>901787903</v>
      </c>
      <c r="B56" s="16" t="s">
        <v>217</v>
      </c>
      <c r="C56" s="16">
        <v>995635866</v>
      </c>
      <c r="D56" s="5" t="s">
        <v>510</v>
      </c>
      <c r="E56" s="71"/>
      <c r="F56" s="70" t="s">
        <v>12</v>
      </c>
    </row>
    <row r="57" spans="1:6" x14ac:dyDescent="0.3">
      <c r="A57" s="16">
        <v>1759725292</v>
      </c>
      <c r="B57" s="16" t="s">
        <v>131</v>
      </c>
      <c r="C57" s="16">
        <v>967923554</v>
      </c>
      <c r="D57" s="16"/>
      <c r="E57" s="71"/>
      <c r="F57" s="70" t="s">
        <v>12</v>
      </c>
    </row>
    <row r="58" spans="1:6" x14ac:dyDescent="0.3">
      <c r="A58" s="16">
        <v>1712514031</v>
      </c>
      <c r="B58" s="16" t="s">
        <v>972</v>
      </c>
      <c r="C58" s="16">
        <v>990220801</v>
      </c>
      <c r="D58" s="5" t="s">
        <v>418</v>
      </c>
      <c r="E58" s="71"/>
      <c r="F58" s="70" t="s">
        <v>12</v>
      </c>
    </row>
    <row r="59" spans="1:6" x14ac:dyDescent="0.3">
      <c r="A59" s="16" t="s">
        <v>658</v>
      </c>
      <c r="B59" s="16" t="s">
        <v>147</v>
      </c>
      <c r="C59" s="16">
        <v>995014798</v>
      </c>
      <c r="D59" s="16"/>
      <c r="E59" s="71"/>
      <c r="F59" s="70" t="s">
        <v>12</v>
      </c>
    </row>
    <row r="60" spans="1:6" x14ac:dyDescent="0.3">
      <c r="A60" s="16" t="s">
        <v>658</v>
      </c>
      <c r="B60" s="16" t="s">
        <v>149</v>
      </c>
      <c r="C60" s="16">
        <v>999268768</v>
      </c>
      <c r="D60" s="5" t="s">
        <v>423</v>
      </c>
      <c r="E60" s="71"/>
      <c r="F60" s="70" t="s">
        <v>12</v>
      </c>
    </row>
    <row r="61" spans="1:6" x14ac:dyDescent="0.3">
      <c r="A61" s="16">
        <v>1707565337</v>
      </c>
      <c r="B61" s="16" t="s">
        <v>150</v>
      </c>
      <c r="C61" s="16">
        <v>994743934</v>
      </c>
      <c r="D61" s="16"/>
      <c r="E61" s="71"/>
      <c r="F61" s="70" t="s">
        <v>12</v>
      </c>
    </row>
    <row r="62" spans="1:6" x14ac:dyDescent="0.3">
      <c r="A62" s="16">
        <v>200896496</v>
      </c>
      <c r="B62" s="16" t="s">
        <v>154</v>
      </c>
      <c r="C62" s="16">
        <v>999203840</v>
      </c>
      <c r="D62" s="5" t="s">
        <v>425</v>
      </c>
      <c r="E62" s="71"/>
      <c r="F62" s="70" t="s">
        <v>12</v>
      </c>
    </row>
    <row r="63" spans="1:6" x14ac:dyDescent="0.3">
      <c r="A63" s="16">
        <v>1713479150</v>
      </c>
      <c r="B63" s="16" t="s">
        <v>153</v>
      </c>
      <c r="C63" s="16">
        <v>995729601</v>
      </c>
      <c r="D63" s="16"/>
      <c r="E63" s="71"/>
      <c r="F63" s="70" t="s">
        <v>12</v>
      </c>
    </row>
    <row r="64" spans="1:6" x14ac:dyDescent="0.3">
      <c r="A64" s="16">
        <v>1727215566</v>
      </c>
      <c r="B64" s="16" t="s">
        <v>159</v>
      </c>
      <c r="C64" s="16">
        <v>982618217</v>
      </c>
      <c r="D64" s="5" t="s">
        <v>426</v>
      </c>
      <c r="E64" s="71"/>
      <c r="F64" s="70" t="s">
        <v>12</v>
      </c>
    </row>
    <row r="65" spans="1:6" x14ac:dyDescent="0.3">
      <c r="A65" s="16">
        <v>1723424790</v>
      </c>
      <c r="B65" s="16" t="s">
        <v>162</v>
      </c>
      <c r="C65" s="16">
        <v>998142119</v>
      </c>
      <c r="D65" s="5" t="s">
        <v>427</v>
      </c>
      <c r="E65" s="71"/>
      <c r="F65" s="70" t="s">
        <v>12</v>
      </c>
    </row>
    <row r="66" spans="1:6" x14ac:dyDescent="0.3">
      <c r="A66" s="16">
        <v>1716489586</v>
      </c>
      <c r="B66" s="16" t="s">
        <v>166</v>
      </c>
      <c r="C66" s="16">
        <v>986330466</v>
      </c>
      <c r="D66" s="5" t="s">
        <v>429</v>
      </c>
      <c r="E66" s="71"/>
      <c r="F66" s="70" t="s">
        <v>12</v>
      </c>
    </row>
    <row r="67" spans="1:6" x14ac:dyDescent="0.3">
      <c r="A67" s="16">
        <v>1721008744</v>
      </c>
      <c r="B67" s="16" t="s">
        <v>164</v>
      </c>
      <c r="C67" s="16">
        <v>987839775</v>
      </c>
      <c r="D67" s="5" t="s">
        <v>468</v>
      </c>
      <c r="E67" s="71"/>
      <c r="F67" s="70" t="s">
        <v>12</v>
      </c>
    </row>
    <row r="68" spans="1:6" x14ac:dyDescent="0.3">
      <c r="A68" s="16">
        <v>1727520643</v>
      </c>
      <c r="B68" s="16" t="s">
        <v>165</v>
      </c>
      <c r="C68" s="16">
        <v>999821911</v>
      </c>
      <c r="D68" s="5" t="s">
        <v>428</v>
      </c>
      <c r="E68" s="71"/>
      <c r="F68" s="70" t="s">
        <v>12</v>
      </c>
    </row>
    <row r="69" spans="1:6" x14ac:dyDescent="0.3">
      <c r="A69" s="16" t="s">
        <v>658</v>
      </c>
      <c r="B69" s="16" t="s">
        <v>659</v>
      </c>
      <c r="C69" s="16">
        <v>961549780</v>
      </c>
      <c r="D69" s="16"/>
      <c r="E69" s="71"/>
      <c r="F69" s="70" t="s">
        <v>12</v>
      </c>
    </row>
    <row r="70" spans="1:6" x14ac:dyDescent="0.3">
      <c r="A70" s="16">
        <v>1717933798</v>
      </c>
      <c r="B70" s="16" t="s">
        <v>332</v>
      </c>
      <c r="C70" s="16">
        <v>984700274</v>
      </c>
      <c r="D70" s="5" t="s">
        <v>431</v>
      </c>
      <c r="E70" s="71"/>
      <c r="F70" s="70" t="s">
        <v>12</v>
      </c>
    </row>
    <row r="71" spans="1:6" x14ac:dyDescent="0.3">
      <c r="A71" s="16" t="s">
        <v>658</v>
      </c>
      <c r="B71" s="16" t="s">
        <v>167</v>
      </c>
      <c r="C71" s="16">
        <v>984700274</v>
      </c>
      <c r="D71" s="5" t="s">
        <v>431</v>
      </c>
      <c r="E71" s="71"/>
      <c r="F71" s="70" t="s">
        <v>12</v>
      </c>
    </row>
    <row r="72" spans="1:6" x14ac:dyDescent="0.3">
      <c r="A72" s="16" t="s">
        <v>658</v>
      </c>
      <c r="B72" s="16" t="s">
        <v>169</v>
      </c>
      <c r="C72" s="16">
        <v>982663163</v>
      </c>
      <c r="D72" s="5" t="s">
        <v>434</v>
      </c>
      <c r="E72" s="71"/>
      <c r="F72" s="70" t="s">
        <v>12</v>
      </c>
    </row>
    <row r="73" spans="1:6" x14ac:dyDescent="0.3">
      <c r="A73" s="16">
        <v>1302508179</v>
      </c>
      <c r="B73" s="16" t="s">
        <v>170</v>
      </c>
      <c r="C73" s="16">
        <v>983590873</v>
      </c>
      <c r="D73" s="5" t="s">
        <v>442</v>
      </c>
      <c r="E73" s="71"/>
      <c r="F73" s="70" t="s">
        <v>12</v>
      </c>
    </row>
    <row r="74" spans="1:6" x14ac:dyDescent="0.3">
      <c r="A74" s="16">
        <v>1312423450</v>
      </c>
      <c r="B74" s="16" t="s">
        <v>171</v>
      </c>
      <c r="C74" s="16">
        <v>969090094</v>
      </c>
      <c r="D74" s="5" t="s">
        <v>435</v>
      </c>
      <c r="E74" s="71"/>
      <c r="F74" s="70" t="s">
        <v>12</v>
      </c>
    </row>
    <row r="75" spans="1:6" x14ac:dyDescent="0.3">
      <c r="A75" s="16">
        <v>1701898031</v>
      </c>
      <c r="B75" s="16" t="s">
        <v>172</v>
      </c>
      <c r="C75" s="16">
        <v>991478149</v>
      </c>
      <c r="D75" s="16"/>
      <c r="E75" s="71"/>
      <c r="F75" s="70" t="s">
        <v>12</v>
      </c>
    </row>
    <row r="76" spans="1:6" x14ac:dyDescent="0.3">
      <c r="A76" s="16">
        <v>1712991023</v>
      </c>
      <c r="B76" s="16" t="s">
        <v>250</v>
      </c>
      <c r="C76" s="16">
        <v>958970192</v>
      </c>
      <c r="D76" s="5" t="s">
        <v>474</v>
      </c>
      <c r="E76" s="71"/>
      <c r="F76" s="70" t="s">
        <v>12</v>
      </c>
    </row>
    <row r="77" spans="1:6" x14ac:dyDescent="0.3">
      <c r="A77" s="16" t="s">
        <v>658</v>
      </c>
      <c r="B77" s="16" t="s">
        <v>175</v>
      </c>
      <c r="C77" s="16">
        <v>958970192</v>
      </c>
      <c r="D77" s="5" t="s">
        <v>474</v>
      </c>
      <c r="E77" s="71"/>
      <c r="F77" s="70" t="s">
        <v>12</v>
      </c>
    </row>
    <row r="78" spans="1:6" x14ac:dyDescent="0.3">
      <c r="A78" s="16">
        <v>40099587</v>
      </c>
      <c r="B78" s="16" t="s">
        <v>174</v>
      </c>
      <c r="C78" s="16">
        <v>981396657</v>
      </c>
      <c r="D78" s="16"/>
      <c r="E78" s="71"/>
      <c r="F78" s="70" t="s">
        <v>12</v>
      </c>
    </row>
    <row r="79" spans="1:6" x14ac:dyDescent="0.3">
      <c r="A79" s="16" t="s">
        <v>658</v>
      </c>
      <c r="B79" s="16" t="s">
        <v>123</v>
      </c>
      <c r="C79" s="16">
        <v>981396657</v>
      </c>
      <c r="D79" s="5"/>
      <c r="E79" s="71"/>
      <c r="F79" s="70" t="s">
        <v>12</v>
      </c>
    </row>
    <row r="80" spans="1:6" x14ac:dyDescent="0.3">
      <c r="A80" s="16">
        <v>1718093238</v>
      </c>
      <c r="B80" s="16" t="s">
        <v>177</v>
      </c>
      <c r="C80" s="16">
        <v>959997754</v>
      </c>
      <c r="D80" s="5" t="s">
        <v>436</v>
      </c>
      <c r="E80" s="71"/>
      <c r="F80" s="70" t="s">
        <v>12</v>
      </c>
    </row>
    <row r="81" spans="1:6" x14ac:dyDescent="0.3">
      <c r="A81" s="16">
        <v>1713441408</v>
      </c>
      <c r="B81" s="16" t="s">
        <v>179</v>
      </c>
      <c r="C81" s="16">
        <v>995026048</v>
      </c>
      <c r="D81" s="5" t="s">
        <v>437</v>
      </c>
      <c r="E81" s="71"/>
      <c r="F81" s="70" t="s">
        <v>12</v>
      </c>
    </row>
    <row r="82" spans="1:6" x14ac:dyDescent="0.3">
      <c r="A82" s="16">
        <v>1722742911</v>
      </c>
      <c r="B82" s="16" t="s">
        <v>180</v>
      </c>
      <c r="C82" s="16">
        <v>998923277</v>
      </c>
      <c r="D82" s="5" t="s">
        <v>438</v>
      </c>
      <c r="E82" s="71"/>
      <c r="F82" s="70" t="s">
        <v>12</v>
      </c>
    </row>
    <row r="83" spans="1:6" x14ac:dyDescent="0.3">
      <c r="A83" s="16">
        <v>1703341808</v>
      </c>
      <c r="B83" s="16" t="s">
        <v>185</v>
      </c>
      <c r="C83" s="16">
        <v>984578810</v>
      </c>
      <c r="D83" s="5" t="s">
        <v>440</v>
      </c>
      <c r="E83" s="71"/>
      <c r="F83" s="70" t="s">
        <v>12</v>
      </c>
    </row>
    <row r="84" spans="1:6" x14ac:dyDescent="0.3">
      <c r="A84" s="16">
        <v>1204569139</v>
      </c>
      <c r="B84" s="16" t="s">
        <v>184</v>
      </c>
      <c r="C84" s="16">
        <v>958610348</v>
      </c>
      <c r="D84" s="5" t="s">
        <v>439</v>
      </c>
      <c r="E84" s="71"/>
      <c r="F84" s="70" t="s">
        <v>12</v>
      </c>
    </row>
    <row r="85" spans="1:6" x14ac:dyDescent="0.3">
      <c r="A85" s="16">
        <v>1750373639</v>
      </c>
      <c r="B85" s="16" t="s">
        <v>186</v>
      </c>
      <c r="C85" s="16">
        <v>995111474</v>
      </c>
      <c r="D85" s="5" t="s">
        <v>441</v>
      </c>
      <c r="E85" s="71"/>
      <c r="F85" s="70" t="s">
        <v>12</v>
      </c>
    </row>
    <row r="86" spans="1:6" x14ac:dyDescent="0.3">
      <c r="A86" s="16">
        <v>1725800971</v>
      </c>
      <c r="B86" s="16" t="s">
        <v>187</v>
      </c>
      <c r="C86" s="16">
        <v>988538691</v>
      </c>
      <c r="D86" s="16"/>
      <c r="E86" s="71"/>
      <c r="F86" s="70" t="s">
        <v>12</v>
      </c>
    </row>
    <row r="87" spans="1:6" x14ac:dyDescent="0.3">
      <c r="A87" s="16">
        <v>1750481671</v>
      </c>
      <c r="B87" s="16" t="s">
        <v>285</v>
      </c>
      <c r="C87" s="16">
        <v>987934072</v>
      </c>
      <c r="D87" s="63" t="s">
        <v>971</v>
      </c>
      <c r="E87" s="71"/>
      <c r="F87" s="70" t="s">
        <v>12</v>
      </c>
    </row>
    <row r="88" spans="1:6" x14ac:dyDescent="0.3">
      <c r="A88" s="16">
        <v>1753450904</v>
      </c>
      <c r="B88" s="16" t="s">
        <v>188</v>
      </c>
      <c r="C88" s="16">
        <v>964233053</v>
      </c>
      <c r="D88" s="16"/>
      <c r="E88" s="71"/>
      <c r="F88" s="70" t="s">
        <v>12</v>
      </c>
    </row>
    <row r="89" spans="1:6" x14ac:dyDescent="0.3">
      <c r="A89" s="16">
        <v>1721674099</v>
      </c>
      <c r="B89" s="16" t="s">
        <v>190</v>
      </c>
      <c r="C89" s="16">
        <v>963211333</v>
      </c>
      <c r="D89" s="5" t="s">
        <v>509</v>
      </c>
      <c r="E89" s="71"/>
      <c r="F89" s="70" t="s">
        <v>12</v>
      </c>
    </row>
    <row r="90" spans="1:6" x14ac:dyDescent="0.3">
      <c r="A90" s="16">
        <v>1711000362</v>
      </c>
      <c r="B90" s="16" t="s">
        <v>193</v>
      </c>
      <c r="C90" s="16">
        <v>996504858</v>
      </c>
      <c r="D90" s="63" t="s">
        <v>978</v>
      </c>
      <c r="E90" s="71"/>
      <c r="F90" s="70" t="s">
        <v>12</v>
      </c>
    </row>
    <row r="91" spans="1:6" x14ac:dyDescent="0.3">
      <c r="A91" s="16">
        <v>951334366</v>
      </c>
      <c r="B91" s="16" t="s">
        <v>201</v>
      </c>
      <c r="C91" s="16">
        <v>9849602</v>
      </c>
      <c r="D91" s="5" t="s">
        <v>445</v>
      </c>
      <c r="E91" s="71"/>
      <c r="F91" s="70" t="s">
        <v>12</v>
      </c>
    </row>
    <row r="92" spans="1:6" x14ac:dyDescent="0.3">
      <c r="A92" s="16">
        <v>1718150517</v>
      </c>
      <c r="B92" s="16" t="s">
        <v>199</v>
      </c>
      <c r="C92" s="16">
        <v>984033854</v>
      </c>
      <c r="D92" s="5" t="s">
        <v>444</v>
      </c>
      <c r="E92" s="71"/>
      <c r="F92" s="70" t="s">
        <v>12</v>
      </c>
    </row>
    <row r="93" spans="1:6" x14ac:dyDescent="0.3">
      <c r="A93" s="16">
        <v>1725676991</v>
      </c>
      <c r="B93" s="16" t="s">
        <v>202</v>
      </c>
      <c r="C93" s="16">
        <v>984040369</v>
      </c>
      <c r="D93" s="63" t="s">
        <v>963</v>
      </c>
      <c r="E93" s="71"/>
      <c r="F93" s="70" t="s">
        <v>12</v>
      </c>
    </row>
    <row r="94" spans="1:6" x14ac:dyDescent="0.3">
      <c r="A94" s="16">
        <v>1724420235</v>
      </c>
      <c r="B94" s="16" t="s">
        <v>1197</v>
      </c>
      <c r="C94" s="16">
        <v>960113421</v>
      </c>
      <c r="D94" s="5" t="s">
        <v>446</v>
      </c>
      <c r="E94" s="71"/>
      <c r="F94" s="70" t="s">
        <v>12</v>
      </c>
    </row>
    <row r="95" spans="1:6" x14ac:dyDescent="0.3">
      <c r="A95" s="16">
        <v>1727054759</v>
      </c>
      <c r="B95" s="16" t="s">
        <v>1220</v>
      </c>
      <c r="C95" s="16">
        <v>984605685</v>
      </c>
      <c r="D95" s="5" t="s">
        <v>1221</v>
      </c>
      <c r="E95" s="71"/>
      <c r="F95" s="70" t="s">
        <v>12</v>
      </c>
    </row>
    <row r="96" spans="1:6" x14ac:dyDescent="0.3">
      <c r="A96" s="16">
        <v>1720193026</v>
      </c>
      <c r="B96" s="16" t="s">
        <v>206</v>
      </c>
      <c r="C96" s="16">
        <v>991969840</v>
      </c>
      <c r="D96" s="5" t="s">
        <v>447</v>
      </c>
      <c r="E96" s="71"/>
      <c r="F96" s="70" t="s">
        <v>12</v>
      </c>
    </row>
    <row r="97" spans="1:6" x14ac:dyDescent="0.3">
      <c r="A97" s="16">
        <v>1704594298</v>
      </c>
      <c r="B97" s="16" t="s">
        <v>207</v>
      </c>
      <c r="C97" s="16">
        <v>995133686</v>
      </c>
      <c r="D97" s="5" t="s">
        <v>448</v>
      </c>
      <c r="E97" s="71"/>
      <c r="F97" s="70" t="s">
        <v>12</v>
      </c>
    </row>
    <row r="98" spans="1:6" x14ac:dyDescent="0.3">
      <c r="A98" s="16">
        <v>1720226214</v>
      </c>
      <c r="B98" s="16" t="s">
        <v>205</v>
      </c>
      <c r="C98" s="16">
        <v>984342245</v>
      </c>
      <c r="D98" s="5" t="s">
        <v>521</v>
      </c>
      <c r="E98" s="71"/>
      <c r="F98" s="70" t="s">
        <v>12</v>
      </c>
    </row>
    <row r="99" spans="1:6" x14ac:dyDescent="0.3">
      <c r="A99" s="16">
        <v>1722115738</v>
      </c>
      <c r="B99" s="16" t="s">
        <v>210</v>
      </c>
      <c r="C99" s="16">
        <v>984919299</v>
      </c>
      <c r="D99" s="5" t="s">
        <v>516</v>
      </c>
      <c r="E99" s="71"/>
      <c r="F99" s="70" t="s">
        <v>12</v>
      </c>
    </row>
    <row r="100" spans="1:6" x14ac:dyDescent="0.3">
      <c r="A100" s="26">
        <v>503901894001</v>
      </c>
      <c r="B100" s="16" t="s">
        <v>214</v>
      </c>
      <c r="C100" s="16">
        <v>987526967</v>
      </c>
      <c r="D100" s="5" t="s">
        <v>450</v>
      </c>
      <c r="E100" s="71"/>
      <c r="F100" s="70" t="s">
        <v>12</v>
      </c>
    </row>
    <row r="101" spans="1:6" x14ac:dyDescent="0.3">
      <c r="A101" s="16">
        <v>1711291383</v>
      </c>
      <c r="B101" s="16" t="s">
        <v>213</v>
      </c>
      <c r="C101" s="16">
        <v>998032717</v>
      </c>
      <c r="D101" s="5" t="s">
        <v>449</v>
      </c>
      <c r="E101" s="71"/>
      <c r="F101" s="70" t="s">
        <v>12</v>
      </c>
    </row>
    <row r="102" spans="1:6" x14ac:dyDescent="0.3">
      <c r="A102" s="16" t="s">
        <v>658</v>
      </c>
      <c r="B102" s="16" t="s">
        <v>218</v>
      </c>
      <c r="C102" s="16">
        <v>999657029</v>
      </c>
      <c r="D102" s="16"/>
      <c r="E102" s="71"/>
      <c r="F102" s="70" t="s">
        <v>12</v>
      </c>
    </row>
    <row r="103" spans="1:6" x14ac:dyDescent="0.3">
      <c r="A103" s="16">
        <v>1716903032</v>
      </c>
      <c r="B103" s="16" t="s">
        <v>221</v>
      </c>
      <c r="C103" s="16">
        <v>991461406</v>
      </c>
      <c r="D103" s="5" t="s">
        <v>454</v>
      </c>
      <c r="E103" s="71"/>
      <c r="F103" s="70" t="s">
        <v>12</v>
      </c>
    </row>
    <row r="104" spans="1:6" x14ac:dyDescent="0.3">
      <c r="A104" s="16">
        <v>1705421095</v>
      </c>
      <c r="B104" s="16" t="s">
        <v>223</v>
      </c>
      <c r="C104" s="16">
        <v>984047914</v>
      </c>
      <c r="D104" s="5" t="s">
        <v>456</v>
      </c>
      <c r="E104" s="71"/>
      <c r="F104" s="70" t="s">
        <v>12</v>
      </c>
    </row>
    <row r="105" spans="1:6" x14ac:dyDescent="0.3">
      <c r="A105" s="16">
        <v>170795881</v>
      </c>
      <c r="B105" s="16" t="s">
        <v>219</v>
      </c>
      <c r="C105" s="16">
        <v>983501302</v>
      </c>
      <c r="D105" s="5" t="s">
        <v>452</v>
      </c>
      <c r="E105" s="71"/>
      <c r="F105" s="70" t="s">
        <v>12</v>
      </c>
    </row>
    <row r="106" spans="1:6" x14ac:dyDescent="0.3">
      <c r="A106" s="16">
        <v>1722118344</v>
      </c>
      <c r="B106" s="16" t="s">
        <v>222</v>
      </c>
      <c r="C106" s="16">
        <v>984539697</v>
      </c>
      <c r="D106" s="5" t="s">
        <v>455</v>
      </c>
      <c r="E106" s="71"/>
      <c r="F106" s="70" t="s">
        <v>12</v>
      </c>
    </row>
    <row r="107" spans="1:6" x14ac:dyDescent="0.3">
      <c r="A107" s="16">
        <v>1716381999</v>
      </c>
      <c r="B107" s="16" t="s">
        <v>220</v>
      </c>
      <c r="C107" s="16">
        <v>983511676</v>
      </c>
      <c r="D107" s="5" t="s">
        <v>453</v>
      </c>
      <c r="E107" s="71"/>
      <c r="F107" s="70" t="s">
        <v>12</v>
      </c>
    </row>
    <row r="108" spans="1:6" x14ac:dyDescent="0.3">
      <c r="A108" s="16">
        <v>1719231316</v>
      </c>
      <c r="B108" s="16" t="s">
        <v>232</v>
      </c>
      <c r="C108" s="16">
        <v>979324514</v>
      </c>
      <c r="D108" s="5" t="s">
        <v>460</v>
      </c>
      <c r="E108" s="71"/>
      <c r="F108" s="70" t="s">
        <v>12</v>
      </c>
    </row>
    <row r="109" spans="1:6" x14ac:dyDescent="0.3">
      <c r="A109" s="16">
        <v>1710644798</v>
      </c>
      <c r="B109" s="16" t="s">
        <v>229</v>
      </c>
      <c r="C109" s="16">
        <v>995620363</v>
      </c>
      <c r="D109" s="5" t="s">
        <v>458</v>
      </c>
      <c r="E109" s="71"/>
      <c r="F109" s="70" t="s">
        <v>12</v>
      </c>
    </row>
    <row r="110" spans="1:6" x14ac:dyDescent="0.3">
      <c r="A110" s="16">
        <v>1719051631</v>
      </c>
      <c r="B110" s="16" t="s">
        <v>227</v>
      </c>
      <c r="C110" s="16">
        <v>987066795</v>
      </c>
      <c r="D110" s="5" t="s">
        <v>457</v>
      </c>
      <c r="E110" s="71"/>
      <c r="F110" s="70" t="s">
        <v>12</v>
      </c>
    </row>
    <row r="111" spans="1:6" x14ac:dyDescent="0.3">
      <c r="A111" s="16">
        <v>1708380553</v>
      </c>
      <c r="B111" s="16" t="s">
        <v>234</v>
      </c>
      <c r="C111" s="16">
        <v>998386826</v>
      </c>
      <c r="D111" s="5" t="s">
        <v>461</v>
      </c>
      <c r="E111" s="71"/>
      <c r="F111" s="70" t="s">
        <v>12</v>
      </c>
    </row>
    <row r="112" spans="1:6" x14ac:dyDescent="0.3">
      <c r="A112" s="16">
        <v>1801685494</v>
      </c>
      <c r="B112" s="16" t="s">
        <v>231</v>
      </c>
      <c r="C112" s="16">
        <v>971463417</v>
      </c>
      <c r="D112" s="5" t="s">
        <v>459</v>
      </c>
      <c r="E112" s="71"/>
      <c r="F112" s="70" t="s">
        <v>12</v>
      </c>
    </row>
    <row r="113" spans="1:6" x14ac:dyDescent="0.3">
      <c r="A113" s="16">
        <v>1711508117</v>
      </c>
      <c r="B113" s="16" t="s">
        <v>682</v>
      </c>
      <c r="C113" s="16">
        <v>980552370</v>
      </c>
      <c r="D113" s="5" t="s">
        <v>462</v>
      </c>
      <c r="E113" s="71"/>
      <c r="F113" s="70" t="s">
        <v>12</v>
      </c>
    </row>
    <row r="114" spans="1:6" x14ac:dyDescent="0.3">
      <c r="A114" s="16">
        <v>1311894024</v>
      </c>
      <c r="B114" s="16" t="s">
        <v>1227</v>
      </c>
      <c r="C114" s="16">
        <v>962708614</v>
      </c>
      <c r="D114" s="5" t="s">
        <v>463</v>
      </c>
      <c r="E114" s="71"/>
      <c r="F114" s="70" t="s">
        <v>12</v>
      </c>
    </row>
    <row r="115" spans="1:6" x14ac:dyDescent="0.3">
      <c r="A115" s="16">
        <v>1723007686</v>
      </c>
      <c r="B115" s="16" t="s">
        <v>236</v>
      </c>
      <c r="C115" s="16">
        <v>2341783</v>
      </c>
      <c r="D115" s="5" t="s">
        <v>558</v>
      </c>
      <c r="E115" s="71"/>
      <c r="F115" s="70" t="s">
        <v>12</v>
      </c>
    </row>
    <row r="116" spans="1:6" x14ac:dyDescent="0.3">
      <c r="A116" s="16">
        <v>1716497159</v>
      </c>
      <c r="B116" s="16" t="s">
        <v>1215</v>
      </c>
      <c r="C116" s="16">
        <v>991951765</v>
      </c>
      <c r="D116" s="5" t="s">
        <v>467</v>
      </c>
      <c r="E116" s="71"/>
      <c r="F116" s="70" t="s">
        <v>12</v>
      </c>
    </row>
    <row r="117" spans="1:6" x14ac:dyDescent="0.3">
      <c r="A117" s="16" t="s">
        <v>658</v>
      </c>
      <c r="B117" s="16" t="s">
        <v>238</v>
      </c>
      <c r="C117" s="16">
        <v>989466469</v>
      </c>
      <c r="D117" s="16"/>
      <c r="E117" s="71"/>
      <c r="F117" s="70" t="s">
        <v>12</v>
      </c>
    </row>
    <row r="118" spans="1:6" x14ac:dyDescent="0.3">
      <c r="A118" s="16">
        <v>1722462965</v>
      </c>
      <c r="B118" s="16" t="s">
        <v>237</v>
      </c>
      <c r="C118" s="16">
        <v>983566239</v>
      </c>
      <c r="D118" s="5" t="s">
        <v>465</v>
      </c>
      <c r="E118" s="71"/>
      <c r="F118" s="70" t="s">
        <v>12</v>
      </c>
    </row>
    <row r="119" spans="1:6" x14ac:dyDescent="0.3">
      <c r="A119" s="16">
        <v>1726529777</v>
      </c>
      <c r="B119" s="16" t="s">
        <v>1188</v>
      </c>
      <c r="C119" s="16">
        <v>983816166</v>
      </c>
      <c r="D119" s="5" t="s">
        <v>466</v>
      </c>
      <c r="E119" s="71"/>
      <c r="F119" s="70" t="s">
        <v>12</v>
      </c>
    </row>
    <row r="120" spans="1:6" x14ac:dyDescent="0.3">
      <c r="A120" s="16">
        <v>1710459460</v>
      </c>
      <c r="B120" s="16" t="s">
        <v>240</v>
      </c>
      <c r="C120" s="16">
        <v>991856789</v>
      </c>
      <c r="D120" s="5" t="s">
        <v>469</v>
      </c>
      <c r="E120" s="71"/>
      <c r="F120" s="70" t="s">
        <v>12</v>
      </c>
    </row>
    <row r="121" spans="1:6" x14ac:dyDescent="0.3">
      <c r="A121" s="16">
        <v>1717200016</v>
      </c>
      <c r="B121" s="16" t="s">
        <v>243</v>
      </c>
      <c r="C121" s="16">
        <v>991447583</v>
      </c>
      <c r="D121" s="5" t="s">
        <v>470</v>
      </c>
      <c r="E121" s="71"/>
      <c r="F121" s="70" t="s">
        <v>12</v>
      </c>
    </row>
    <row r="122" spans="1:6" x14ac:dyDescent="0.3">
      <c r="A122" s="16">
        <v>1722303417</v>
      </c>
      <c r="B122" s="16" t="s">
        <v>241</v>
      </c>
      <c r="C122" s="16">
        <v>992557827</v>
      </c>
      <c r="D122" s="63" t="s">
        <v>973</v>
      </c>
      <c r="E122" s="71"/>
      <c r="F122" s="70" t="s">
        <v>12</v>
      </c>
    </row>
    <row r="123" spans="1:6" x14ac:dyDescent="0.3">
      <c r="A123" s="16" t="s">
        <v>658</v>
      </c>
      <c r="B123" s="16" t="s">
        <v>244</v>
      </c>
      <c r="C123" s="16">
        <v>987750025</v>
      </c>
      <c r="D123" s="16"/>
      <c r="E123" s="71"/>
      <c r="F123" s="70" t="s">
        <v>12</v>
      </c>
    </row>
    <row r="124" spans="1:6" x14ac:dyDescent="0.3">
      <c r="A124" s="16">
        <v>1720222817</v>
      </c>
      <c r="B124" s="16" t="s">
        <v>245</v>
      </c>
      <c r="C124" s="16">
        <v>998764756</v>
      </c>
      <c r="D124" s="5" t="s">
        <v>497</v>
      </c>
      <c r="E124" s="71"/>
      <c r="F124" s="70" t="s">
        <v>12</v>
      </c>
    </row>
    <row r="125" spans="1:6" x14ac:dyDescent="0.3">
      <c r="A125" s="16">
        <v>1724534076</v>
      </c>
      <c r="B125" s="16" t="s">
        <v>264</v>
      </c>
      <c r="C125" s="16">
        <v>981437074</v>
      </c>
      <c r="D125" s="5" t="s">
        <v>483</v>
      </c>
      <c r="E125" s="71"/>
      <c r="F125" s="70" t="s">
        <v>12</v>
      </c>
    </row>
    <row r="126" spans="1:6" x14ac:dyDescent="0.3">
      <c r="A126" s="16">
        <v>1800577700</v>
      </c>
      <c r="B126" s="16" t="s">
        <v>248</v>
      </c>
      <c r="C126" s="16">
        <v>999257208</v>
      </c>
      <c r="D126" s="5" t="s">
        <v>472</v>
      </c>
      <c r="E126" s="71"/>
      <c r="F126" s="70" t="s">
        <v>12</v>
      </c>
    </row>
    <row r="127" spans="1:6" x14ac:dyDescent="0.3">
      <c r="A127" s="16">
        <v>905189890</v>
      </c>
      <c r="B127" s="16" t="s">
        <v>246</v>
      </c>
      <c r="C127" s="16">
        <v>998337564</v>
      </c>
      <c r="D127" s="16"/>
      <c r="E127" s="71"/>
      <c r="F127" s="70" t="s">
        <v>12</v>
      </c>
    </row>
    <row r="128" spans="1:6" x14ac:dyDescent="0.3">
      <c r="A128" s="16">
        <v>1714644817</v>
      </c>
      <c r="B128" s="16" t="s">
        <v>247</v>
      </c>
      <c r="C128" s="16">
        <v>995052916</v>
      </c>
      <c r="D128" s="5" t="s">
        <v>471</v>
      </c>
      <c r="E128" s="71"/>
      <c r="F128" s="70" t="s">
        <v>12</v>
      </c>
    </row>
    <row r="129" spans="1:6" x14ac:dyDescent="0.3">
      <c r="A129" s="16">
        <v>1722385430</v>
      </c>
      <c r="B129" s="16" t="s">
        <v>249</v>
      </c>
      <c r="C129" s="16">
        <v>992668117</v>
      </c>
      <c r="D129" s="5" t="s">
        <v>473</v>
      </c>
      <c r="E129" s="71"/>
      <c r="F129" s="70" t="s">
        <v>12</v>
      </c>
    </row>
    <row r="130" spans="1:6" x14ac:dyDescent="0.3">
      <c r="A130" s="16">
        <v>1718017302</v>
      </c>
      <c r="B130" s="16" t="s">
        <v>251</v>
      </c>
      <c r="C130" s="16">
        <v>958970192</v>
      </c>
      <c r="D130" s="5" t="s">
        <v>474</v>
      </c>
      <c r="E130" s="71"/>
      <c r="F130" s="70" t="s">
        <v>12</v>
      </c>
    </row>
    <row r="131" spans="1:6" x14ac:dyDescent="0.3">
      <c r="A131" s="16" t="s">
        <v>658</v>
      </c>
      <c r="B131" s="16" t="s">
        <v>252</v>
      </c>
      <c r="C131" s="16">
        <v>982663163</v>
      </c>
      <c r="D131" s="5" t="s">
        <v>587</v>
      </c>
      <c r="E131" s="71"/>
      <c r="F131" s="70" t="s">
        <v>12</v>
      </c>
    </row>
    <row r="132" spans="1:6" x14ac:dyDescent="0.3">
      <c r="A132" s="16">
        <v>1714400965</v>
      </c>
      <c r="B132" s="16" t="s">
        <v>685</v>
      </c>
      <c r="C132" s="16">
        <v>985305885</v>
      </c>
      <c r="D132" s="5" t="s">
        <v>498</v>
      </c>
      <c r="E132" s="71"/>
      <c r="F132" s="70" t="s">
        <v>12</v>
      </c>
    </row>
    <row r="133" spans="1:6" x14ac:dyDescent="0.3">
      <c r="A133" s="16" t="s">
        <v>658</v>
      </c>
      <c r="B133" s="16" t="s">
        <v>680</v>
      </c>
      <c r="C133" s="16">
        <v>992572884</v>
      </c>
      <c r="D133" s="16"/>
      <c r="E133" s="71"/>
      <c r="F133" s="70" t="s">
        <v>12</v>
      </c>
    </row>
    <row r="134" spans="1:6" x14ac:dyDescent="0.3">
      <c r="A134" s="16">
        <v>1722211792</v>
      </c>
      <c r="B134" s="16" t="s">
        <v>255</v>
      </c>
      <c r="C134" s="16">
        <v>984044040</v>
      </c>
      <c r="D134" s="5" t="s">
        <v>476</v>
      </c>
      <c r="E134" s="71"/>
      <c r="F134" s="70" t="s">
        <v>12</v>
      </c>
    </row>
    <row r="135" spans="1:6" x14ac:dyDescent="0.3">
      <c r="A135" s="16">
        <v>103837001</v>
      </c>
      <c r="B135" s="16" t="s">
        <v>257</v>
      </c>
      <c r="C135" s="16">
        <v>998042155</v>
      </c>
      <c r="D135" s="5" t="s">
        <v>477</v>
      </c>
      <c r="E135" s="71"/>
      <c r="F135" s="70" t="s">
        <v>12</v>
      </c>
    </row>
    <row r="136" spans="1:6" x14ac:dyDescent="0.3">
      <c r="A136" s="16">
        <v>1704073939</v>
      </c>
      <c r="B136" s="16" t="s">
        <v>956</v>
      </c>
      <c r="C136" s="16">
        <v>960717026</v>
      </c>
      <c r="D136" s="5" t="s">
        <v>478</v>
      </c>
      <c r="E136" s="71"/>
      <c r="F136" s="70" t="s">
        <v>12</v>
      </c>
    </row>
    <row r="137" spans="1:6" x14ac:dyDescent="0.3">
      <c r="A137" s="16">
        <v>1724477300</v>
      </c>
      <c r="B137" s="16" t="s">
        <v>259</v>
      </c>
      <c r="C137" s="16">
        <v>985595618</v>
      </c>
      <c r="D137" s="5" t="s">
        <v>480</v>
      </c>
      <c r="E137" s="71"/>
      <c r="F137" s="70" t="s">
        <v>12</v>
      </c>
    </row>
    <row r="138" spans="1:6" x14ac:dyDescent="0.3">
      <c r="A138" s="16">
        <v>105334452</v>
      </c>
      <c r="B138" s="16" t="s">
        <v>11</v>
      </c>
      <c r="C138" s="16"/>
      <c r="D138" s="5" t="s">
        <v>481</v>
      </c>
      <c r="E138" s="71"/>
      <c r="F138" s="70" t="s">
        <v>12</v>
      </c>
    </row>
    <row r="139" spans="1:6" x14ac:dyDescent="0.3">
      <c r="A139" s="16">
        <v>1722633169</v>
      </c>
      <c r="B139" s="16" t="s">
        <v>260</v>
      </c>
      <c r="C139" s="16">
        <v>990336960</v>
      </c>
      <c r="D139" s="5" t="s">
        <v>482</v>
      </c>
      <c r="E139" s="71"/>
      <c r="F139" s="70" t="s">
        <v>12</v>
      </c>
    </row>
    <row r="140" spans="1:6" x14ac:dyDescent="0.3">
      <c r="A140" s="16">
        <v>1725206369</v>
      </c>
      <c r="B140" s="16" t="s">
        <v>1045</v>
      </c>
      <c r="C140" s="16">
        <v>992433299</v>
      </c>
      <c r="D140" s="5" t="s">
        <v>1127</v>
      </c>
      <c r="E140" s="71"/>
      <c r="F140" s="70" t="s">
        <v>12</v>
      </c>
    </row>
    <row r="141" spans="1:6" x14ac:dyDescent="0.3">
      <c r="A141" s="16">
        <v>17081205579</v>
      </c>
      <c r="B141" s="16" t="s">
        <v>266</v>
      </c>
      <c r="C141" s="16">
        <v>999915955</v>
      </c>
      <c r="D141" s="5" t="s">
        <v>485</v>
      </c>
      <c r="E141" s="71"/>
      <c r="F141" s="70" t="s">
        <v>12</v>
      </c>
    </row>
    <row r="142" spans="1:6" x14ac:dyDescent="0.3">
      <c r="A142" s="16">
        <v>179952289</v>
      </c>
      <c r="B142" s="16" t="s">
        <v>1198</v>
      </c>
      <c r="C142" s="16">
        <v>973943694</v>
      </c>
      <c r="D142" s="5" t="s">
        <v>1199</v>
      </c>
      <c r="E142" s="71"/>
      <c r="F142" s="70" t="s">
        <v>12</v>
      </c>
    </row>
    <row r="143" spans="1:6" x14ac:dyDescent="0.3">
      <c r="A143" s="16">
        <v>1718530866</v>
      </c>
      <c r="B143" s="16" t="s">
        <v>681</v>
      </c>
      <c r="C143" s="16">
        <v>993005801</v>
      </c>
      <c r="D143" s="5" t="s">
        <v>484</v>
      </c>
      <c r="E143" s="71"/>
      <c r="F143" s="70" t="s">
        <v>12</v>
      </c>
    </row>
    <row r="144" spans="1:6" x14ac:dyDescent="0.3">
      <c r="A144" s="16">
        <v>1753632828</v>
      </c>
      <c r="B144" s="16" t="s">
        <v>267</v>
      </c>
      <c r="C144" s="16">
        <v>983900698</v>
      </c>
      <c r="D144" s="5" t="s">
        <v>486</v>
      </c>
      <c r="E144" s="71"/>
      <c r="F144" s="70" t="s">
        <v>12</v>
      </c>
    </row>
    <row r="145" spans="1:6" x14ac:dyDescent="0.3">
      <c r="A145" s="16">
        <v>1711306199</v>
      </c>
      <c r="B145" s="16" t="s">
        <v>336</v>
      </c>
      <c r="C145" s="16">
        <v>998135335</v>
      </c>
      <c r="D145" s="5" t="s">
        <v>545</v>
      </c>
      <c r="E145" s="71"/>
      <c r="F145" s="70" t="s">
        <v>12</v>
      </c>
    </row>
    <row r="146" spans="1:6" x14ac:dyDescent="0.3">
      <c r="A146" s="16">
        <v>1716270929</v>
      </c>
      <c r="B146" s="16" t="s">
        <v>965</v>
      </c>
      <c r="C146" s="16">
        <v>984913319</v>
      </c>
      <c r="D146" s="5" t="s">
        <v>487</v>
      </c>
      <c r="E146" s="71"/>
      <c r="F146" s="70" t="s">
        <v>12</v>
      </c>
    </row>
    <row r="147" spans="1:6" x14ac:dyDescent="0.3">
      <c r="A147" s="16">
        <v>1708343775</v>
      </c>
      <c r="B147" s="16" t="s">
        <v>268</v>
      </c>
      <c r="C147" s="16">
        <v>998682199</v>
      </c>
      <c r="D147" s="5"/>
      <c r="E147" s="71"/>
      <c r="F147" s="70" t="s">
        <v>12</v>
      </c>
    </row>
    <row r="148" spans="1:6" x14ac:dyDescent="0.3">
      <c r="A148" s="16">
        <v>1714757224</v>
      </c>
      <c r="B148" s="16" t="s">
        <v>271</v>
      </c>
      <c r="C148" s="16">
        <v>984652563</v>
      </c>
      <c r="D148" s="5"/>
      <c r="E148" s="71"/>
      <c r="F148" s="70" t="s">
        <v>12</v>
      </c>
    </row>
    <row r="149" spans="1:6" x14ac:dyDescent="0.3">
      <c r="A149" s="16">
        <v>1717391971</v>
      </c>
      <c r="B149" s="16" t="s">
        <v>269</v>
      </c>
      <c r="C149" s="16">
        <v>984419199</v>
      </c>
      <c r="D149" s="5" t="s">
        <v>488</v>
      </c>
      <c r="E149" s="71"/>
      <c r="F149" s="70" t="s">
        <v>12</v>
      </c>
    </row>
    <row r="150" spans="1:6" x14ac:dyDescent="0.3">
      <c r="A150" s="16" t="s">
        <v>658</v>
      </c>
      <c r="B150" s="16" t="s">
        <v>273</v>
      </c>
      <c r="C150" s="16">
        <v>981850550</v>
      </c>
      <c r="D150" s="5"/>
      <c r="E150" s="71"/>
      <c r="F150" s="70" t="s">
        <v>12</v>
      </c>
    </row>
    <row r="151" spans="1:6" x14ac:dyDescent="0.3">
      <c r="A151" s="16">
        <v>930394861</v>
      </c>
      <c r="B151" s="16" t="s">
        <v>276</v>
      </c>
      <c r="C151" s="16">
        <v>967477481</v>
      </c>
      <c r="D151" s="5" t="s">
        <v>491</v>
      </c>
      <c r="E151" s="71"/>
      <c r="F151" s="70" t="s">
        <v>12</v>
      </c>
    </row>
    <row r="152" spans="1:6" x14ac:dyDescent="0.3">
      <c r="A152" s="16">
        <v>1723862015</v>
      </c>
      <c r="B152" s="16" t="s">
        <v>277</v>
      </c>
      <c r="C152" s="16">
        <v>962905926</v>
      </c>
      <c r="D152" s="5" t="s">
        <v>492</v>
      </c>
      <c r="E152" s="71"/>
      <c r="F152" s="70" t="s">
        <v>12</v>
      </c>
    </row>
    <row r="153" spans="1:6" x14ac:dyDescent="0.3">
      <c r="A153" s="16">
        <v>2300642077</v>
      </c>
      <c r="B153" s="16" t="s">
        <v>278</v>
      </c>
      <c r="C153" s="16">
        <v>979508940</v>
      </c>
      <c r="D153" s="5" t="s">
        <v>493</v>
      </c>
      <c r="E153" s="71"/>
      <c r="F153" s="70" t="s">
        <v>12</v>
      </c>
    </row>
    <row r="154" spans="1:6" x14ac:dyDescent="0.3">
      <c r="A154" s="16">
        <v>1716862840</v>
      </c>
      <c r="B154" s="16" t="s">
        <v>275</v>
      </c>
      <c r="C154" s="16">
        <v>984907880</v>
      </c>
      <c r="D154" s="5" t="s">
        <v>490</v>
      </c>
      <c r="E154" s="71"/>
      <c r="F154" s="70" t="s">
        <v>12</v>
      </c>
    </row>
    <row r="155" spans="1:6" x14ac:dyDescent="0.3">
      <c r="A155" s="16">
        <v>1719279398</v>
      </c>
      <c r="B155" s="16" t="s">
        <v>279</v>
      </c>
      <c r="C155" s="16">
        <v>987109273</v>
      </c>
      <c r="D155" s="5" t="s">
        <v>494</v>
      </c>
      <c r="E155" s="71"/>
      <c r="F155" s="70" t="s">
        <v>12</v>
      </c>
    </row>
    <row r="156" spans="1:6" x14ac:dyDescent="0.3">
      <c r="A156" s="16">
        <v>1716954423</v>
      </c>
      <c r="B156" s="16" t="s">
        <v>280</v>
      </c>
      <c r="C156" s="16">
        <v>984634793</v>
      </c>
      <c r="D156" s="5" t="s">
        <v>495</v>
      </c>
      <c r="E156" s="71"/>
      <c r="F156" s="70" t="s">
        <v>12</v>
      </c>
    </row>
    <row r="157" spans="1:6" x14ac:dyDescent="0.3">
      <c r="A157" s="16">
        <v>800610388</v>
      </c>
      <c r="B157" s="16" t="s">
        <v>358</v>
      </c>
      <c r="C157" s="16">
        <v>984700274</v>
      </c>
      <c r="D157" s="5" t="s">
        <v>431</v>
      </c>
      <c r="E157" s="71"/>
      <c r="F157" s="70" t="s">
        <v>12</v>
      </c>
    </row>
    <row r="158" spans="1:6" x14ac:dyDescent="0.3">
      <c r="A158" s="16">
        <v>1717603177</v>
      </c>
      <c r="B158" s="16" t="s">
        <v>287</v>
      </c>
      <c r="C158" s="16">
        <v>960642944</v>
      </c>
      <c r="D158" s="5" t="s">
        <v>500</v>
      </c>
      <c r="E158" s="71"/>
      <c r="F158" s="70" t="s">
        <v>12</v>
      </c>
    </row>
    <row r="159" spans="1:6" x14ac:dyDescent="0.3">
      <c r="A159" s="16">
        <v>1753278652</v>
      </c>
      <c r="B159" s="16" t="s">
        <v>384</v>
      </c>
      <c r="C159" s="16">
        <v>987131214</v>
      </c>
      <c r="D159" s="5" t="s">
        <v>501</v>
      </c>
      <c r="E159" s="71"/>
      <c r="F159" s="70" t="s">
        <v>12</v>
      </c>
    </row>
    <row r="160" spans="1:6" x14ac:dyDescent="0.3">
      <c r="A160" s="16">
        <v>802153023</v>
      </c>
      <c r="B160" s="16" t="s">
        <v>288</v>
      </c>
      <c r="C160" s="16">
        <v>998017513</v>
      </c>
      <c r="D160" s="5" t="s">
        <v>502</v>
      </c>
      <c r="E160" s="71"/>
      <c r="F160" s="70" t="s">
        <v>12</v>
      </c>
    </row>
    <row r="161" spans="1:6" x14ac:dyDescent="0.3">
      <c r="A161" s="16">
        <v>502514128</v>
      </c>
      <c r="B161" s="16" t="s">
        <v>1216</v>
      </c>
      <c r="C161" s="16">
        <v>996806872</v>
      </c>
      <c r="D161" s="5" t="s">
        <v>505</v>
      </c>
      <c r="E161" s="71"/>
      <c r="F161" s="70" t="s">
        <v>12</v>
      </c>
    </row>
    <row r="162" spans="1:6" x14ac:dyDescent="0.3">
      <c r="A162" s="16">
        <v>1719430991</v>
      </c>
      <c r="B162" s="16" t="s">
        <v>289</v>
      </c>
      <c r="C162" s="16">
        <v>998950453</v>
      </c>
      <c r="D162" s="5" t="s">
        <v>503</v>
      </c>
      <c r="E162" s="71"/>
      <c r="F162" s="70" t="s">
        <v>12</v>
      </c>
    </row>
    <row r="163" spans="1:6" x14ac:dyDescent="0.3">
      <c r="A163" s="16">
        <v>401388814</v>
      </c>
      <c r="B163" s="16" t="s">
        <v>290</v>
      </c>
      <c r="C163" s="16">
        <v>987346064</v>
      </c>
      <c r="D163" s="5" t="s">
        <v>504</v>
      </c>
      <c r="E163" s="71"/>
      <c r="F163" s="70" t="s">
        <v>12</v>
      </c>
    </row>
    <row r="164" spans="1:6" x14ac:dyDescent="0.3">
      <c r="A164" s="16">
        <v>1724928609</v>
      </c>
      <c r="B164" s="16" t="s">
        <v>291</v>
      </c>
      <c r="C164" s="16">
        <v>999761283</v>
      </c>
      <c r="D164" s="5" t="s">
        <v>506</v>
      </c>
      <c r="E164" s="71"/>
      <c r="F164" s="70" t="s">
        <v>12</v>
      </c>
    </row>
    <row r="165" spans="1:6" x14ac:dyDescent="0.3">
      <c r="A165" s="16">
        <v>1713447157</v>
      </c>
      <c r="B165" s="16" t="s">
        <v>293</v>
      </c>
      <c r="C165" s="16">
        <v>995196834</v>
      </c>
      <c r="D165" s="5" t="s">
        <v>508</v>
      </c>
      <c r="E165" s="71"/>
      <c r="F165" s="70" t="s">
        <v>12</v>
      </c>
    </row>
    <row r="166" spans="1:6" x14ac:dyDescent="0.3">
      <c r="A166" s="16">
        <v>1724038862</v>
      </c>
      <c r="B166" s="16" t="s">
        <v>13</v>
      </c>
      <c r="C166" s="16"/>
      <c r="D166" s="5" t="s">
        <v>507</v>
      </c>
      <c r="E166" s="71"/>
      <c r="F166" s="16"/>
    </row>
    <row r="167" spans="1:6" x14ac:dyDescent="0.3">
      <c r="A167" s="16">
        <v>1703826188</v>
      </c>
      <c r="B167" s="16" t="s">
        <v>295</v>
      </c>
      <c r="C167" s="16">
        <v>987714098</v>
      </c>
      <c r="D167" s="5" t="s">
        <v>511</v>
      </c>
      <c r="E167" s="71"/>
      <c r="F167" s="70" t="s">
        <v>12</v>
      </c>
    </row>
    <row r="168" spans="1:6" x14ac:dyDescent="0.3">
      <c r="A168" s="16">
        <v>1709577199</v>
      </c>
      <c r="B168" s="16" t="s">
        <v>14</v>
      </c>
      <c r="C168" s="16">
        <v>995408762</v>
      </c>
      <c r="D168" s="5"/>
      <c r="E168" s="71"/>
      <c r="F168" s="70" t="s">
        <v>12</v>
      </c>
    </row>
    <row r="169" spans="1:6" x14ac:dyDescent="0.3">
      <c r="A169" s="16">
        <v>1720035284</v>
      </c>
      <c r="B169" s="16" t="s">
        <v>1217</v>
      </c>
      <c r="C169" s="16">
        <v>998506328</v>
      </c>
      <c r="D169" s="5" t="s">
        <v>1218</v>
      </c>
      <c r="E169" s="71"/>
      <c r="F169" s="70" t="s">
        <v>12</v>
      </c>
    </row>
    <row r="170" spans="1:6" x14ac:dyDescent="0.3">
      <c r="A170" s="16" t="s">
        <v>658</v>
      </c>
      <c r="B170" s="16" t="s">
        <v>296</v>
      </c>
      <c r="C170" s="16">
        <v>983815656</v>
      </c>
      <c r="D170" s="5" t="s">
        <v>512</v>
      </c>
      <c r="E170" s="71"/>
      <c r="F170" s="70" t="s">
        <v>12</v>
      </c>
    </row>
    <row r="171" spans="1:6" x14ac:dyDescent="0.3">
      <c r="A171" s="16">
        <v>1715703052</v>
      </c>
      <c r="B171" s="16" t="s">
        <v>962</v>
      </c>
      <c r="C171" s="16">
        <v>983501265</v>
      </c>
      <c r="D171" s="5" t="s">
        <v>515</v>
      </c>
      <c r="E171" s="71"/>
      <c r="F171" s="70" t="s">
        <v>12</v>
      </c>
    </row>
    <row r="172" spans="1:6" x14ac:dyDescent="0.3">
      <c r="A172" s="16">
        <v>1724467210</v>
      </c>
      <c r="B172" s="16" t="s">
        <v>299</v>
      </c>
      <c r="C172" s="16">
        <v>963372093</v>
      </c>
      <c r="D172" s="5" t="s">
        <v>517</v>
      </c>
      <c r="E172" s="71"/>
      <c r="F172" s="70" t="s">
        <v>12</v>
      </c>
    </row>
    <row r="173" spans="1:6" x14ac:dyDescent="0.3">
      <c r="A173" s="16">
        <v>1712530813</v>
      </c>
      <c r="B173" s="16" t="s">
        <v>966</v>
      </c>
      <c r="C173" s="16">
        <v>987102367</v>
      </c>
      <c r="D173" s="5" t="s">
        <v>518</v>
      </c>
      <c r="E173" s="71"/>
      <c r="F173" s="70" t="s">
        <v>12</v>
      </c>
    </row>
    <row r="174" spans="1:6" x14ac:dyDescent="0.3">
      <c r="A174" s="16">
        <v>1712530805</v>
      </c>
      <c r="B174" s="16" t="s">
        <v>301</v>
      </c>
      <c r="C174" s="16">
        <v>958903058</v>
      </c>
      <c r="D174" s="5" t="s">
        <v>519</v>
      </c>
      <c r="E174" s="71"/>
      <c r="F174" s="70" t="s">
        <v>12</v>
      </c>
    </row>
    <row r="175" spans="1:6" x14ac:dyDescent="0.3">
      <c r="A175" s="16">
        <v>1708228880</v>
      </c>
      <c r="B175" s="16" t="s">
        <v>302</v>
      </c>
      <c r="C175" s="16">
        <v>963817248</v>
      </c>
      <c r="D175" s="5" t="s">
        <v>520</v>
      </c>
      <c r="E175" s="71"/>
      <c r="F175" s="70" t="s">
        <v>12</v>
      </c>
    </row>
    <row r="176" spans="1:6" x14ac:dyDescent="0.3">
      <c r="A176" s="16" t="s">
        <v>658</v>
      </c>
      <c r="B176" s="16" t="s">
        <v>66</v>
      </c>
      <c r="C176" s="16">
        <v>981396657</v>
      </c>
      <c r="D176" s="5"/>
      <c r="E176" s="71"/>
      <c r="F176" s="70" t="s">
        <v>12</v>
      </c>
    </row>
    <row r="177" spans="1:6" x14ac:dyDescent="0.3">
      <c r="A177" s="16">
        <v>1714986860</v>
      </c>
      <c r="B177" s="16" t="s">
        <v>304</v>
      </c>
      <c r="C177" s="16">
        <v>983019963</v>
      </c>
      <c r="D177" s="5" t="s">
        <v>522</v>
      </c>
      <c r="E177" s="71"/>
      <c r="F177" s="70" t="s">
        <v>12</v>
      </c>
    </row>
    <row r="178" spans="1:6" x14ac:dyDescent="0.3">
      <c r="A178" s="16">
        <v>1718740796</v>
      </c>
      <c r="B178" s="16" t="s">
        <v>317</v>
      </c>
      <c r="C178" s="16">
        <v>984039489</v>
      </c>
      <c r="D178" s="63" t="s">
        <v>530</v>
      </c>
      <c r="E178" s="71"/>
      <c r="F178" s="70" t="s">
        <v>12</v>
      </c>
    </row>
    <row r="179" spans="1:6" x14ac:dyDescent="0.3">
      <c r="A179" s="16">
        <v>1708000698</v>
      </c>
      <c r="B179" s="16" t="s">
        <v>355</v>
      </c>
      <c r="C179" s="26">
        <v>999782426</v>
      </c>
      <c r="D179" s="5" t="s">
        <v>523</v>
      </c>
      <c r="E179" s="71"/>
      <c r="F179" s="70" t="s">
        <v>12</v>
      </c>
    </row>
    <row r="180" spans="1:6" x14ac:dyDescent="0.3">
      <c r="A180" s="16">
        <v>1721480851</v>
      </c>
      <c r="B180" s="16" t="s">
        <v>309</v>
      </c>
      <c r="C180" s="16">
        <v>984083649</v>
      </c>
      <c r="D180" s="5" t="s">
        <v>525</v>
      </c>
      <c r="E180" s="71"/>
      <c r="F180" s="70" t="s">
        <v>12</v>
      </c>
    </row>
    <row r="181" spans="1:6" x14ac:dyDescent="0.3">
      <c r="A181" s="16">
        <v>716636871</v>
      </c>
      <c r="B181" s="16" t="s">
        <v>686</v>
      </c>
      <c r="C181" s="16">
        <v>984204864</v>
      </c>
      <c r="D181" s="5" t="s">
        <v>526</v>
      </c>
      <c r="E181" s="71"/>
      <c r="F181" s="70" t="s">
        <v>12</v>
      </c>
    </row>
    <row r="182" spans="1:6" x14ac:dyDescent="0.3">
      <c r="A182" s="16">
        <v>1705374740</v>
      </c>
      <c r="B182" s="16" t="s">
        <v>979</v>
      </c>
      <c r="C182" s="16">
        <v>999226285</v>
      </c>
      <c r="D182" s="5"/>
      <c r="E182" s="71"/>
      <c r="F182" s="70" t="s">
        <v>12</v>
      </c>
    </row>
    <row r="183" spans="1:6" x14ac:dyDescent="0.3">
      <c r="A183" s="16">
        <v>706708302</v>
      </c>
      <c r="B183" s="16" t="s">
        <v>313</v>
      </c>
      <c r="C183" s="16"/>
      <c r="D183" s="5" t="s">
        <v>528</v>
      </c>
      <c r="E183" s="71"/>
      <c r="F183" s="16"/>
    </row>
    <row r="184" spans="1:6" x14ac:dyDescent="0.3">
      <c r="A184" s="16">
        <v>703191148</v>
      </c>
      <c r="B184" s="16" t="s">
        <v>312</v>
      </c>
      <c r="C184" s="16">
        <v>988807531</v>
      </c>
      <c r="D184" s="5" t="s">
        <v>527</v>
      </c>
      <c r="E184" s="71"/>
      <c r="F184" s="70" t="s">
        <v>12</v>
      </c>
    </row>
    <row r="185" spans="1:6" x14ac:dyDescent="0.3">
      <c r="A185" s="16">
        <v>1720116506</v>
      </c>
      <c r="B185" s="16" t="s">
        <v>315</v>
      </c>
      <c r="C185" s="16">
        <v>983894595</v>
      </c>
      <c r="D185" s="5" t="s">
        <v>529</v>
      </c>
      <c r="E185" s="71"/>
      <c r="F185" s="70" t="s">
        <v>12</v>
      </c>
    </row>
    <row r="186" spans="1:6" x14ac:dyDescent="0.3">
      <c r="A186" s="16">
        <v>172665534</v>
      </c>
      <c r="B186" s="16" t="s">
        <v>316</v>
      </c>
      <c r="C186" s="16">
        <v>999207538</v>
      </c>
      <c r="D186" s="5" t="s">
        <v>543</v>
      </c>
      <c r="E186" s="71"/>
      <c r="F186" s="70" t="s">
        <v>12</v>
      </c>
    </row>
    <row r="187" spans="1:6" x14ac:dyDescent="0.3">
      <c r="A187" s="16">
        <v>1712145372</v>
      </c>
      <c r="B187" s="16" t="s">
        <v>319</v>
      </c>
      <c r="C187" s="16">
        <v>999708708</v>
      </c>
      <c r="D187" s="5" t="s">
        <v>531</v>
      </c>
      <c r="E187" s="71"/>
      <c r="F187" s="70" t="s">
        <v>12</v>
      </c>
    </row>
    <row r="188" spans="1:6" x14ac:dyDescent="0.3">
      <c r="A188" s="16">
        <v>1718590746</v>
      </c>
      <c r="B188" s="16" t="s">
        <v>181</v>
      </c>
      <c r="C188" s="16">
        <v>983988163</v>
      </c>
      <c r="D188" s="16"/>
      <c r="E188" s="71">
        <v>46322</v>
      </c>
      <c r="F188" s="16" t="s">
        <v>12</v>
      </c>
    </row>
    <row r="189" spans="1:6" x14ac:dyDescent="0.3">
      <c r="A189" s="16">
        <v>1717630113</v>
      </c>
      <c r="B189" s="16" t="s">
        <v>318</v>
      </c>
      <c r="C189" s="16">
        <v>987425149</v>
      </c>
      <c r="D189" s="5" t="s">
        <v>420</v>
      </c>
      <c r="E189" s="71"/>
      <c r="F189" s="70" t="s">
        <v>12</v>
      </c>
    </row>
    <row r="190" spans="1:6" x14ac:dyDescent="0.3">
      <c r="A190" s="16">
        <v>1725622516</v>
      </c>
      <c r="B190" s="16" t="s">
        <v>326</v>
      </c>
      <c r="C190" s="16">
        <v>998874726</v>
      </c>
      <c r="D190" s="5" t="s">
        <v>535</v>
      </c>
      <c r="E190" s="71"/>
      <c r="F190" s="70" t="s">
        <v>12</v>
      </c>
    </row>
    <row r="191" spans="1:6" x14ac:dyDescent="0.3">
      <c r="A191" s="16">
        <v>1722109178</v>
      </c>
      <c r="B191" s="16" t="s">
        <v>324</v>
      </c>
      <c r="C191" s="16">
        <v>984205468</v>
      </c>
      <c r="D191" s="5" t="s">
        <v>534</v>
      </c>
      <c r="E191" s="71"/>
      <c r="F191" s="70" t="s">
        <v>12</v>
      </c>
    </row>
    <row r="192" spans="1:6" x14ac:dyDescent="0.3">
      <c r="A192" s="16">
        <v>1717349970</v>
      </c>
      <c r="B192" s="16" t="s">
        <v>321</v>
      </c>
      <c r="C192" s="16">
        <v>963525590</v>
      </c>
      <c r="D192" s="5" t="s">
        <v>532</v>
      </c>
      <c r="E192" s="71"/>
      <c r="F192" s="70" t="s">
        <v>12</v>
      </c>
    </row>
    <row r="193" spans="1:6" x14ac:dyDescent="0.3">
      <c r="A193" s="16">
        <v>1713424479</v>
      </c>
      <c r="B193" s="16" t="s">
        <v>322</v>
      </c>
      <c r="C193" s="16">
        <v>960027353</v>
      </c>
      <c r="D193" s="5" t="s">
        <v>533</v>
      </c>
      <c r="E193" s="71"/>
      <c r="F193" s="70" t="s">
        <v>12</v>
      </c>
    </row>
    <row r="194" spans="1:6" x14ac:dyDescent="0.3">
      <c r="A194" s="16">
        <v>1720201472</v>
      </c>
      <c r="B194" s="16" t="s">
        <v>328</v>
      </c>
      <c r="C194" s="16">
        <v>999032224</v>
      </c>
      <c r="D194" s="5" t="s">
        <v>537</v>
      </c>
      <c r="E194" s="71"/>
      <c r="F194" s="70" t="s">
        <v>12</v>
      </c>
    </row>
    <row r="195" spans="1:6" x14ac:dyDescent="0.3">
      <c r="A195" s="16">
        <v>1600371480</v>
      </c>
      <c r="B195" s="16" t="s">
        <v>327</v>
      </c>
      <c r="C195" s="16">
        <v>997520009</v>
      </c>
      <c r="D195" s="5" t="s">
        <v>536</v>
      </c>
      <c r="E195" s="71"/>
      <c r="F195" s="70" t="s">
        <v>12</v>
      </c>
    </row>
    <row r="196" spans="1:6" x14ac:dyDescent="0.3">
      <c r="A196" s="16">
        <v>1718896580</v>
      </c>
      <c r="B196" s="16" t="s">
        <v>329</v>
      </c>
      <c r="C196" s="16">
        <v>987605942</v>
      </c>
      <c r="D196" s="5" t="s">
        <v>538</v>
      </c>
      <c r="E196" s="71"/>
      <c r="F196" s="70" t="s">
        <v>12</v>
      </c>
    </row>
    <row r="197" spans="1:6" x14ac:dyDescent="0.3">
      <c r="A197" s="16">
        <v>1721402657</v>
      </c>
      <c r="B197" s="16" t="s">
        <v>953</v>
      </c>
      <c r="C197" s="16">
        <v>3431233</v>
      </c>
      <c r="D197" s="5" t="s">
        <v>539</v>
      </c>
      <c r="E197" s="71"/>
      <c r="F197" s="70" t="s">
        <v>12</v>
      </c>
    </row>
    <row r="198" spans="1:6" x14ac:dyDescent="0.3">
      <c r="A198" s="16">
        <v>1718848987</v>
      </c>
      <c r="B198" s="16" t="s">
        <v>330</v>
      </c>
      <c r="C198" s="16">
        <v>998600589</v>
      </c>
      <c r="D198" s="5" t="s">
        <v>540</v>
      </c>
      <c r="E198" s="71"/>
      <c r="F198" s="70" t="s">
        <v>12</v>
      </c>
    </row>
    <row r="199" spans="1:6" x14ac:dyDescent="0.3">
      <c r="A199" s="16">
        <v>1712865870</v>
      </c>
      <c r="B199" s="16" t="s">
        <v>976</v>
      </c>
      <c r="C199" s="16">
        <v>995266643</v>
      </c>
      <c r="D199" s="5" t="s">
        <v>542</v>
      </c>
      <c r="E199" s="71"/>
      <c r="F199" s="70" t="s">
        <v>12</v>
      </c>
    </row>
    <row r="200" spans="1:6" x14ac:dyDescent="0.3">
      <c r="A200" s="16">
        <v>1713781126</v>
      </c>
      <c r="B200" s="16" t="s">
        <v>974</v>
      </c>
      <c r="C200" s="16">
        <v>993360523</v>
      </c>
      <c r="D200" s="5" t="s">
        <v>541</v>
      </c>
      <c r="E200" s="71"/>
      <c r="F200" s="70" t="s">
        <v>12</v>
      </c>
    </row>
    <row r="201" spans="1:6" x14ac:dyDescent="0.3">
      <c r="A201" s="16">
        <v>1702327655</v>
      </c>
      <c r="B201" s="16" t="s">
        <v>684</v>
      </c>
      <c r="C201" s="16">
        <v>994988133</v>
      </c>
      <c r="D201" s="5" t="s">
        <v>544</v>
      </c>
      <c r="E201" s="71"/>
      <c r="F201" s="70" t="s">
        <v>12</v>
      </c>
    </row>
    <row r="202" spans="1:6" x14ac:dyDescent="0.3">
      <c r="A202" s="16">
        <v>1707124341</v>
      </c>
      <c r="B202" s="16" t="s">
        <v>286</v>
      </c>
      <c r="C202" s="16">
        <v>999947475</v>
      </c>
      <c r="D202" s="5" t="s">
        <v>499</v>
      </c>
      <c r="E202" s="71"/>
      <c r="F202" s="70" t="s">
        <v>12</v>
      </c>
    </row>
    <row r="203" spans="1:6" x14ac:dyDescent="0.3">
      <c r="A203" s="16">
        <v>1713660825</v>
      </c>
      <c r="B203" s="16" t="s">
        <v>1200</v>
      </c>
      <c r="C203" s="16">
        <v>999091551</v>
      </c>
      <c r="D203" s="5" t="s">
        <v>548</v>
      </c>
      <c r="E203" s="71"/>
      <c r="F203" s="70" t="s">
        <v>12</v>
      </c>
    </row>
    <row r="204" spans="1:6" x14ac:dyDescent="0.3">
      <c r="A204" s="16">
        <v>1706811757</v>
      </c>
      <c r="B204" s="16" t="s">
        <v>676</v>
      </c>
      <c r="C204" s="16">
        <v>981396657</v>
      </c>
      <c r="D204" s="5"/>
      <c r="E204" s="71"/>
      <c r="F204" s="70" t="s">
        <v>12</v>
      </c>
    </row>
    <row r="205" spans="1:6" x14ac:dyDescent="0.3">
      <c r="A205" s="16">
        <v>3050432586</v>
      </c>
      <c r="B205" s="16" t="s">
        <v>338</v>
      </c>
      <c r="C205" s="16">
        <v>959988138</v>
      </c>
      <c r="D205" s="5" t="s">
        <v>546</v>
      </c>
      <c r="E205" s="71"/>
      <c r="F205" s="70" t="s">
        <v>12</v>
      </c>
    </row>
    <row r="206" spans="1:6" x14ac:dyDescent="0.3">
      <c r="A206" s="16">
        <v>502138340</v>
      </c>
      <c r="B206" s="16" t="s">
        <v>365</v>
      </c>
      <c r="C206" s="16">
        <v>996439660</v>
      </c>
      <c r="D206" s="5" t="s">
        <v>547</v>
      </c>
      <c r="E206" s="71"/>
      <c r="F206" s="70" t="s">
        <v>12</v>
      </c>
    </row>
    <row r="207" spans="1:6" x14ac:dyDescent="0.3">
      <c r="A207" s="16">
        <v>901090167</v>
      </c>
      <c r="B207" s="16" t="s">
        <v>337</v>
      </c>
      <c r="C207" s="16">
        <v>988591003</v>
      </c>
      <c r="D207" s="5"/>
      <c r="E207" s="71"/>
      <c r="F207" s="70" t="s">
        <v>12</v>
      </c>
    </row>
    <row r="208" spans="1:6" x14ac:dyDescent="0.3">
      <c r="A208" s="16">
        <v>1312053497</v>
      </c>
      <c r="B208" s="16" t="s">
        <v>1028</v>
      </c>
      <c r="C208" s="16">
        <v>960604327</v>
      </c>
      <c r="D208" s="5" t="s">
        <v>1125</v>
      </c>
      <c r="E208" s="71"/>
      <c r="F208" s="70" t="s">
        <v>12</v>
      </c>
    </row>
    <row r="209" spans="1:6" x14ac:dyDescent="0.3">
      <c r="A209" s="16">
        <v>2000054730</v>
      </c>
      <c r="B209" s="16" t="s">
        <v>350</v>
      </c>
      <c r="C209" s="16">
        <v>994075804</v>
      </c>
      <c r="D209" s="5" t="s">
        <v>1126</v>
      </c>
      <c r="E209" s="71"/>
      <c r="F209" s="70" t="s">
        <v>12</v>
      </c>
    </row>
    <row r="210" spans="1:6" x14ac:dyDescent="0.3">
      <c r="A210" s="16">
        <v>1715330948</v>
      </c>
      <c r="B210" s="16" t="s">
        <v>1029</v>
      </c>
      <c r="C210" s="16">
        <v>969054786</v>
      </c>
      <c r="D210" s="5" t="s">
        <v>1128</v>
      </c>
      <c r="E210" s="71"/>
      <c r="F210" s="70" t="s">
        <v>12</v>
      </c>
    </row>
    <row r="211" spans="1:6" x14ac:dyDescent="0.3">
      <c r="A211" s="16">
        <v>1315499424</v>
      </c>
      <c r="B211" s="16" t="s">
        <v>356</v>
      </c>
      <c r="C211" s="16">
        <v>958664774</v>
      </c>
      <c r="D211" s="5" t="s">
        <v>563</v>
      </c>
      <c r="E211" s="71"/>
      <c r="F211" s="70" t="s">
        <v>12</v>
      </c>
    </row>
    <row r="212" spans="1:6" x14ac:dyDescent="0.3">
      <c r="A212" s="16">
        <v>1756905087</v>
      </c>
      <c r="B212" s="16" t="s">
        <v>1030</v>
      </c>
      <c r="C212" s="16">
        <v>9985604677</v>
      </c>
      <c r="D212" s="5" t="s">
        <v>1129</v>
      </c>
      <c r="E212" s="71">
        <v>46242</v>
      </c>
      <c r="F212" s="70" t="s">
        <v>12</v>
      </c>
    </row>
    <row r="213" spans="1:6" x14ac:dyDescent="0.3">
      <c r="A213" s="26">
        <v>1727183731001</v>
      </c>
      <c r="B213" s="16" t="s">
        <v>1169</v>
      </c>
      <c r="C213" s="16">
        <v>992749429</v>
      </c>
      <c r="D213" s="5" t="s">
        <v>1179</v>
      </c>
      <c r="E213" s="71">
        <v>46049</v>
      </c>
      <c r="F213" s="70" t="s">
        <v>12</v>
      </c>
    </row>
    <row r="214" spans="1:6" x14ac:dyDescent="0.3">
      <c r="A214" s="16">
        <v>1717932964</v>
      </c>
      <c r="B214" s="16" t="s">
        <v>345</v>
      </c>
      <c r="C214" s="16">
        <v>995403522</v>
      </c>
      <c r="D214" s="5" t="s">
        <v>1180</v>
      </c>
      <c r="E214" s="71">
        <v>46219</v>
      </c>
      <c r="F214" s="70" t="s">
        <v>12</v>
      </c>
    </row>
    <row r="215" spans="1:6" x14ac:dyDescent="0.3">
      <c r="A215" s="16">
        <v>1722229901</v>
      </c>
      <c r="B215" s="16" t="s">
        <v>1034</v>
      </c>
      <c r="C215" s="16">
        <v>987100293</v>
      </c>
      <c r="D215" s="5" t="s">
        <v>1223</v>
      </c>
      <c r="E215" s="71"/>
      <c r="F215" s="70" t="s">
        <v>12</v>
      </c>
    </row>
    <row r="216" spans="1:6" x14ac:dyDescent="0.3">
      <c r="A216" s="16">
        <v>1705634895</v>
      </c>
      <c r="B216" s="16" t="s">
        <v>1035</v>
      </c>
      <c r="C216" s="16">
        <v>963259304</v>
      </c>
      <c r="D216" s="5" t="s">
        <v>1131</v>
      </c>
      <c r="E216" s="71">
        <v>46260</v>
      </c>
      <c r="F216" s="70" t="s">
        <v>12</v>
      </c>
    </row>
    <row r="217" spans="1:6" x14ac:dyDescent="0.3">
      <c r="A217" s="16">
        <v>1709047482</v>
      </c>
      <c r="B217" s="16" t="s">
        <v>378</v>
      </c>
      <c r="C217" s="16">
        <v>995066742</v>
      </c>
      <c r="D217" s="5" t="s">
        <v>591</v>
      </c>
      <c r="E217" s="71">
        <v>46040</v>
      </c>
      <c r="F217" s="70" t="s">
        <v>12</v>
      </c>
    </row>
    <row r="218" spans="1:6" x14ac:dyDescent="0.3">
      <c r="A218" s="16">
        <v>1723424790</v>
      </c>
      <c r="B218" s="16" t="s">
        <v>1036</v>
      </c>
      <c r="C218" s="16">
        <v>998142119</v>
      </c>
      <c r="D218" s="5" t="s">
        <v>1132</v>
      </c>
      <c r="E218" s="71">
        <v>46285</v>
      </c>
      <c r="F218" s="70" t="s">
        <v>12</v>
      </c>
    </row>
    <row r="219" spans="1:6" x14ac:dyDescent="0.3">
      <c r="A219" s="16">
        <v>105436180</v>
      </c>
      <c r="B219" s="16" t="s">
        <v>1037</v>
      </c>
      <c r="C219" s="16"/>
      <c r="D219" s="5" t="s">
        <v>1133</v>
      </c>
      <c r="E219" s="71"/>
      <c r="F219" s="16"/>
    </row>
    <row r="220" spans="1:6" x14ac:dyDescent="0.3">
      <c r="A220" s="16">
        <v>401094149</v>
      </c>
      <c r="B220" s="16" t="s">
        <v>1038</v>
      </c>
      <c r="C220" s="16">
        <v>997235655</v>
      </c>
      <c r="D220" s="5" t="s">
        <v>1181</v>
      </c>
      <c r="E220" s="71"/>
      <c r="F220" s="70" t="s">
        <v>12</v>
      </c>
    </row>
    <row r="221" spans="1:6" x14ac:dyDescent="0.3">
      <c r="A221" s="16">
        <v>800610388</v>
      </c>
      <c r="B221" s="16" t="s">
        <v>1039</v>
      </c>
      <c r="C221" s="16">
        <v>983514810</v>
      </c>
      <c r="D221" s="5" t="s">
        <v>1134</v>
      </c>
      <c r="E221" s="71"/>
      <c r="F221" s="16"/>
    </row>
    <row r="222" spans="1:6" x14ac:dyDescent="0.3">
      <c r="A222" s="16">
        <v>1719104265</v>
      </c>
      <c r="B222" s="16" t="s">
        <v>1040</v>
      </c>
      <c r="C222" s="16">
        <v>999203741</v>
      </c>
      <c r="D222" s="5" t="s">
        <v>1135</v>
      </c>
      <c r="E222" s="71"/>
      <c r="F222" s="70" t="s">
        <v>12</v>
      </c>
    </row>
    <row r="223" spans="1:6" x14ac:dyDescent="0.3">
      <c r="A223" s="16">
        <v>178812769</v>
      </c>
      <c r="B223" s="16" t="s">
        <v>1041</v>
      </c>
      <c r="C223" s="16">
        <v>987888482</v>
      </c>
      <c r="D223" s="5" t="s">
        <v>1136</v>
      </c>
      <c r="E223" s="71"/>
      <c r="F223" s="70" t="s">
        <v>12</v>
      </c>
    </row>
    <row r="224" spans="1:6" x14ac:dyDescent="0.3">
      <c r="A224" s="16">
        <v>915921720</v>
      </c>
      <c r="B224" s="16" t="s">
        <v>1042</v>
      </c>
      <c r="C224" s="16">
        <v>987520709</v>
      </c>
      <c r="D224" s="5" t="s">
        <v>1137</v>
      </c>
      <c r="E224" s="71"/>
      <c r="F224" s="70" t="s">
        <v>12</v>
      </c>
    </row>
    <row r="225" spans="1:6" x14ac:dyDescent="0.3">
      <c r="A225" s="16">
        <v>1700875436</v>
      </c>
      <c r="B225" s="16" t="s">
        <v>1170</v>
      </c>
      <c r="C225" s="16">
        <v>984119808</v>
      </c>
      <c r="D225" s="5" t="s">
        <v>1182</v>
      </c>
      <c r="E225" s="71"/>
      <c r="F225" s="70" t="s">
        <v>12</v>
      </c>
    </row>
    <row r="226" spans="1:6" x14ac:dyDescent="0.3">
      <c r="A226" s="16">
        <v>1707779961</v>
      </c>
      <c r="B226" s="16" t="s">
        <v>377</v>
      </c>
      <c r="C226" s="16">
        <v>999600900</v>
      </c>
      <c r="D226" s="5"/>
      <c r="E226" s="71"/>
      <c r="F226" s="70" t="s">
        <v>12</v>
      </c>
    </row>
    <row r="227" spans="1:6" x14ac:dyDescent="0.3">
      <c r="A227" s="16">
        <v>1714171715</v>
      </c>
      <c r="B227" s="16" t="s">
        <v>86</v>
      </c>
      <c r="C227" s="16">
        <v>994931496</v>
      </c>
      <c r="D227" s="5" t="s">
        <v>1138</v>
      </c>
      <c r="E227" s="71">
        <v>46262</v>
      </c>
      <c r="F227" s="16" t="s">
        <v>12</v>
      </c>
    </row>
    <row r="228" spans="1:6" x14ac:dyDescent="0.3">
      <c r="A228" s="16">
        <v>1714735311</v>
      </c>
      <c r="B228" s="16" t="s">
        <v>391</v>
      </c>
      <c r="C228" s="16">
        <v>987779851</v>
      </c>
      <c r="D228" s="5" t="s">
        <v>1183</v>
      </c>
      <c r="E228" s="71"/>
      <c r="F228" s="70" t="s">
        <v>12</v>
      </c>
    </row>
    <row r="229" spans="1:6" x14ac:dyDescent="0.3">
      <c r="A229" s="16">
        <v>1718764119</v>
      </c>
      <c r="B229" s="16" t="s">
        <v>1171</v>
      </c>
      <c r="C229" s="16">
        <v>999380328</v>
      </c>
      <c r="D229" s="5" t="s">
        <v>1184</v>
      </c>
      <c r="E229" s="71">
        <v>46106</v>
      </c>
      <c r="F229" s="70" t="s">
        <v>12</v>
      </c>
    </row>
    <row r="230" spans="1:6" x14ac:dyDescent="0.3">
      <c r="A230" s="16">
        <v>1712998218</v>
      </c>
      <c r="B230" s="16" t="s">
        <v>1187</v>
      </c>
      <c r="C230" s="16">
        <v>984305811</v>
      </c>
      <c r="D230" s="5" t="s">
        <v>1139</v>
      </c>
      <c r="E230" s="71"/>
      <c r="F230" s="70" t="s">
        <v>12</v>
      </c>
    </row>
    <row r="231" spans="1:6" x14ac:dyDescent="0.3">
      <c r="A231" s="16">
        <v>1105019077</v>
      </c>
      <c r="B231" s="16" t="s">
        <v>1224</v>
      </c>
      <c r="C231" s="16">
        <v>994409988</v>
      </c>
      <c r="D231" s="5" t="s">
        <v>1140</v>
      </c>
      <c r="E231" s="71"/>
      <c r="F231" s="70" t="s">
        <v>12</v>
      </c>
    </row>
    <row r="232" spans="1:6" x14ac:dyDescent="0.3">
      <c r="A232" s="16">
        <v>1753722759</v>
      </c>
      <c r="B232" s="16" t="s">
        <v>1046</v>
      </c>
      <c r="C232" s="16">
        <v>963530337</v>
      </c>
      <c r="D232" s="5" t="s">
        <v>1141</v>
      </c>
      <c r="E232" s="71"/>
      <c r="F232" s="70" t="s">
        <v>12</v>
      </c>
    </row>
    <row r="233" spans="1:6" x14ac:dyDescent="0.3">
      <c r="A233" s="16">
        <v>1720733904</v>
      </c>
      <c r="B233" s="16" t="s">
        <v>1204</v>
      </c>
      <c r="C233" s="16">
        <v>984581294</v>
      </c>
      <c r="D233" s="5" t="s">
        <v>1225</v>
      </c>
      <c r="E233" s="71"/>
      <c r="F233" s="70" t="s">
        <v>12</v>
      </c>
    </row>
    <row r="234" spans="1:6" x14ac:dyDescent="0.3">
      <c r="A234" s="16">
        <v>1721674586</v>
      </c>
      <c r="B234" s="16" t="s">
        <v>1047</v>
      </c>
      <c r="C234" s="16">
        <v>987531935</v>
      </c>
      <c r="D234" s="5" t="s">
        <v>1142</v>
      </c>
      <c r="E234" s="71"/>
      <c r="F234" s="70" t="s">
        <v>12</v>
      </c>
    </row>
    <row r="235" spans="1:6" x14ac:dyDescent="0.3">
      <c r="A235" s="16">
        <v>1725453078</v>
      </c>
      <c r="B235" s="16" t="s">
        <v>1048</v>
      </c>
      <c r="C235" s="16">
        <v>983380042</v>
      </c>
      <c r="D235" s="5" t="s">
        <v>1143</v>
      </c>
      <c r="E235" s="71"/>
      <c r="F235" s="70" t="s">
        <v>12</v>
      </c>
    </row>
    <row r="236" spans="1:6" x14ac:dyDescent="0.3">
      <c r="A236" s="16">
        <v>603374026</v>
      </c>
      <c r="B236" s="16" t="s">
        <v>1050</v>
      </c>
      <c r="C236" s="16">
        <v>987634514</v>
      </c>
      <c r="D236" s="5" t="s">
        <v>1145</v>
      </c>
      <c r="E236" s="71"/>
      <c r="F236" s="70" t="s">
        <v>12</v>
      </c>
    </row>
    <row r="237" spans="1:6" x14ac:dyDescent="0.3">
      <c r="A237" s="16">
        <v>1714644817</v>
      </c>
      <c r="B237" s="16" t="s">
        <v>1053</v>
      </c>
      <c r="C237" s="16">
        <v>995052916</v>
      </c>
      <c r="D237" s="5" t="s">
        <v>1147</v>
      </c>
      <c r="E237" s="71"/>
      <c r="F237" s="70" t="s">
        <v>12</v>
      </c>
    </row>
    <row r="238" spans="1:6" x14ac:dyDescent="0.3">
      <c r="A238" s="16">
        <v>603101049</v>
      </c>
      <c r="B238" s="16" t="s">
        <v>1054</v>
      </c>
      <c r="C238" s="16">
        <v>993382482</v>
      </c>
      <c r="D238" s="5" t="s">
        <v>1148</v>
      </c>
      <c r="E238" s="71"/>
      <c r="F238" s="70" t="s">
        <v>12</v>
      </c>
    </row>
    <row r="239" spans="1:6" x14ac:dyDescent="0.3">
      <c r="A239" s="16">
        <v>1713738308</v>
      </c>
      <c r="B239" s="16" t="s">
        <v>1172</v>
      </c>
      <c r="C239" s="16">
        <v>981904997</v>
      </c>
      <c r="D239" s="5" t="s">
        <v>1185</v>
      </c>
      <c r="E239" s="71"/>
      <c r="F239" s="70" t="s">
        <v>12</v>
      </c>
    </row>
    <row r="240" spans="1:6" x14ac:dyDescent="0.3">
      <c r="A240" s="16">
        <v>1715102925</v>
      </c>
      <c r="B240" s="16" t="s">
        <v>1056</v>
      </c>
      <c r="C240" s="16">
        <v>995209246</v>
      </c>
      <c r="D240" s="5" t="s">
        <v>1149</v>
      </c>
      <c r="E240" s="71"/>
      <c r="F240" s="70" t="s">
        <v>12</v>
      </c>
    </row>
    <row r="241" spans="1:6" x14ac:dyDescent="0.3">
      <c r="A241" s="16">
        <v>1714644817</v>
      </c>
      <c r="B241" s="16" t="s">
        <v>1057</v>
      </c>
      <c r="C241" s="16">
        <v>998743689</v>
      </c>
      <c r="D241" s="5" t="s">
        <v>1150</v>
      </c>
      <c r="E241" s="71"/>
      <c r="F241" s="70" t="s">
        <v>12</v>
      </c>
    </row>
    <row r="242" spans="1:6" x14ac:dyDescent="0.3">
      <c r="A242" s="16">
        <v>1715828305</v>
      </c>
      <c r="B242" s="16" t="s">
        <v>1058</v>
      </c>
      <c r="C242" s="16">
        <v>999973704</v>
      </c>
      <c r="D242" s="5" t="s">
        <v>1151</v>
      </c>
      <c r="E242" s="71"/>
      <c r="F242" s="16"/>
    </row>
    <row r="243" spans="1:6" x14ac:dyDescent="0.3">
      <c r="A243" s="16">
        <v>1715814479</v>
      </c>
      <c r="B243" s="16" t="s">
        <v>1059</v>
      </c>
      <c r="C243" s="16">
        <v>996037323</v>
      </c>
      <c r="D243" s="5" t="s">
        <v>1186</v>
      </c>
      <c r="E243" s="71"/>
      <c r="F243" s="70" t="s">
        <v>12</v>
      </c>
    </row>
    <row r="244" spans="1:6" x14ac:dyDescent="0.3">
      <c r="A244" s="16">
        <v>17645057</v>
      </c>
      <c r="B244" s="16" t="s">
        <v>1173</v>
      </c>
      <c r="C244" s="16"/>
      <c r="D244" s="5" t="s">
        <v>1152</v>
      </c>
      <c r="E244" s="71"/>
      <c r="F244" s="70" t="s">
        <v>12</v>
      </c>
    </row>
    <row r="245" spans="1:6" x14ac:dyDescent="0.3">
      <c r="A245" s="16">
        <v>1725936643</v>
      </c>
      <c r="B245" s="16" t="s">
        <v>1060</v>
      </c>
      <c r="C245" s="16">
        <v>984818064</v>
      </c>
      <c r="D245" s="5" t="s">
        <v>1153</v>
      </c>
      <c r="E245" s="71"/>
      <c r="F245" s="70" t="s">
        <v>12</v>
      </c>
    </row>
    <row r="246" spans="1:6" x14ac:dyDescent="0.3">
      <c r="A246" s="16">
        <v>1716566540</v>
      </c>
      <c r="B246" s="16" t="s">
        <v>163</v>
      </c>
      <c r="C246" s="16">
        <v>992581469</v>
      </c>
      <c r="D246" s="5" t="s">
        <v>1154</v>
      </c>
      <c r="E246" s="71"/>
      <c r="F246" s="70" t="s">
        <v>12</v>
      </c>
    </row>
    <row r="247" spans="1:6" x14ac:dyDescent="0.3">
      <c r="A247" s="16">
        <v>1758086027</v>
      </c>
      <c r="B247" s="16" t="s">
        <v>1061</v>
      </c>
      <c r="C247" s="16">
        <v>987516412</v>
      </c>
      <c r="D247" s="5" t="s">
        <v>1155</v>
      </c>
      <c r="E247" s="71"/>
      <c r="F247" s="70" t="s">
        <v>12</v>
      </c>
    </row>
    <row r="248" spans="1:6" x14ac:dyDescent="0.3">
      <c r="A248" s="16">
        <v>502338817</v>
      </c>
      <c r="B248" s="16" t="s">
        <v>1062</v>
      </c>
      <c r="C248" s="16">
        <v>995285590</v>
      </c>
      <c r="D248" s="5" t="s">
        <v>1156</v>
      </c>
      <c r="E248" s="71"/>
      <c r="F248" s="70" t="s">
        <v>12</v>
      </c>
    </row>
    <row r="249" spans="1:6" x14ac:dyDescent="0.3">
      <c r="A249" s="16">
        <v>1717255382</v>
      </c>
      <c r="B249" s="16" t="s">
        <v>1063</v>
      </c>
      <c r="C249" s="16">
        <v>986407003</v>
      </c>
      <c r="D249" s="5" t="s">
        <v>1157</v>
      </c>
      <c r="E249" s="71"/>
      <c r="F249" s="70" t="s">
        <v>12</v>
      </c>
    </row>
    <row r="250" spans="1:6" x14ac:dyDescent="0.3">
      <c r="A250" s="16">
        <v>1750946731</v>
      </c>
      <c r="B250" s="16" t="s">
        <v>1064</v>
      </c>
      <c r="C250" s="16">
        <v>987084344</v>
      </c>
      <c r="D250" s="5" t="s">
        <v>592</v>
      </c>
      <c r="E250" s="71"/>
      <c r="F250" s="70" t="s">
        <v>12</v>
      </c>
    </row>
    <row r="251" spans="1:6" x14ac:dyDescent="0.3">
      <c r="A251" s="16" t="s">
        <v>658</v>
      </c>
      <c r="B251" s="16" t="s">
        <v>1222</v>
      </c>
      <c r="C251" s="16">
        <v>998537257</v>
      </c>
      <c r="D251" s="5"/>
      <c r="E251" s="71"/>
      <c r="F251" s="70" t="s">
        <v>12</v>
      </c>
    </row>
    <row r="252" spans="1:6" x14ac:dyDescent="0.3">
      <c r="A252" s="16">
        <v>1716971575</v>
      </c>
      <c r="B252" s="16" t="s">
        <v>381</v>
      </c>
      <c r="C252" s="16">
        <v>984073409</v>
      </c>
      <c r="D252" s="5" t="s">
        <v>585</v>
      </c>
      <c r="E252" s="71"/>
      <c r="F252" s="70" t="s">
        <v>12</v>
      </c>
    </row>
    <row r="253" spans="1:6" x14ac:dyDescent="0.3">
      <c r="A253" s="16">
        <v>1721979662</v>
      </c>
      <c r="B253" s="16" t="s">
        <v>1065</v>
      </c>
      <c r="C253" s="16">
        <v>992694600</v>
      </c>
      <c r="D253" s="5" t="s">
        <v>1158</v>
      </c>
      <c r="E253" s="71"/>
      <c r="F253" s="70" t="s">
        <v>12</v>
      </c>
    </row>
    <row r="254" spans="1:6" x14ac:dyDescent="0.3">
      <c r="A254" s="16">
        <v>1718758343</v>
      </c>
      <c r="B254" s="16" t="s">
        <v>1066</v>
      </c>
      <c r="C254" s="16">
        <v>984113511</v>
      </c>
      <c r="D254" s="5" t="s">
        <v>1159</v>
      </c>
      <c r="E254" s="71"/>
      <c r="F254" s="70" t="s">
        <v>12</v>
      </c>
    </row>
    <row r="255" spans="1:6" x14ac:dyDescent="0.3">
      <c r="A255" s="16">
        <v>1714635560</v>
      </c>
      <c r="B255" s="16" t="s">
        <v>1068</v>
      </c>
      <c r="C255" s="16">
        <v>999034840</v>
      </c>
      <c r="D255" s="5" t="s">
        <v>1160</v>
      </c>
      <c r="E255" s="71"/>
      <c r="F255" s="16"/>
    </row>
    <row r="256" spans="1:6" x14ac:dyDescent="0.3">
      <c r="A256" s="16">
        <v>1721903381</v>
      </c>
      <c r="B256" s="16" t="s">
        <v>1069</v>
      </c>
      <c r="C256" s="16">
        <v>984934034</v>
      </c>
      <c r="D256" s="5" t="s">
        <v>1161</v>
      </c>
      <c r="E256" s="71"/>
      <c r="F256" s="70" t="s">
        <v>12</v>
      </c>
    </row>
    <row r="257" spans="1:6" x14ac:dyDescent="0.3">
      <c r="A257" s="16">
        <v>1724821119</v>
      </c>
      <c r="B257" s="16" t="s">
        <v>1070</v>
      </c>
      <c r="C257" s="16">
        <v>963090468</v>
      </c>
      <c r="D257" s="5" t="s">
        <v>1162</v>
      </c>
      <c r="E257" s="71"/>
      <c r="F257" s="70" t="s">
        <v>12</v>
      </c>
    </row>
    <row r="258" spans="1:6" x14ac:dyDescent="0.3">
      <c r="A258" s="16" t="s">
        <v>658</v>
      </c>
      <c r="B258" s="16" t="s">
        <v>1071</v>
      </c>
      <c r="C258" s="16">
        <v>963866464</v>
      </c>
      <c r="D258" s="5" t="s">
        <v>1163</v>
      </c>
      <c r="E258" s="71"/>
      <c r="F258" s="70" t="s">
        <v>12</v>
      </c>
    </row>
    <row r="259" spans="1:6" x14ac:dyDescent="0.3">
      <c r="A259" s="16">
        <v>1713758308</v>
      </c>
      <c r="B259" s="16" t="s">
        <v>1072</v>
      </c>
      <c r="C259" s="16">
        <v>981904997</v>
      </c>
      <c r="D259" s="5" t="s">
        <v>1164</v>
      </c>
      <c r="E259" s="71"/>
      <c r="F259" s="16"/>
    </row>
    <row r="260" spans="1:6" x14ac:dyDescent="0.3">
      <c r="A260" s="16">
        <v>1726528696</v>
      </c>
      <c r="B260" s="16" t="s">
        <v>1226</v>
      </c>
      <c r="C260" s="16">
        <v>969631896</v>
      </c>
      <c r="D260" s="5" t="s">
        <v>1165</v>
      </c>
      <c r="E260" s="71"/>
      <c r="F260" s="70" t="s">
        <v>12</v>
      </c>
    </row>
    <row r="261" spans="1:6" x14ac:dyDescent="0.3">
      <c r="A261" s="16">
        <v>1722211792</v>
      </c>
      <c r="B261" s="16" t="s">
        <v>255</v>
      </c>
      <c r="C261" s="16">
        <v>984044040</v>
      </c>
      <c r="D261" s="5" t="s">
        <v>476</v>
      </c>
      <c r="E261" s="71"/>
      <c r="F261" s="70" t="s">
        <v>12</v>
      </c>
    </row>
    <row r="262" spans="1:6" x14ac:dyDescent="0.3">
      <c r="A262" s="16">
        <v>1704815479</v>
      </c>
      <c r="B262" s="16" t="s">
        <v>1074</v>
      </c>
      <c r="C262" s="16">
        <v>983325222</v>
      </c>
      <c r="D262" s="5" t="s">
        <v>1167</v>
      </c>
      <c r="E262" s="71"/>
      <c r="F262" s="70" t="s">
        <v>12</v>
      </c>
    </row>
    <row r="263" spans="1:6" x14ac:dyDescent="0.3">
      <c r="A263" s="16">
        <v>1721921136</v>
      </c>
      <c r="B263" s="16" t="s">
        <v>1075</v>
      </c>
      <c r="C263" s="16">
        <v>989755833</v>
      </c>
      <c r="D263" s="5" t="s">
        <v>1168</v>
      </c>
      <c r="E263" s="71"/>
      <c r="F263" s="70" t="s">
        <v>12</v>
      </c>
    </row>
    <row r="264" spans="1:6" x14ac:dyDescent="0.3">
      <c r="A264" s="16">
        <v>1708634033</v>
      </c>
      <c r="B264" s="16" t="s">
        <v>341</v>
      </c>
      <c r="C264" s="16">
        <v>982347887</v>
      </c>
      <c r="D264" s="5" t="s">
        <v>549</v>
      </c>
      <c r="E264" s="71"/>
      <c r="F264" s="70" t="s">
        <v>12</v>
      </c>
    </row>
    <row r="265" spans="1:6" x14ac:dyDescent="0.3">
      <c r="A265" s="26">
        <v>1727183731001</v>
      </c>
      <c r="B265" s="16" t="s">
        <v>1032</v>
      </c>
      <c r="C265" s="16">
        <v>992749429</v>
      </c>
      <c r="D265" s="5" t="s">
        <v>1130</v>
      </c>
      <c r="E265" s="71">
        <v>46049</v>
      </c>
      <c r="F265" s="70" t="s">
        <v>12</v>
      </c>
    </row>
    <row r="266" spans="1:6" x14ac:dyDescent="0.3">
      <c r="A266" s="26">
        <v>1727183731001</v>
      </c>
      <c r="B266" s="16" t="s">
        <v>1033</v>
      </c>
      <c r="C266" s="16">
        <v>992749429</v>
      </c>
      <c r="D266" s="5" t="s">
        <v>1130</v>
      </c>
      <c r="E266" s="71">
        <v>46299</v>
      </c>
      <c r="F266" s="70" t="s">
        <v>12</v>
      </c>
    </row>
    <row r="267" spans="1:6" x14ac:dyDescent="0.3">
      <c r="A267" s="16">
        <v>604251843</v>
      </c>
      <c r="B267" s="16" t="s">
        <v>1049</v>
      </c>
      <c r="C267" s="16">
        <v>98756508</v>
      </c>
      <c r="D267" s="5" t="s">
        <v>1144</v>
      </c>
      <c r="E267" s="71"/>
      <c r="F267" s="70" t="s">
        <v>12</v>
      </c>
    </row>
    <row r="268" spans="1:6" x14ac:dyDescent="0.3">
      <c r="A268" s="16">
        <v>1716997018</v>
      </c>
      <c r="B268" s="16" t="s">
        <v>1052</v>
      </c>
      <c r="C268" s="16">
        <v>983373023</v>
      </c>
      <c r="D268" s="5" t="s">
        <v>1146</v>
      </c>
      <c r="E268" s="71"/>
      <c r="F268" s="70" t="s">
        <v>12</v>
      </c>
    </row>
    <row r="269" spans="1:6" x14ac:dyDescent="0.3">
      <c r="A269" s="16">
        <v>1719430991</v>
      </c>
      <c r="B269" s="16" t="s">
        <v>1073</v>
      </c>
      <c r="C269" s="16">
        <v>998950453</v>
      </c>
      <c r="D269" s="5" t="s">
        <v>1166</v>
      </c>
      <c r="E269" s="71"/>
      <c r="F269" s="70" t="s">
        <v>12</v>
      </c>
    </row>
  </sheetData>
  <autoFilter ref="A2:F269" xr:uid="{00000000-0009-0000-0000-000002000000}"/>
  <mergeCells count="1">
    <mergeCell ref="A1:F1"/>
  </mergeCells>
  <hyperlinks>
    <hyperlink ref="D115" r:id="rId1" xr:uid="{00000000-0004-0000-0200-000000000000}"/>
    <hyperlink ref="D197" r:id="rId2" xr:uid="{00000000-0004-0000-0200-000001000000}"/>
    <hyperlink ref="D91" r:id="rId3" xr:uid="{00000000-0004-0000-0200-000002000000}"/>
    <hyperlink ref="D84" r:id="rId4" xr:uid="{00000000-0004-0000-0200-000003000000}"/>
    <hyperlink ref="D174" r:id="rId5" xr:uid="{00000000-0004-0000-0200-000004000000}"/>
    <hyperlink ref="D76" r:id="rId6" xr:uid="{00000000-0004-0000-0200-000005000000}"/>
    <hyperlink ref="D77" r:id="rId7" xr:uid="{00000000-0004-0000-0200-000006000000}"/>
    <hyperlink ref="D130" r:id="rId8" xr:uid="{00000000-0004-0000-0200-000007000000}"/>
    <hyperlink ref="D16" r:id="rId9" xr:uid="{00000000-0004-0000-0200-000008000000}"/>
    <hyperlink ref="D205" r:id="rId10" xr:uid="{00000000-0004-0000-0200-000009000000}"/>
    <hyperlink ref="D80" r:id="rId11" xr:uid="{00000000-0004-0000-0200-00000A000000}"/>
    <hyperlink ref="D193" r:id="rId12" xr:uid="{00000000-0004-0000-0200-00000B000000}"/>
    <hyperlink ref="D94" r:id="rId13" xr:uid="{00000000-0004-0000-0200-00000C000000}"/>
    <hyperlink ref="D158" r:id="rId14" xr:uid="{00000000-0004-0000-0200-00000D000000}"/>
    <hyperlink ref="D136" r:id="rId15" xr:uid="{00000000-0004-0000-0200-00000E000000}"/>
    <hyperlink ref="D114" r:id="rId16" xr:uid="{00000000-0004-0000-0200-00000F000000}"/>
    <hyperlink ref="D5" r:id="rId17" xr:uid="{00000000-0004-0000-0200-000010000000}"/>
    <hyperlink ref="D4" r:id="rId18" display="maria.chicaiza1928@hotmail.com" xr:uid="{00000000-0004-0000-0200-000011000000}"/>
    <hyperlink ref="D152" r:id="rId19" xr:uid="{00000000-0004-0000-0200-000012000000}"/>
    <hyperlink ref="D89" r:id="rId20" xr:uid="{00000000-0004-0000-0200-000013000000}"/>
    <hyperlink ref="D172" r:id="rId21" xr:uid="{00000000-0004-0000-0200-000014000000}"/>
    <hyperlink ref="D192" r:id="rId22" xr:uid="{00000000-0004-0000-0200-000015000000}"/>
    <hyperlink ref="D175" r:id="rId23" xr:uid="{00000000-0004-0000-0200-000016000000}"/>
    <hyperlink ref="D74" r:id="rId24" xr:uid="{00000000-0004-0000-0200-000017000000}"/>
    <hyperlink ref="D112" r:id="rId25" xr:uid="{00000000-0004-0000-0200-000018000000}"/>
    <hyperlink ref="D142" r:id="rId26" display="mariana_2192@hotmail.com" xr:uid="{00000000-0004-0000-0200-000019000000}"/>
    <hyperlink ref="D113" r:id="rId27" xr:uid="{00000000-0004-0000-0200-00001A000000}"/>
    <hyperlink ref="D33" r:id="rId28" xr:uid="{00000000-0004-0000-0200-00001B000000}"/>
    <hyperlink ref="D34" r:id="rId29" xr:uid="{00000000-0004-0000-0200-00001C000000}"/>
    <hyperlink ref="D30" r:id="rId30" xr:uid="{00000000-0004-0000-0200-00001D000000}"/>
    <hyperlink ref="D125" r:id="rId31" xr:uid="{00000000-0004-0000-0200-00001E000000}"/>
    <hyperlink ref="D64" r:id="rId32" xr:uid="{00000000-0004-0000-0200-00001F000000}"/>
    <hyperlink ref="D50" r:id="rId33" xr:uid="{00000000-0004-0000-0200-000020000000}"/>
    <hyperlink ref="D131" r:id="rId34" xr:uid="{00000000-0004-0000-0200-000021000000}"/>
    <hyperlink ref="D177" r:id="rId35" xr:uid="{00000000-0004-0000-0200-000022000000}"/>
    <hyperlink ref="D13" r:id="rId36" xr:uid="{00000000-0004-0000-0200-000023000000}"/>
    <hyperlink ref="D171" r:id="rId37" xr:uid="{00000000-0004-0000-0200-000024000000}"/>
    <hyperlink ref="D105" r:id="rId38" xr:uid="{00000000-0004-0000-0200-000025000000}"/>
    <hyperlink ref="D118" r:id="rId39" xr:uid="{00000000-0004-0000-0200-000026000000}"/>
    <hyperlink ref="D73" r:id="rId40" xr:uid="{00000000-0004-0000-0200-000027000000}"/>
    <hyperlink ref="D170" r:id="rId41" xr:uid="{00000000-0004-0000-0200-000028000000}"/>
    <hyperlink ref="D119" r:id="rId42" xr:uid="{00000000-0004-0000-0200-000029000000}"/>
    <hyperlink ref="D185" r:id="rId43" xr:uid="{00000000-0004-0000-0200-00002A000000}"/>
    <hyperlink ref="D144" r:id="rId44" xr:uid="{00000000-0004-0000-0200-00002B000000}"/>
    <hyperlink ref="D92" r:id="rId45" xr:uid="{00000000-0004-0000-0200-00002C000000}"/>
    <hyperlink ref="D178" r:id="rId46" xr:uid="{00000000-0004-0000-0200-00002D000000}"/>
    <hyperlink ref="D93" r:id="rId47" xr:uid="{00000000-0004-0000-0200-00002E000000}"/>
    <hyperlink ref="D54" r:id="rId48" xr:uid="{00000000-0004-0000-0200-00002F000000}"/>
    <hyperlink ref="D134" r:id="rId49" xr:uid="{00000000-0004-0000-0200-000030000000}"/>
    <hyperlink ref="D180" r:id="rId50" xr:uid="{00000000-0004-0000-0200-000031000000}"/>
    <hyperlink ref="D48" r:id="rId51" xr:uid="{00000000-0004-0000-0200-000032000000}"/>
    <hyperlink ref="D181" r:id="rId52" xr:uid="{00000000-0004-0000-0200-000033000000}"/>
    <hyperlink ref="D191" r:id="rId53" xr:uid="{00000000-0004-0000-0200-000034000000}"/>
    <hyperlink ref="D45" r:id="rId54" xr:uid="{00000000-0004-0000-0200-000035000000}"/>
    <hyperlink ref="D41" r:id="rId55" xr:uid="{00000000-0004-0000-0200-000036000000}"/>
    <hyperlink ref="D51" r:id="rId56" xr:uid="{00000000-0004-0000-0200-000037000000}"/>
    <hyperlink ref="D98" r:id="rId57" xr:uid="{00000000-0004-0000-0200-000038000000}"/>
    <hyperlink ref="D83" r:id="rId58" xr:uid="{00000000-0004-0000-0200-000039000000}"/>
    <hyperlink ref="D95" r:id="rId59" display="ximeteran@hotmail.com" xr:uid="{00000000-0004-0000-0200-00003A000000}"/>
    <hyperlink ref="D156" r:id="rId60" xr:uid="{00000000-0004-0000-0200-00003B000000}"/>
    <hyperlink ref="D70" r:id="rId61" xr:uid="{00000000-0004-0000-0200-00003C000000}"/>
    <hyperlink ref="D71" r:id="rId62" xr:uid="{00000000-0004-0000-0200-00003D000000}"/>
    <hyperlink ref="D157" r:id="rId63" xr:uid="{00000000-0004-0000-0200-00003E000000}"/>
    <hyperlink ref="D154" r:id="rId64" xr:uid="{00000000-0004-0000-0200-00003F000000}"/>
    <hyperlink ref="D99" r:id="rId65" xr:uid="{00000000-0004-0000-0200-000040000000}"/>
    <hyperlink ref="D137" r:id="rId66" xr:uid="{00000000-0004-0000-0200-000041000000}"/>
    <hyperlink ref="D66" r:id="rId67" xr:uid="{00000000-0004-0000-0200-000042000000}"/>
    <hyperlink ref="D110" r:id="rId68" xr:uid="{00000000-0004-0000-0200-000043000000}"/>
    <hyperlink ref="D173" r:id="rId69" xr:uid="{00000000-0004-0000-0200-000044000000}"/>
    <hyperlink ref="D155" r:id="rId70" xr:uid="{00000000-0004-0000-0200-000045000000}"/>
    <hyperlink ref="D159" r:id="rId71" xr:uid="{00000000-0004-0000-0200-000046000000}"/>
    <hyperlink ref="D163" r:id="rId72" xr:uid="{00000000-0004-0000-0200-000047000000}"/>
    <hyperlink ref="D189" r:id="rId73" xr:uid="{00000000-0004-0000-0200-000048000000}"/>
    <hyperlink ref="D196" r:id="rId74" xr:uid="{00000000-0004-0000-0200-000049000000}"/>
    <hyperlink ref="D167" r:id="rId75" xr:uid="{00000000-0004-0000-0200-00004A000000}"/>
    <hyperlink ref="D40" r:id="rId76" xr:uid="{00000000-0004-0000-0200-00004B000000}"/>
    <hyperlink ref="D37" r:id="rId77" xr:uid="{00000000-0004-0000-0200-00004C000000}"/>
    <hyperlink ref="D19" r:id="rId78" xr:uid="{00000000-0004-0000-0200-00004D000000}"/>
    <hyperlink ref="D67" r:id="rId79" xr:uid="{00000000-0004-0000-0200-00004E000000}"/>
    <hyperlink ref="D87" r:id="rId80" xr:uid="{00000000-0004-0000-0200-00004F000000}"/>
    <hyperlink ref="D184" r:id="rId81" xr:uid="{00000000-0004-0000-0200-000050000000}"/>
    <hyperlink ref="D46" r:id="rId82" xr:uid="{00000000-0004-0000-0200-000051000000}"/>
    <hyperlink ref="D58" r:id="rId83" xr:uid="{00000000-0004-0000-0200-000052000000}"/>
    <hyperlink ref="D139" r:id="rId84" xr:uid="{00000000-0004-0000-0200-000053000000}"/>
    <hyperlink ref="D121" r:id="rId85" xr:uid="{00000000-0004-0000-0200-000054000000}"/>
    <hyperlink ref="D103" r:id="rId86" xr:uid="{00000000-0004-0000-0200-000055000000}"/>
    <hyperlink ref="D120" r:id="rId87" xr:uid="{00000000-0004-0000-0200-000056000000}"/>
    <hyperlink ref="D116" r:id="rId88" xr:uid="{00000000-0004-0000-0200-000057000000}"/>
    <hyperlink ref="D96" r:id="rId89" xr:uid="{00000000-0004-0000-0200-000058000000}"/>
    <hyperlink ref="D122" r:id="rId90" xr:uid="{00000000-0004-0000-0200-000059000000}"/>
    <hyperlink ref="D129" r:id="rId91" xr:uid="{00000000-0004-0000-0200-00005A000000}"/>
    <hyperlink ref="D42" r:id="rId92" xr:uid="{00000000-0004-0000-0200-00005B000000}"/>
    <hyperlink ref="D49" r:id="rId93" xr:uid="{00000000-0004-0000-0200-00005C000000}"/>
    <hyperlink ref="D12" r:id="rId94" xr:uid="{00000000-0004-0000-0200-00005D000000}"/>
    <hyperlink ref="D18" r:id="rId95" xr:uid="{00000000-0004-0000-0200-00005E000000}"/>
    <hyperlink ref="D143" r:id="rId96" xr:uid="{00000000-0004-0000-0200-00005F000000}"/>
    <hyperlink ref="D200" r:id="rId97" xr:uid="{00000000-0004-0000-0200-000060000000}"/>
    <hyperlink ref="D201" r:id="rId98" xr:uid="{00000000-0004-0000-0200-000061000000}"/>
    <hyperlink ref="D3" r:id="rId99" xr:uid="{00000000-0004-0000-0200-000062000000}"/>
    <hyperlink ref="D81" r:id="rId100" xr:uid="{00000000-0004-0000-0200-000063000000}"/>
    <hyperlink ref="D128" r:id="rId101" xr:uid="{00000000-0004-0000-0200-000064000000}"/>
    <hyperlink ref="D85" r:id="rId102" xr:uid="{00000000-0004-0000-0200-000065000000}"/>
    <hyperlink ref="D97" r:id="rId103" xr:uid="{00000000-0004-0000-0200-000066000000}"/>
    <hyperlink ref="D20" r:id="rId104" xr:uid="{00000000-0004-0000-0200-000067000000}"/>
    <hyperlink ref="D165" r:id="rId105" xr:uid="{00000000-0004-0000-0200-000068000000}"/>
    <hyperlink ref="D199" r:id="rId106" xr:uid="{00000000-0004-0000-0200-000069000000}"/>
    <hyperlink ref="D26" r:id="rId107" xr:uid="{00000000-0004-0000-0200-00006A000000}"/>
    <hyperlink ref="D56" r:id="rId108" xr:uid="{00000000-0004-0000-0200-00006B000000}"/>
    <hyperlink ref="D7" r:id="rId109" xr:uid="{00000000-0004-0000-0200-00006C000000}"/>
    <hyperlink ref="D206" r:id="rId110" xr:uid="{00000000-0004-0000-0200-00006D000000}"/>
    <hyperlink ref="D14" r:id="rId111" xr:uid="{00000000-0004-0000-0200-00006E000000}"/>
    <hyperlink ref="D90" r:id="rId112" xr:uid="{00000000-0004-0000-0200-00006F000000}"/>
    <hyperlink ref="D161" r:id="rId113" xr:uid="{00000000-0004-0000-0200-000070000000}"/>
    <hyperlink ref="D195" r:id="rId114" xr:uid="{00000000-0004-0000-0200-000071000000}"/>
    <hyperlink ref="D6" r:id="rId115" xr:uid="{00000000-0004-0000-0200-000072000000}"/>
    <hyperlink ref="D160" r:id="rId116" xr:uid="{00000000-0004-0000-0200-000073000000}"/>
    <hyperlink ref="D25" r:id="rId117" xr:uid="{00000000-0004-0000-0200-000074000000}"/>
    <hyperlink ref="D135" r:id="rId118" xr:uid="{00000000-0004-0000-0200-000075000000}"/>
    <hyperlink ref="D145" r:id="rId119" xr:uid="{00000000-0004-0000-0200-000076000000}"/>
    <hyperlink ref="D65" r:id="rId120" xr:uid="{00000000-0004-0000-0200-000077000000}"/>
    <hyperlink ref="D111" r:id="rId121" xr:uid="{00000000-0004-0000-0200-000078000000}"/>
    <hyperlink ref="D35" r:id="rId122" xr:uid="{00000000-0004-0000-0200-000079000000}"/>
    <hyperlink ref="D169" r:id="rId123" display="veronicaachi17@outlook.es" xr:uid="{00000000-0004-0000-0200-00007A000000}"/>
    <hyperlink ref="D21" r:id="rId124" xr:uid="{00000000-0004-0000-0200-00007B000000}"/>
    <hyperlink ref="D36" r:id="rId125" xr:uid="{00000000-0004-0000-0200-00007C000000}"/>
    <hyperlink ref="D190" r:id="rId126" xr:uid="{00000000-0004-0000-0200-00007D000000}"/>
    <hyperlink ref="D17" r:id="rId127" xr:uid="{00000000-0004-0000-0200-00007E000000}"/>
    <hyperlink ref="D82" r:id="rId128" xr:uid="{00000000-0004-0000-0200-00007F000000}"/>
    <hyperlink ref="D162" r:id="rId129" xr:uid="{00000000-0004-0000-0200-000080000000}"/>
    <hyperlink ref="D194" r:id="rId130" xr:uid="{00000000-0004-0000-0200-000081000000}"/>
    <hyperlink ref="D43" r:id="rId131" xr:uid="{00000000-0004-0000-0200-000082000000}"/>
    <hyperlink ref="D203" r:id="rId132" xr:uid="{00000000-0004-0000-0200-000083000000}"/>
    <hyperlink ref="D62" r:id="rId133" xr:uid="{00000000-0004-0000-0200-000084000000}"/>
    <hyperlink ref="D186" r:id="rId134" xr:uid="{00000000-0004-0000-0200-000085000000}"/>
    <hyperlink ref="D126" r:id="rId135" xr:uid="{00000000-0004-0000-0200-000086000000}"/>
    <hyperlink ref="D60" r:id="rId136" xr:uid="{00000000-0004-0000-0200-000087000000}"/>
    <hyperlink ref="D15" r:id="rId137" xr:uid="{00000000-0004-0000-0200-000088000000}"/>
    <hyperlink ref="D187" r:id="rId138" xr:uid="{00000000-0004-0000-0200-000089000000}"/>
    <hyperlink ref="D164" r:id="rId139" xr:uid="{00000000-0004-0000-0200-00008A000000}"/>
    <hyperlink ref="D179" r:id="rId140" xr:uid="{00000000-0004-0000-0200-00008B000000}"/>
    <hyperlink ref="D68" r:id="rId141" xr:uid="{00000000-0004-0000-0200-00008C000000}"/>
    <hyperlink ref="D141" r:id="rId142" xr:uid="{00000000-0004-0000-0200-00008D000000}"/>
    <hyperlink ref="D202" r:id="rId143" xr:uid="{00000000-0004-0000-0200-00008E000000}"/>
    <hyperlink ref="D72" r:id="rId144" xr:uid="{00000000-0004-0000-0200-00008F000000}"/>
    <hyperlink ref="D138" r:id="rId145" xr:uid="{00000000-0004-0000-0200-000090000000}"/>
    <hyperlink ref="D166" r:id="rId146" xr:uid="{00000000-0004-0000-0200-000091000000}"/>
    <hyperlink ref="D183" r:id="rId147" xr:uid="{00000000-0004-0000-0200-000092000000}"/>
    <hyperlink ref="D11" r:id="rId148" xr:uid="{00000000-0004-0000-0200-000093000000}"/>
    <hyperlink ref="D264" r:id="rId149" xr:uid="{00000000-0004-0000-0200-000094000000}"/>
    <hyperlink ref="D266" r:id="rId150" xr:uid="{00000000-0004-0000-0200-000095000000}"/>
    <hyperlink ref="D267" r:id="rId151" xr:uid="{00000000-0004-0000-0200-000096000000}"/>
    <hyperlink ref="D268" r:id="rId152" xr:uid="{00000000-0004-0000-0200-000097000000}"/>
    <hyperlink ref="D269" r:id="rId153" xr:uid="{00000000-0004-0000-0200-000098000000}"/>
    <hyperlink ref="D208" r:id="rId154" xr:uid="{00000000-0004-0000-0200-000099000000}"/>
    <hyperlink ref="D209" r:id="rId155" xr:uid="{00000000-0004-0000-0200-00009A000000}"/>
    <hyperlink ref="D211" r:id="rId156" xr:uid="{00000000-0004-0000-0200-00009B000000}"/>
    <hyperlink ref="D212" r:id="rId157" xr:uid="{00000000-0004-0000-0200-00009C000000}"/>
    <hyperlink ref="D213" r:id="rId158" xr:uid="{00000000-0004-0000-0200-00009D000000}"/>
    <hyperlink ref="D214" r:id="rId159" xr:uid="{00000000-0004-0000-0200-00009E000000}"/>
    <hyperlink ref="D216" r:id="rId160" xr:uid="{00000000-0004-0000-0200-00009F000000}"/>
    <hyperlink ref="D215" r:id="rId161" display="nrsantamaria7@gmail.com" xr:uid="{00000000-0004-0000-0200-0000A0000000}"/>
    <hyperlink ref="D218" r:id="rId162" display="glunanarvaez@gmail.com" xr:uid="{00000000-0004-0000-0200-0000A1000000}"/>
    <hyperlink ref="D219" r:id="rId163" xr:uid="{00000000-0004-0000-0200-0000A2000000}"/>
    <hyperlink ref="D221" r:id="rId164" xr:uid="{00000000-0004-0000-0200-0000A3000000}"/>
    <hyperlink ref="D222" r:id="rId165" xr:uid="{00000000-0004-0000-0200-0000A4000000}"/>
    <hyperlink ref="D223" r:id="rId166" xr:uid="{00000000-0004-0000-0200-0000A5000000}"/>
    <hyperlink ref="D224" r:id="rId167" xr:uid="{00000000-0004-0000-0200-0000A6000000}"/>
    <hyperlink ref="D227" r:id="rId168" xr:uid="{00000000-0004-0000-0200-0000A7000000}"/>
    <hyperlink ref="D228" r:id="rId169" xr:uid="{00000000-0004-0000-0200-0000A8000000}"/>
    <hyperlink ref="D231" r:id="rId170" display="contabilidad@brenaluniformes.com" xr:uid="{00000000-0004-0000-0200-0000A9000000}"/>
    <hyperlink ref="D233" r:id="rId171" display="bastidas_acosta_maria@hotmail.com" xr:uid="{00000000-0004-0000-0200-0000AA000000}"/>
    <hyperlink ref="D234" r:id="rId172" xr:uid="{00000000-0004-0000-0200-0000AB000000}"/>
    <hyperlink ref="D235" r:id="rId173" xr:uid="{00000000-0004-0000-0200-0000AC000000}"/>
    <hyperlink ref="D236" r:id="rId174" xr:uid="{00000000-0004-0000-0200-0000AD000000}"/>
    <hyperlink ref="D237" r:id="rId175" xr:uid="{00000000-0004-0000-0200-0000AE000000}"/>
    <hyperlink ref="D238" r:id="rId176" xr:uid="{00000000-0004-0000-0200-0000AF000000}"/>
    <hyperlink ref="D241" r:id="rId177" xr:uid="{00000000-0004-0000-0200-0000B0000000}"/>
    <hyperlink ref="D244" r:id="rId178" xr:uid="{00000000-0004-0000-0200-0000B1000000}"/>
    <hyperlink ref="D246" r:id="rId179" xr:uid="{00000000-0004-0000-0200-0000B2000000}"/>
    <hyperlink ref="D247" r:id="rId180" xr:uid="{00000000-0004-0000-0200-0000B3000000}"/>
    <hyperlink ref="D248" r:id="rId181" xr:uid="{00000000-0004-0000-0200-0000B4000000}"/>
    <hyperlink ref="D249" r:id="rId182" xr:uid="{00000000-0004-0000-0200-0000B5000000}"/>
    <hyperlink ref="D253" r:id="rId183" xr:uid="{00000000-0004-0000-0200-0000B6000000}"/>
    <hyperlink ref="D254" r:id="rId184" xr:uid="{00000000-0004-0000-0200-0000B7000000}"/>
    <hyperlink ref="D255" r:id="rId185" xr:uid="{00000000-0004-0000-0200-0000B8000000}"/>
    <hyperlink ref="D256" r:id="rId186" xr:uid="{00000000-0004-0000-0200-0000B9000000}"/>
    <hyperlink ref="D257" r:id="rId187" xr:uid="{00000000-0004-0000-0200-0000BA000000}"/>
    <hyperlink ref="D258" r:id="rId188" xr:uid="{00000000-0004-0000-0200-0000BB000000}"/>
    <hyperlink ref="D259" r:id="rId189" xr:uid="{00000000-0004-0000-0200-0000BC000000}"/>
    <hyperlink ref="D260" r:id="rId190" xr:uid="{00000000-0004-0000-0200-0000BD000000}"/>
    <hyperlink ref="D262" r:id="rId191" xr:uid="{00000000-0004-0000-0200-0000BE000000}"/>
    <hyperlink ref="D263" r:id="rId192" xr:uid="{00000000-0004-0000-0200-0000BF000000}"/>
    <hyperlink ref="D250" r:id="rId193" xr:uid="{00000000-0004-0000-0200-0000C0000000}"/>
    <hyperlink ref="D252" r:id="rId194" xr:uid="{00000000-0004-0000-0200-0000C1000000}"/>
    <hyperlink ref="D242" r:id="rId195" xr:uid="{00000000-0004-0000-0200-0000C2000000}"/>
    <hyperlink ref="D140" r:id="rId196" xr:uid="{00000000-0004-0000-0200-0000C3000000}"/>
  </hyperlinks>
  <pageMargins left="0.75" right="0.75" top="1" bottom="1" header="0.5" footer="0.5"/>
  <pageSetup orientation="portrait" r:id="rId1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M1243"/>
  <sheetViews>
    <sheetView topLeftCell="A2" zoomScale="80" zoomScaleNormal="80" workbookViewId="0">
      <pane ySplit="1" topLeftCell="A968" activePane="bottomLeft" state="frozen"/>
      <selection activeCell="A2" sqref="A2"/>
      <selection pane="bottomLeft" activeCell="B901" sqref="B901"/>
    </sheetView>
  </sheetViews>
  <sheetFormatPr baseColWidth="10" defaultColWidth="9.140625" defaultRowHeight="17.25" x14ac:dyDescent="0.3"/>
  <cols>
    <col min="1" max="1" width="20.5703125" style="87" bestFit="1" customWidth="1"/>
    <col min="2" max="2" width="33.85546875" style="87" bestFit="1" customWidth="1"/>
    <col min="3" max="3" width="14.7109375" style="87" customWidth="1"/>
    <col min="4" max="4" width="82.42578125" style="87" bestFit="1" customWidth="1"/>
    <col min="5" max="5" width="15" style="87" customWidth="1"/>
    <col min="6" max="6" width="24" style="87" customWidth="1"/>
    <col min="7" max="7" width="16" style="87" customWidth="1"/>
    <col min="8" max="8" width="35.140625" style="87" bestFit="1" customWidth="1"/>
    <col min="9" max="9" width="20" style="87" customWidth="1"/>
    <col min="10" max="10" width="14.85546875" style="66" hidden="1" customWidth="1"/>
    <col min="11" max="11" width="28.28515625" style="87" hidden="1" customWidth="1"/>
    <col min="12" max="12" width="23.7109375" style="87" hidden="1" customWidth="1"/>
    <col min="13" max="13" width="17.7109375" style="87" hidden="1" customWidth="1"/>
    <col min="14" max="16384" width="9.140625" style="87"/>
  </cols>
  <sheetData>
    <row r="1" spans="1:13" ht="39.950000000000003" hidden="1" customHeight="1" x14ac:dyDescent="0.3">
      <c r="A1" s="105" t="s">
        <v>19</v>
      </c>
      <c r="B1" s="105"/>
      <c r="C1" s="105"/>
      <c r="D1" s="106"/>
      <c r="E1" s="106"/>
      <c r="F1" s="106"/>
      <c r="G1" s="106"/>
      <c r="H1" s="106"/>
      <c r="I1" s="106"/>
    </row>
    <row r="2" spans="1:13" ht="24.95" customHeight="1" x14ac:dyDescent="0.3">
      <c r="A2" s="82" t="s">
        <v>26</v>
      </c>
      <c r="B2" s="69" t="s">
        <v>22</v>
      </c>
      <c r="C2" s="69" t="s">
        <v>837</v>
      </c>
      <c r="D2" s="69" t="s">
        <v>23</v>
      </c>
      <c r="E2" s="69" t="s">
        <v>24</v>
      </c>
      <c r="F2" s="69" t="s">
        <v>20</v>
      </c>
      <c r="G2" s="69" t="s">
        <v>21</v>
      </c>
      <c r="H2" s="69" t="s">
        <v>16</v>
      </c>
      <c r="I2" s="69" t="s">
        <v>25</v>
      </c>
      <c r="J2" s="67" t="s">
        <v>8</v>
      </c>
      <c r="K2" s="14" t="s">
        <v>9</v>
      </c>
      <c r="L2" s="61" t="s">
        <v>952</v>
      </c>
      <c r="M2" s="14" t="s">
        <v>10</v>
      </c>
    </row>
    <row r="3" spans="1:13" ht="20.100000000000001" customHeight="1" x14ac:dyDescent="0.3">
      <c r="A3" s="16" t="s">
        <v>658</v>
      </c>
      <c r="B3" s="16" t="s">
        <v>55</v>
      </c>
      <c r="C3" s="16">
        <v>1</v>
      </c>
      <c r="D3" s="16" t="s">
        <v>102</v>
      </c>
      <c r="E3" s="16" t="s">
        <v>50</v>
      </c>
      <c r="F3" s="23">
        <v>45990</v>
      </c>
      <c r="G3" s="24">
        <v>10</v>
      </c>
      <c r="H3" s="24" t="s">
        <v>270</v>
      </c>
      <c r="I3" s="24"/>
      <c r="J3" s="49">
        <v>995001425</v>
      </c>
      <c r="K3" s="2" t="s">
        <v>401</v>
      </c>
      <c r="L3" s="52"/>
      <c r="M3" s="15" t="s">
        <v>12</v>
      </c>
    </row>
    <row r="4" spans="1:13" ht="20.100000000000001" customHeight="1" x14ac:dyDescent="0.3">
      <c r="A4" s="16" t="s">
        <v>658</v>
      </c>
      <c r="B4" s="16" t="s">
        <v>55</v>
      </c>
      <c r="C4" s="16">
        <v>1</v>
      </c>
      <c r="D4" s="16" t="s">
        <v>102</v>
      </c>
      <c r="E4" s="16" t="s">
        <v>50</v>
      </c>
      <c r="F4" s="23">
        <v>45990</v>
      </c>
      <c r="G4" s="24">
        <v>10</v>
      </c>
      <c r="H4" s="24" t="s">
        <v>270</v>
      </c>
      <c r="I4" s="24"/>
      <c r="J4" s="49">
        <v>995001425</v>
      </c>
      <c r="K4" s="2" t="s">
        <v>401</v>
      </c>
      <c r="L4" s="52"/>
      <c r="M4" s="15" t="s">
        <v>12</v>
      </c>
    </row>
    <row r="5" spans="1:13" ht="20.100000000000001" customHeight="1" x14ac:dyDescent="0.3">
      <c r="A5" s="16">
        <v>1701432229</v>
      </c>
      <c r="B5" s="16" t="s">
        <v>58</v>
      </c>
      <c r="C5" s="16">
        <v>1</v>
      </c>
      <c r="D5" s="16" t="s">
        <v>32</v>
      </c>
      <c r="E5" s="16" t="s">
        <v>27</v>
      </c>
      <c r="F5" s="23">
        <v>45990</v>
      </c>
      <c r="G5" s="24">
        <v>10</v>
      </c>
      <c r="H5" s="24" t="s">
        <v>18</v>
      </c>
      <c r="I5" s="16">
        <v>265634126</v>
      </c>
      <c r="J5" s="47">
        <v>962842721</v>
      </c>
      <c r="K5" s="5" t="s">
        <v>1192</v>
      </c>
      <c r="L5" s="64">
        <v>46033</v>
      </c>
      <c r="M5" s="62" t="s">
        <v>12</v>
      </c>
    </row>
    <row r="6" spans="1:13" ht="19.149999999999999" customHeight="1" x14ac:dyDescent="0.3">
      <c r="A6" s="16" t="s">
        <v>658</v>
      </c>
      <c r="B6" s="16" t="s">
        <v>61</v>
      </c>
      <c r="C6" s="16">
        <v>1</v>
      </c>
      <c r="D6" s="16" t="s">
        <v>717</v>
      </c>
      <c r="E6" s="16" t="s">
        <v>27</v>
      </c>
      <c r="F6" s="23">
        <v>45990</v>
      </c>
      <c r="G6" s="24">
        <v>8</v>
      </c>
      <c r="H6" s="24" t="s">
        <v>18</v>
      </c>
      <c r="I6" s="16">
        <v>254888673</v>
      </c>
      <c r="J6" s="87"/>
    </row>
    <row r="7" spans="1:13" ht="19.149999999999999" customHeight="1" x14ac:dyDescent="0.3">
      <c r="A7" s="16" t="s">
        <v>658</v>
      </c>
      <c r="B7" s="16" t="s">
        <v>61</v>
      </c>
      <c r="C7" s="16">
        <v>1</v>
      </c>
      <c r="D7" s="16" t="s">
        <v>28</v>
      </c>
      <c r="E7" s="16" t="s">
        <v>27</v>
      </c>
      <c r="F7" s="23">
        <v>45990</v>
      </c>
      <c r="G7" s="24">
        <v>15</v>
      </c>
      <c r="H7" s="24" t="s">
        <v>18</v>
      </c>
      <c r="I7" s="16">
        <v>254888673</v>
      </c>
      <c r="J7" s="87"/>
    </row>
    <row r="8" spans="1:13" ht="19.149999999999999" customHeight="1" x14ac:dyDescent="0.3">
      <c r="A8" s="16" t="s">
        <v>658</v>
      </c>
      <c r="B8" s="16" t="s">
        <v>61</v>
      </c>
      <c r="C8" s="16">
        <v>1</v>
      </c>
      <c r="D8" s="16" t="s">
        <v>6</v>
      </c>
      <c r="E8" s="16" t="s">
        <v>27</v>
      </c>
      <c r="F8" s="23">
        <v>45990</v>
      </c>
      <c r="G8" s="24">
        <v>13</v>
      </c>
      <c r="H8" s="24" t="s">
        <v>18</v>
      </c>
      <c r="I8" s="16">
        <v>254888673</v>
      </c>
      <c r="J8" s="87"/>
    </row>
    <row r="9" spans="1:13" ht="19.149999999999999" customHeight="1" x14ac:dyDescent="0.3">
      <c r="A9" s="16" t="s">
        <v>658</v>
      </c>
      <c r="B9" s="16" t="s">
        <v>658</v>
      </c>
      <c r="C9" s="16">
        <v>1</v>
      </c>
      <c r="D9" s="16" t="s">
        <v>674</v>
      </c>
      <c r="E9" s="16" t="s">
        <v>50</v>
      </c>
      <c r="F9" s="23">
        <v>45990</v>
      </c>
      <c r="G9" s="24">
        <v>2.5</v>
      </c>
      <c r="H9" s="24" t="s">
        <v>17</v>
      </c>
      <c r="I9" s="24"/>
      <c r="J9" s="87"/>
    </row>
    <row r="10" spans="1:13" ht="19.149999999999999" customHeight="1" x14ac:dyDescent="0.3">
      <c r="A10" s="16" t="s">
        <v>658</v>
      </c>
      <c r="B10" s="16" t="s">
        <v>658</v>
      </c>
      <c r="C10" s="16">
        <v>1</v>
      </c>
      <c r="D10" s="16" t="s">
        <v>28</v>
      </c>
      <c r="E10" s="16" t="s">
        <v>50</v>
      </c>
      <c r="F10" s="23">
        <v>45990</v>
      </c>
      <c r="G10" s="24">
        <v>15</v>
      </c>
      <c r="H10" s="24" t="s">
        <v>17</v>
      </c>
      <c r="I10" s="24"/>
      <c r="J10" s="87"/>
    </row>
    <row r="11" spans="1:13" ht="19.149999999999999" customHeight="1" x14ac:dyDescent="0.3">
      <c r="A11" s="16" t="s">
        <v>658</v>
      </c>
      <c r="B11" s="16" t="s">
        <v>658</v>
      </c>
      <c r="C11" s="16">
        <v>1</v>
      </c>
      <c r="D11" s="16" t="s">
        <v>717</v>
      </c>
      <c r="E11" s="16" t="s">
        <v>50</v>
      </c>
      <c r="F11" s="23">
        <v>45990</v>
      </c>
      <c r="G11" s="24">
        <v>5</v>
      </c>
      <c r="H11" s="24" t="s">
        <v>17</v>
      </c>
      <c r="I11" s="24"/>
      <c r="J11" s="87"/>
    </row>
    <row r="12" spans="1:13" ht="19.149999999999999" customHeight="1" x14ac:dyDescent="0.3">
      <c r="A12" s="16" t="s">
        <v>658</v>
      </c>
      <c r="B12" s="16" t="s">
        <v>658</v>
      </c>
      <c r="C12" s="16">
        <v>1</v>
      </c>
      <c r="D12" s="16" t="s">
        <v>102</v>
      </c>
      <c r="E12" s="16" t="s">
        <v>50</v>
      </c>
      <c r="F12" s="23">
        <v>45990</v>
      </c>
      <c r="G12" s="24">
        <v>10</v>
      </c>
      <c r="H12" s="24" t="s">
        <v>17</v>
      </c>
      <c r="I12" s="24"/>
      <c r="J12" s="87"/>
    </row>
    <row r="13" spans="1:13" ht="19.149999999999999" customHeight="1" x14ac:dyDescent="0.3">
      <c r="A13" s="16" t="s">
        <v>658</v>
      </c>
      <c r="B13" s="16" t="s">
        <v>658</v>
      </c>
      <c r="C13" s="16">
        <v>1</v>
      </c>
      <c r="D13" s="16" t="s">
        <v>52</v>
      </c>
      <c r="E13" s="16" t="s">
        <v>50</v>
      </c>
      <c r="F13" s="23">
        <v>45990</v>
      </c>
      <c r="G13" s="24">
        <v>16</v>
      </c>
      <c r="H13" s="24" t="s">
        <v>17</v>
      </c>
      <c r="I13" s="24"/>
      <c r="J13" s="87"/>
    </row>
    <row r="14" spans="1:13" ht="19.149999999999999" customHeight="1" x14ac:dyDescent="0.3">
      <c r="A14" s="16" t="s">
        <v>658</v>
      </c>
      <c r="B14" s="16" t="s">
        <v>658</v>
      </c>
      <c r="C14" s="16">
        <v>1</v>
      </c>
      <c r="D14" s="16" t="s">
        <v>717</v>
      </c>
      <c r="E14" s="16" t="s">
        <v>50</v>
      </c>
      <c r="F14" s="23">
        <v>45990</v>
      </c>
      <c r="G14" s="24">
        <v>5</v>
      </c>
      <c r="H14" s="24" t="s">
        <v>17</v>
      </c>
      <c r="I14" s="24"/>
      <c r="J14" s="87"/>
    </row>
    <row r="15" spans="1:13" ht="19.149999999999999" customHeight="1" x14ac:dyDescent="0.3">
      <c r="A15" s="16">
        <v>1707963227</v>
      </c>
      <c r="B15" s="16" t="s">
        <v>33</v>
      </c>
      <c r="C15" s="16">
        <v>1</v>
      </c>
      <c r="D15" s="16" t="s">
        <v>32</v>
      </c>
      <c r="E15" s="16" t="s">
        <v>50</v>
      </c>
      <c r="F15" s="23">
        <v>45990</v>
      </c>
      <c r="G15" s="24">
        <v>10</v>
      </c>
      <c r="H15" s="24" t="s">
        <v>18</v>
      </c>
      <c r="I15" s="16">
        <v>265634126</v>
      </c>
      <c r="J15" s="47">
        <v>962842721</v>
      </c>
      <c r="K15" s="5" t="s">
        <v>399</v>
      </c>
      <c r="L15" s="64">
        <v>46242</v>
      </c>
      <c r="M15" s="62" t="s">
        <v>12</v>
      </c>
    </row>
    <row r="16" spans="1:13" ht="19.149999999999999" customHeight="1" x14ac:dyDescent="0.3">
      <c r="A16" s="16">
        <v>1721946067</v>
      </c>
      <c r="B16" s="16" t="s">
        <v>31</v>
      </c>
      <c r="C16" s="16">
        <v>1</v>
      </c>
      <c r="D16" s="16" t="s">
        <v>32</v>
      </c>
      <c r="E16" s="16" t="s">
        <v>27</v>
      </c>
      <c r="F16" s="23">
        <v>45990</v>
      </c>
      <c r="G16" s="24">
        <v>10</v>
      </c>
      <c r="H16" s="24" t="s">
        <v>18</v>
      </c>
      <c r="I16" s="16"/>
      <c r="J16" s="47">
        <v>997562221</v>
      </c>
      <c r="K16" s="5" t="s">
        <v>433</v>
      </c>
      <c r="L16" s="64">
        <v>46322</v>
      </c>
      <c r="M16" s="15" t="s">
        <v>12</v>
      </c>
    </row>
    <row r="17" spans="1:13" ht="19.149999999999999" customHeight="1" x14ac:dyDescent="0.3">
      <c r="A17" s="16">
        <v>1714063292</v>
      </c>
      <c r="B17" s="16" t="s">
        <v>29</v>
      </c>
      <c r="C17" s="16">
        <v>1</v>
      </c>
      <c r="D17" s="16" t="s">
        <v>30</v>
      </c>
      <c r="E17" s="16" t="s">
        <v>50</v>
      </c>
      <c r="F17" s="23">
        <v>45990</v>
      </c>
      <c r="G17" s="24">
        <v>12.5</v>
      </c>
      <c r="H17" s="24" t="s">
        <v>18</v>
      </c>
      <c r="I17" s="16"/>
      <c r="J17" s="47">
        <v>995674830</v>
      </c>
      <c r="K17" s="5" t="s">
        <v>430</v>
      </c>
      <c r="L17" s="54"/>
      <c r="M17" s="15" t="s">
        <v>12</v>
      </c>
    </row>
    <row r="18" spans="1:13" ht="19.149999999999999" customHeight="1" x14ac:dyDescent="0.3">
      <c r="A18" s="16" t="s">
        <v>658</v>
      </c>
      <c r="B18" s="16" t="s">
        <v>55</v>
      </c>
      <c r="C18" s="16">
        <v>1</v>
      </c>
      <c r="D18" s="16" t="s">
        <v>102</v>
      </c>
      <c r="E18" s="16" t="s">
        <v>50</v>
      </c>
      <c r="F18" s="23">
        <v>45991</v>
      </c>
      <c r="G18" s="24">
        <v>10</v>
      </c>
      <c r="H18" s="24" t="s">
        <v>17</v>
      </c>
      <c r="I18" s="24"/>
      <c r="J18" s="49">
        <v>995001425</v>
      </c>
      <c r="K18" s="2" t="s">
        <v>401</v>
      </c>
      <c r="L18" s="52"/>
      <c r="M18" s="15" t="s">
        <v>12</v>
      </c>
    </row>
    <row r="19" spans="1:13" ht="19.149999999999999" customHeight="1" x14ac:dyDescent="0.3">
      <c r="A19" s="16" t="s">
        <v>658</v>
      </c>
      <c r="B19" s="16" t="s">
        <v>55</v>
      </c>
      <c r="C19" s="16">
        <v>1</v>
      </c>
      <c r="D19" s="16" t="s">
        <v>102</v>
      </c>
      <c r="E19" s="16" t="s">
        <v>50</v>
      </c>
      <c r="F19" s="23">
        <v>45991</v>
      </c>
      <c r="G19" s="24">
        <v>10</v>
      </c>
      <c r="H19" s="24" t="s">
        <v>17</v>
      </c>
      <c r="I19" s="24"/>
      <c r="J19" s="49">
        <v>995001425</v>
      </c>
      <c r="K19" s="2" t="s">
        <v>401</v>
      </c>
      <c r="L19" s="52"/>
      <c r="M19" s="15" t="s">
        <v>12</v>
      </c>
    </row>
    <row r="20" spans="1:13" ht="19.149999999999999" customHeight="1" x14ac:dyDescent="0.3">
      <c r="A20" s="16">
        <v>1802650844</v>
      </c>
      <c r="B20" s="16" t="s">
        <v>34</v>
      </c>
      <c r="C20" s="16">
        <v>1</v>
      </c>
      <c r="D20" s="16" t="s">
        <v>32</v>
      </c>
      <c r="E20" s="16" t="s">
        <v>27</v>
      </c>
      <c r="F20" s="23">
        <v>45991</v>
      </c>
      <c r="G20" s="24">
        <v>10</v>
      </c>
      <c r="H20" s="24" t="s">
        <v>17</v>
      </c>
      <c r="I20" s="16"/>
      <c r="J20" s="73">
        <v>997760897</v>
      </c>
      <c r="K20" s="17"/>
      <c r="L20" s="51"/>
      <c r="M20" s="15" t="s">
        <v>12</v>
      </c>
    </row>
    <row r="21" spans="1:13" ht="19.149999999999999" customHeight="1" x14ac:dyDescent="0.3">
      <c r="A21" s="16">
        <v>1802650844</v>
      </c>
      <c r="B21" s="16" t="s">
        <v>36</v>
      </c>
      <c r="C21" s="16">
        <v>1</v>
      </c>
      <c r="D21" s="16" t="s">
        <v>32</v>
      </c>
      <c r="E21" s="16" t="s">
        <v>50</v>
      </c>
      <c r="F21" s="23">
        <v>45991</v>
      </c>
      <c r="G21" s="24">
        <v>10</v>
      </c>
      <c r="H21" s="24" t="s">
        <v>17</v>
      </c>
      <c r="I21" s="16"/>
      <c r="J21" s="73">
        <v>997760897</v>
      </c>
      <c r="K21" s="17"/>
      <c r="L21" s="51"/>
      <c r="M21" s="15" t="s">
        <v>12</v>
      </c>
    </row>
    <row r="22" spans="1:13" ht="19.149999999999999" customHeight="1" x14ac:dyDescent="0.3">
      <c r="A22" s="16" t="s">
        <v>658</v>
      </c>
      <c r="B22" s="16" t="s">
        <v>658</v>
      </c>
      <c r="C22" s="16">
        <v>1</v>
      </c>
      <c r="D22" s="16" t="s">
        <v>102</v>
      </c>
      <c r="E22" s="16" t="s">
        <v>50</v>
      </c>
      <c r="F22" s="23">
        <v>45991</v>
      </c>
      <c r="G22" s="24">
        <v>10</v>
      </c>
      <c r="H22" s="24" t="s">
        <v>17</v>
      </c>
      <c r="I22" s="24"/>
      <c r="J22" s="87"/>
    </row>
    <row r="23" spans="1:13" ht="19.149999999999999" customHeight="1" x14ac:dyDescent="0.3">
      <c r="A23" s="16" t="s">
        <v>658</v>
      </c>
      <c r="B23" s="16" t="s">
        <v>658</v>
      </c>
      <c r="C23" s="16">
        <v>1</v>
      </c>
      <c r="D23" s="16" t="s">
        <v>28</v>
      </c>
      <c r="E23" s="16" t="s">
        <v>50</v>
      </c>
      <c r="F23" s="23">
        <v>45991</v>
      </c>
      <c r="G23" s="24">
        <v>15</v>
      </c>
      <c r="H23" s="24" t="s">
        <v>17</v>
      </c>
      <c r="I23" s="24"/>
      <c r="J23" s="87"/>
    </row>
    <row r="24" spans="1:13" ht="19.149999999999999" customHeight="1" x14ac:dyDescent="0.3">
      <c r="A24" s="16" t="s">
        <v>658</v>
      </c>
      <c r="B24" s="16" t="s">
        <v>658</v>
      </c>
      <c r="C24" s="16">
        <v>1</v>
      </c>
      <c r="D24" s="16" t="s">
        <v>274</v>
      </c>
      <c r="E24" s="16" t="s">
        <v>50</v>
      </c>
      <c r="F24" s="23">
        <v>45991</v>
      </c>
      <c r="G24" s="24">
        <v>5</v>
      </c>
      <c r="H24" s="24" t="s">
        <v>17</v>
      </c>
      <c r="I24" s="24"/>
      <c r="J24" s="87"/>
    </row>
    <row r="25" spans="1:13" ht="19.149999999999999" customHeight="1" x14ac:dyDescent="0.3">
      <c r="A25" s="16">
        <v>1802650844</v>
      </c>
      <c r="B25" s="16" t="s">
        <v>35</v>
      </c>
      <c r="C25" s="16">
        <v>1</v>
      </c>
      <c r="D25" s="16" t="s">
        <v>32</v>
      </c>
      <c r="E25" s="16" t="s">
        <v>27</v>
      </c>
      <c r="F25" s="23">
        <v>45991</v>
      </c>
      <c r="G25" s="24">
        <v>10</v>
      </c>
      <c r="H25" s="24" t="s">
        <v>17</v>
      </c>
      <c r="I25" s="16"/>
      <c r="J25" s="73">
        <v>997760897</v>
      </c>
      <c r="K25" s="17"/>
      <c r="L25" s="51"/>
      <c r="M25" s="15" t="s">
        <v>12</v>
      </c>
    </row>
    <row r="26" spans="1:13" ht="19.149999999999999" customHeight="1" x14ac:dyDescent="0.3">
      <c r="A26" s="16" t="s">
        <v>658</v>
      </c>
      <c r="B26" s="16" t="s">
        <v>658</v>
      </c>
      <c r="C26" s="16">
        <v>1</v>
      </c>
      <c r="D26" s="72" t="s">
        <v>731</v>
      </c>
      <c r="E26" s="16" t="s">
        <v>50</v>
      </c>
      <c r="F26" s="23">
        <v>45992</v>
      </c>
      <c r="G26" s="83">
        <v>8</v>
      </c>
      <c r="H26" s="24" t="s">
        <v>17</v>
      </c>
      <c r="I26" s="16"/>
      <c r="J26" s="87"/>
    </row>
    <row r="27" spans="1:13" ht="19.149999999999999" customHeight="1" x14ac:dyDescent="0.3">
      <c r="A27" s="16" t="s">
        <v>658</v>
      </c>
      <c r="B27" s="16" t="s">
        <v>658</v>
      </c>
      <c r="C27" s="16">
        <v>1</v>
      </c>
      <c r="D27" s="72" t="s">
        <v>709</v>
      </c>
      <c r="E27" s="16" t="s">
        <v>50</v>
      </c>
      <c r="F27" s="23">
        <v>45992</v>
      </c>
      <c r="G27" s="83">
        <v>7</v>
      </c>
      <c r="H27" s="24" t="s">
        <v>17</v>
      </c>
      <c r="I27" s="16"/>
      <c r="J27" s="87"/>
    </row>
    <row r="28" spans="1:13" ht="19.149999999999999" customHeight="1" x14ac:dyDescent="0.3">
      <c r="A28" s="16" t="s">
        <v>658</v>
      </c>
      <c r="B28" s="16" t="s">
        <v>658</v>
      </c>
      <c r="C28" s="16">
        <v>1</v>
      </c>
      <c r="D28" s="72" t="s">
        <v>710</v>
      </c>
      <c r="E28" s="16" t="s">
        <v>50</v>
      </c>
      <c r="F28" s="23">
        <v>45992</v>
      </c>
      <c r="G28" s="83">
        <v>8</v>
      </c>
      <c r="H28" s="24" t="s">
        <v>17</v>
      </c>
      <c r="I28" s="16"/>
      <c r="J28" s="87"/>
    </row>
    <row r="29" spans="1:13" ht="19.149999999999999" customHeight="1" x14ac:dyDescent="0.3">
      <c r="A29" s="16" t="s">
        <v>658</v>
      </c>
      <c r="B29" s="16" t="s">
        <v>666</v>
      </c>
      <c r="C29" s="16">
        <v>1</v>
      </c>
      <c r="D29" s="16" t="s">
        <v>28</v>
      </c>
      <c r="E29" s="16" t="s">
        <v>50</v>
      </c>
      <c r="F29" s="23">
        <v>45994</v>
      </c>
      <c r="G29" s="24">
        <v>15</v>
      </c>
      <c r="H29" s="24" t="s">
        <v>37</v>
      </c>
      <c r="I29" s="16">
        <v>87012817</v>
      </c>
      <c r="J29" s="87"/>
    </row>
    <row r="30" spans="1:13" ht="19.149999999999999" customHeight="1" x14ac:dyDescent="0.3">
      <c r="A30" s="16" t="s">
        <v>658</v>
      </c>
      <c r="B30" s="16" t="s">
        <v>666</v>
      </c>
      <c r="C30" s="16">
        <v>1</v>
      </c>
      <c r="D30" s="16" t="s">
        <v>274</v>
      </c>
      <c r="E30" s="16" t="s">
        <v>50</v>
      </c>
      <c r="F30" s="23">
        <v>45994</v>
      </c>
      <c r="G30" s="24">
        <v>5</v>
      </c>
      <c r="H30" s="24" t="s">
        <v>37</v>
      </c>
      <c r="I30" s="16">
        <v>87078236</v>
      </c>
      <c r="J30" s="87"/>
    </row>
    <row r="31" spans="1:13" ht="19.149999999999999" customHeight="1" x14ac:dyDescent="0.3">
      <c r="A31" s="16" t="s">
        <v>658</v>
      </c>
      <c r="B31" s="16" t="s">
        <v>38</v>
      </c>
      <c r="C31" s="16">
        <v>1</v>
      </c>
      <c r="D31" s="16" t="s">
        <v>28</v>
      </c>
      <c r="E31" s="16" t="s">
        <v>27</v>
      </c>
      <c r="F31" s="23">
        <v>45994</v>
      </c>
      <c r="G31" s="24">
        <v>15</v>
      </c>
      <c r="H31" s="24" t="s">
        <v>37</v>
      </c>
      <c r="I31" s="16">
        <v>81468666</v>
      </c>
      <c r="J31" s="87"/>
    </row>
    <row r="32" spans="1:13" ht="19.149999999999999" customHeight="1" x14ac:dyDescent="0.3">
      <c r="A32" s="16" t="s">
        <v>658</v>
      </c>
      <c r="B32" s="16" t="s">
        <v>38</v>
      </c>
      <c r="C32" s="16">
        <v>1</v>
      </c>
      <c r="D32" s="16" t="s">
        <v>28</v>
      </c>
      <c r="E32" s="16" t="s">
        <v>27</v>
      </c>
      <c r="F32" s="23">
        <v>45994</v>
      </c>
      <c r="G32" s="24">
        <v>15</v>
      </c>
      <c r="H32" s="24" t="s">
        <v>37</v>
      </c>
      <c r="I32" s="16">
        <v>81468666</v>
      </c>
      <c r="J32" s="87"/>
    </row>
    <row r="33" spans="1:12" ht="19.149999999999999" customHeight="1" x14ac:dyDescent="0.3">
      <c r="A33" s="16" t="s">
        <v>658</v>
      </c>
      <c r="B33" s="16" t="s">
        <v>39</v>
      </c>
      <c r="C33" s="16">
        <v>1</v>
      </c>
      <c r="D33" s="16" t="s">
        <v>102</v>
      </c>
      <c r="E33" s="16" t="s">
        <v>50</v>
      </c>
      <c r="F33" s="23">
        <v>45995</v>
      </c>
      <c r="G33" s="24">
        <v>10</v>
      </c>
      <c r="H33" s="24" t="s">
        <v>40</v>
      </c>
      <c r="I33" s="16">
        <v>72542723</v>
      </c>
      <c r="J33" s="87"/>
    </row>
    <row r="34" spans="1:12" ht="19.149999999999999" customHeight="1" x14ac:dyDescent="0.3">
      <c r="A34" s="16">
        <v>1723645212</v>
      </c>
      <c r="B34" s="16" t="s">
        <v>63</v>
      </c>
      <c r="C34" s="16">
        <v>1</v>
      </c>
      <c r="D34" s="16" t="s">
        <v>731</v>
      </c>
      <c r="E34" s="16" t="s">
        <v>50</v>
      </c>
      <c r="F34" s="23">
        <v>45995</v>
      </c>
      <c r="G34" s="24">
        <v>8</v>
      </c>
      <c r="H34" s="24" t="s">
        <v>270</v>
      </c>
      <c r="I34" s="16">
        <v>71538603</v>
      </c>
      <c r="J34" s="87">
        <v>995490435</v>
      </c>
      <c r="K34" s="12" t="s">
        <v>980</v>
      </c>
      <c r="L34" s="68">
        <v>46177</v>
      </c>
    </row>
    <row r="35" spans="1:12" ht="19.149999999999999" customHeight="1" x14ac:dyDescent="0.3">
      <c r="A35" s="16" t="s">
        <v>658</v>
      </c>
      <c r="B35" s="16" t="s">
        <v>41</v>
      </c>
      <c r="C35" s="16">
        <v>1</v>
      </c>
      <c r="D35" s="16" t="s">
        <v>102</v>
      </c>
      <c r="E35" s="16" t="s">
        <v>50</v>
      </c>
      <c r="F35" s="23">
        <v>45997</v>
      </c>
      <c r="G35" s="24">
        <v>10</v>
      </c>
      <c r="H35" s="24" t="s">
        <v>40</v>
      </c>
      <c r="I35" s="16">
        <v>36236718</v>
      </c>
      <c r="J35" s="87"/>
    </row>
    <row r="36" spans="1:12" ht="19.149999999999999" customHeight="1" x14ac:dyDescent="0.3">
      <c r="A36" s="16" t="s">
        <v>658</v>
      </c>
      <c r="B36" s="16" t="s">
        <v>658</v>
      </c>
      <c r="C36" s="16">
        <v>1</v>
      </c>
      <c r="D36" s="16" t="s">
        <v>102</v>
      </c>
      <c r="E36" s="16" t="s">
        <v>50</v>
      </c>
      <c r="F36" s="23">
        <v>45997</v>
      </c>
      <c r="G36" s="24">
        <v>10</v>
      </c>
      <c r="H36" s="24" t="s">
        <v>18</v>
      </c>
      <c r="I36" s="16">
        <v>587698020900</v>
      </c>
      <c r="J36" s="87"/>
    </row>
    <row r="37" spans="1:12" ht="19.149999999999999" customHeight="1" x14ac:dyDescent="0.3">
      <c r="A37" s="16" t="s">
        <v>658</v>
      </c>
      <c r="B37" s="16" t="s">
        <v>658</v>
      </c>
      <c r="C37" s="16">
        <v>1</v>
      </c>
      <c r="D37" s="16" t="s">
        <v>52</v>
      </c>
      <c r="E37" s="16" t="s">
        <v>27</v>
      </c>
      <c r="F37" s="23">
        <v>45997</v>
      </c>
      <c r="G37" s="24">
        <v>16</v>
      </c>
      <c r="H37" s="24" t="s">
        <v>17</v>
      </c>
      <c r="I37" s="16"/>
      <c r="J37" s="87"/>
    </row>
    <row r="38" spans="1:12" ht="19.149999999999999" customHeight="1" x14ac:dyDescent="0.3">
      <c r="A38" s="16" t="s">
        <v>658</v>
      </c>
      <c r="B38" s="16" t="s">
        <v>658</v>
      </c>
      <c r="C38" s="16">
        <v>1</v>
      </c>
      <c r="D38" s="16" t="s">
        <v>155</v>
      </c>
      <c r="E38" s="16" t="s">
        <v>27</v>
      </c>
      <c r="F38" s="23">
        <v>45997</v>
      </c>
      <c r="G38" s="24">
        <v>32</v>
      </c>
      <c r="H38" s="24" t="s">
        <v>17</v>
      </c>
      <c r="I38" s="16"/>
      <c r="J38" s="87"/>
    </row>
    <row r="39" spans="1:12" ht="19.149999999999999" customHeight="1" x14ac:dyDescent="0.3">
      <c r="A39" s="16" t="s">
        <v>658</v>
      </c>
      <c r="B39" s="16" t="s">
        <v>658</v>
      </c>
      <c r="C39" s="16">
        <v>1</v>
      </c>
      <c r="D39" s="16" t="s">
        <v>6</v>
      </c>
      <c r="E39" s="16" t="s">
        <v>27</v>
      </c>
      <c r="F39" s="23">
        <v>45997</v>
      </c>
      <c r="G39" s="24">
        <v>12</v>
      </c>
      <c r="H39" s="24" t="s">
        <v>17</v>
      </c>
      <c r="I39" s="16"/>
      <c r="J39" s="87"/>
    </row>
    <row r="40" spans="1:12" ht="19.149999999999999" customHeight="1" x14ac:dyDescent="0.3">
      <c r="A40" s="16" t="s">
        <v>658</v>
      </c>
      <c r="B40" s="16" t="s">
        <v>658</v>
      </c>
      <c r="C40" s="16">
        <v>1</v>
      </c>
      <c r="D40" s="16" t="s">
        <v>101</v>
      </c>
      <c r="E40" s="16" t="s">
        <v>27</v>
      </c>
      <c r="F40" s="23">
        <v>45997</v>
      </c>
      <c r="G40" s="24">
        <v>30</v>
      </c>
      <c r="H40" s="24" t="s">
        <v>17</v>
      </c>
      <c r="I40" s="16"/>
      <c r="J40" s="87"/>
    </row>
    <row r="41" spans="1:12" ht="19.149999999999999" customHeight="1" x14ac:dyDescent="0.3">
      <c r="A41" s="16" t="s">
        <v>658</v>
      </c>
      <c r="B41" s="16" t="s">
        <v>43</v>
      </c>
      <c r="C41" s="16">
        <v>1</v>
      </c>
      <c r="D41" s="16" t="s">
        <v>763</v>
      </c>
      <c r="E41" s="16" t="s">
        <v>27</v>
      </c>
      <c r="F41" s="23">
        <v>45998</v>
      </c>
      <c r="G41" s="24">
        <v>25</v>
      </c>
      <c r="H41" s="24" t="s">
        <v>270</v>
      </c>
      <c r="I41" s="16">
        <v>111822359</v>
      </c>
      <c r="J41" s="87"/>
    </row>
    <row r="42" spans="1:12" ht="19.149999999999999" customHeight="1" x14ac:dyDescent="0.3">
      <c r="A42" s="16" t="s">
        <v>658</v>
      </c>
      <c r="B42" s="16" t="s">
        <v>42</v>
      </c>
      <c r="C42" s="16">
        <v>1</v>
      </c>
      <c r="D42" s="16" t="s">
        <v>28</v>
      </c>
      <c r="E42" s="16" t="s">
        <v>50</v>
      </c>
      <c r="F42" s="23">
        <v>45998</v>
      </c>
      <c r="G42" s="24">
        <v>15</v>
      </c>
      <c r="H42" s="24" t="s">
        <v>270</v>
      </c>
      <c r="I42" s="16">
        <v>90291457</v>
      </c>
      <c r="J42" s="87"/>
    </row>
    <row r="43" spans="1:12" ht="19.149999999999999" customHeight="1" x14ac:dyDescent="0.3">
      <c r="A43" s="16" t="s">
        <v>658</v>
      </c>
      <c r="B43" s="16" t="s">
        <v>44</v>
      </c>
      <c r="C43" s="16">
        <v>1</v>
      </c>
      <c r="D43" s="16" t="s">
        <v>694</v>
      </c>
      <c r="E43" s="16" t="s">
        <v>50</v>
      </c>
      <c r="F43" s="23">
        <v>45998</v>
      </c>
      <c r="G43" s="24">
        <v>32</v>
      </c>
      <c r="H43" s="24" t="s">
        <v>270</v>
      </c>
      <c r="I43" s="16">
        <v>112564545</v>
      </c>
      <c r="J43" s="87"/>
    </row>
    <row r="44" spans="1:12" ht="19.149999999999999" customHeight="1" x14ac:dyDescent="0.3">
      <c r="A44" s="16" t="s">
        <v>658</v>
      </c>
      <c r="B44" s="16" t="s">
        <v>658</v>
      </c>
      <c r="C44" s="16">
        <v>1</v>
      </c>
      <c r="D44" s="16" t="s">
        <v>764</v>
      </c>
      <c r="E44" s="16" t="s">
        <v>27</v>
      </c>
      <c r="F44" s="23">
        <v>45998</v>
      </c>
      <c r="G44" s="24">
        <v>20</v>
      </c>
      <c r="H44" s="24" t="s">
        <v>18</v>
      </c>
      <c r="I44" s="16">
        <v>775038020900</v>
      </c>
      <c r="J44" s="87"/>
    </row>
    <row r="45" spans="1:12" ht="19.149999999999999" customHeight="1" x14ac:dyDescent="0.3">
      <c r="A45" s="16" t="s">
        <v>658</v>
      </c>
      <c r="B45" s="16" t="s">
        <v>658</v>
      </c>
      <c r="C45" s="16">
        <v>1</v>
      </c>
      <c r="D45" s="16" t="s">
        <v>6</v>
      </c>
      <c r="E45" s="16" t="s">
        <v>50</v>
      </c>
      <c r="F45" s="23">
        <v>45998</v>
      </c>
      <c r="G45" s="24">
        <v>12</v>
      </c>
      <c r="H45" s="24" t="s">
        <v>17</v>
      </c>
      <c r="I45" s="16"/>
      <c r="J45" s="87"/>
    </row>
    <row r="46" spans="1:12" ht="19.149999999999999" customHeight="1" x14ac:dyDescent="0.3">
      <c r="A46" s="16" t="s">
        <v>658</v>
      </c>
      <c r="B46" s="16" t="s">
        <v>658</v>
      </c>
      <c r="C46" s="16">
        <v>1</v>
      </c>
      <c r="D46" s="16" t="s">
        <v>274</v>
      </c>
      <c r="E46" s="16" t="s">
        <v>50</v>
      </c>
      <c r="F46" s="23">
        <v>45998</v>
      </c>
      <c r="G46" s="24">
        <v>5</v>
      </c>
      <c r="H46" s="24" t="s">
        <v>17</v>
      </c>
      <c r="I46" s="16"/>
      <c r="J46" s="87"/>
    </row>
    <row r="47" spans="1:12" ht="19.149999999999999" customHeight="1" x14ac:dyDescent="0.3">
      <c r="A47" s="16" t="s">
        <v>658</v>
      </c>
      <c r="B47" s="16" t="s">
        <v>658</v>
      </c>
      <c r="C47" s="16">
        <v>1</v>
      </c>
      <c r="D47" s="16" t="s">
        <v>102</v>
      </c>
      <c r="E47" s="16" t="s">
        <v>27</v>
      </c>
      <c r="F47" s="23">
        <v>45998</v>
      </c>
      <c r="G47" s="24">
        <v>30</v>
      </c>
      <c r="H47" s="24" t="s">
        <v>17</v>
      </c>
      <c r="I47" s="16"/>
      <c r="J47" s="87"/>
    </row>
    <row r="48" spans="1:12" ht="19.149999999999999" customHeight="1" x14ac:dyDescent="0.3">
      <c r="A48" s="16" t="s">
        <v>658</v>
      </c>
      <c r="B48" s="16" t="s">
        <v>61</v>
      </c>
      <c r="C48" s="16">
        <v>1</v>
      </c>
      <c r="D48" s="16" t="s">
        <v>28</v>
      </c>
      <c r="E48" s="16" t="s">
        <v>27</v>
      </c>
      <c r="F48" s="23">
        <v>45999</v>
      </c>
      <c r="G48" s="24">
        <v>15</v>
      </c>
      <c r="H48" s="24" t="s">
        <v>270</v>
      </c>
      <c r="I48" s="16">
        <v>53775303</v>
      </c>
      <c r="J48" s="87"/>
    </row>
    <row r="49" spans="1:13" ht="19.149999999999999" customHeight="1" x14ac:dyDescent="0.3">
      <c r="A49" s="16" t="s">
        <v>658</v>
      </c>
      <c r="B49" s="16" t="s">
        <v>658</v>
      </c>
      <c r="C49" s="16">
        <v>1</v>
      </c>
      <c r="D49" s="16" t="s">
        <v>102</v>
      </c>
      <c r="E49" s="16" t="s">
        <v>27</v>
      </c>
      <c r="F49" s="23">
        <v>45999</v>
      </c>
      <c r="G49" s="24">
        <v>10</v>
      </c>
      <c r="H49" s="24" t="s">
        <v>17</v>
      </c>
      <c r="I49" s="16"/>
      <c r="J49" s="87"/>
    </row>
    <row r="50" spans="1:13" ht="19.149999999999999" customHeight="1" x14ac:dyDescent="0.3">
      <c r="A50" s="16" t="s">
        <v>658</v>
      </c>
      <c r="B50" s="16" t="s">
        <v>658</v>
      </c>
      <c r="C50" s="16">
        <v>1</v>
      </c>
      <c r="D50" s="16" t="s">
        <v>838</v>
      </c>
      <c r="E50" s="16" t="s">
        <v>27</v>
      </c>
      <c r="F50" s="23">
        <v>45999</v>
      </c>
      <c r="G50" s="24">
        <v>6</v>
      </c>
      <c r="H50" s="24" t="s">
        <v>17</v>
      </c>
      <c r="I50" s="16"/>
      <c r="J50" s="87"/>
    </row>
    <row r="51" spans="1:13" ht="19.149999999999999" customHeight="1" x14ac:dyDescent="0.3">
      <c r="A51" s="16" t="s">
        <v>658</v>
      </c>
      <c r="B51" s="16" t="s">
        <v>658</v>
      </c>
      <c r="C51" s="16">
        <v>1</v>
      </c>
      <c r="D51" s="16" t="s">
        <v>839</v>
      </c>
      <c r="E51" s="16" t="s">
        <v>27</v>
      </c>
      <c r="F51" s="23">
        <v>45999</v>
      </c>
      <c r="G51" s="24">
        <v>3</v>
      </c>
      <c r="H51" s="24" t="s">
        <v>17</v>
      </c>
      <c r="I51" s="16"/>
      <c r="J51" s="87"/>
    </row>
    <row r="52" spans="1:13" ht="19.149999999999999" customHeight="1" x14ac:dyDescent="0.3">
      <c r="A52" s="16">
        <v>1707963227</v>
      </c>
      <c r="B52" s="16" t="s">
        <v>33</v>
      </c>
      <c r="C52" s="16">
        <v>1</v>
      </c>
      <c r="D52" s="16" t="s">
        <v>6</v>
      </c>
      <c r="E52" s="16" t="s">
        <v>50</v>
      </c>
      <c r="F52" s="23">
        <v>45999</v>
      </c>
      <c r="G52" s="24">
        <v>12</v>
      </c>
      <c r="H52" s="24" t="s">
        <v>270</v>
      </c>
      <c r="I52" s="16">
        <v>67017505</v>
      </c>
      <c r="J52" s="47">
        <v>962842721</v>
      </c>
      <c r="K52" s="5" t="s">
        <v>399</v>
      </c>
      <c r="L52" s="64">
        <v>46242</v>
      </c>
      <c r="M52" s="62" t="s">
        <v>12</v>
      </c>
    </row>
    <row r="53" spans="1:13" ht="19.149999999999999" customHeight="1" x14ac:dyDescent="0.3">
      <c r="A53" s="16">
        <v>1722544226</v>
      </c>
      <c r="B53" s="16" t="s">
        <v>71</v>
      </c>
      <c r="C53" s="16">
        <v>1</v>
      </c>
      <c r="D53" s="16" t="s">
        <v>799</v>
      </c>
      <c r="E53" s="16" t="s">
        <v>50</v>
      </c>
      <c r="F53" s="23">
        <v>45999</v>
      </c>
      <c r="G53" s="24">
        <v>30</v>
      </c>
      <c r="H53" s="24" t="s">
        <v>270</v>
      </c>
      <c r="I53" s="16">
        <v>57898384</v>
      </c>
      <c r="J53" s="49">
        <v>992792740</v>
      </c>
      <c r="K53" s="2" t="s">
        <v>424</v>
      </c>
      <c r="L53" s="52"/>
      <c r="M53" s="15" t="s">
        <v>12</v>
      </c>
    </row>
    <row r="54" spans="1:13" ht="19.149999999999999" customHeight="1" x14ac:dyDescent="0.3">
      <c r="A54" s="16" t="s">
        <v>658</v>
      </c>
      <c r="B54" s="16" t="s">
        <v>46</v>
      </c>
      <c r="C54" s="16">
        <v>1</v>
      </c>
      <c r="D54" s="16" t="s">
        <v>102</v>
      </c>
      <c r="E54" s="16" t="s">
        <v>50</v>
      </c>
      <c r="F54" s="23">
        <v>46000</v>
      </c>
      <c r="G54" s="24">
        <v>10</v>
      </c>
      <c r="H54" s="24" t="s">
        <v>40</v>
      </c>
      <c r="I54" s="16">
        <v>3217053104</v>
      </c>
      <c r="J54" s="87"/>
    </row>
    <row r="55" spans="1:13" ht="19.149999999999999" customHeight="1" x14ac:dyDescent="0.3">
      <c r="A55" s="16" t="s">
        <v>658</v>
      </c>
      <c r="B55" s="16" t="s">
        <v>46</v>
      </c>
      <c r="C55" s="16">
        <v>1</v>
      </c>
      <c r="D55" s="16" t="s">
        <v>102</v>
      </c>
      <c r="E55" s="16" t="s">
        <v>27</v>
      </c>
      <c r="F55" s="23">
        <v>46000</v>
      </c>
      <c r="G55" s="24">
        <v>10</v>
      </c>
      <c r="H55" s="24" t="s">
        <v>40</v>
      </c>
      <c r="I55" s="16">
        <v>3217053104</v>
      </c>
      <c r="J55" s="87"/>
    </row>
    <row r="56" spans="1:13" ht="19.149999999999999" customHeight="1" x14ac:dyDescent="0.3">
      <c r="A56" s="16" t="s">
        <v>658</v>
      </c>
      <c r="B56" s="16" t="s">
        <v>667</v>
      </c>
      <c r="C56" s="16">
        <v>1</v>
      </c>
      <c r="D56" s="16" t="s">
        <v>52</v>
      </c>
      <c r="E56" s="16" t="s">
        <v>27</v>
      </c>
      <c r="F56" s="23">
        <v>46001</v>
      </c>
      <c r="G56" s="24">
        <v>16</v>
      </c>
      <c r="H56" s="24" t="s">
        <v>270</v>
      </c>
      <c r="I56" s="16">
        <v>76409913</v>
      </c>
      <c r="J56" s="87"/>
    </row>
    <row r="57" spans="1:13" ht="19.149999999999999" customHeight="1" x14ac:dyDescent="0.3">
      <c r="A57" s="16" t="s">
        <v>658</v>
      </c>
      <c r="B57" s="16" t="s">
        <v>1193</v>
      </c>
      <c r="C57" s="16">
        <v>1</v>
      </c>
      <c r="D57" s="16" t="s">
        <v>729</v>
      </c>
      <c r="E57" s="16" t="s">
        <v>27</v>
      </c>
      <c r="F57" s="23">
        <v>46001</v>
      </c>
      <c r="G57" s="24">
        <v>30</v>
      </c>
      <c r="H57" s="24" t="s">
        <v>270</v>
      </c>
      <c r="I57" s="16">
        <v>42541456</v>
      </c>
      <c r="J57" s="87"/>
    </row>
    <row r="58" spans="1:13" ht="19.149999999999999" customHeight="1" x14ac:dyDescent="0.3">
      <c r="A58" s="16" t="s">
        <v>658</v>
      </c>
      <c r="B58" s="16" t="s">
        <v>658</v>
      </c>
      <c r="C58" s="16">
        <v>1</v>
      </c>
      <c r="D58" s="16" t="s">
        <v>730</v>
      </c>
      <c r="E58" s="16" t="s">
        <v>27</v>
      </c>
      <c r="F58" s="23">
        <v>46001</v>
      </c>
      <c r="G58" s="24">
        <v>15</v>
      </c>
      <c r="H58" s="24" t="s">
        <v>270</v>
      </c>
      <c r="I58" s="16">
        <v>42541456</v>
      </c>
      <c r="J58" s="87"/>
    </row>
    <row r="59" spans="1:13" ht="19.149999999999999" customHeight="1" x14ac:dyDescent="0.3">
      <c r="A59" s="16" t="s">
        <v>658</v>
      </c>
      <c r="B59" s="16" t="s">
        <v>658</v>
      </c>
      <c r="C59" s="16">
        <v>1</v>
      </c>
      <c r="D59" s="16" t="s">
        <v>28</v>
      </c>
      <c r="E59" s="16" t="s">
        <v>27</v>
      </c>
      <c r="F59" s="23">
        <v>46001</v>
      </c>
      <c r="G59" s="24">
        <v>15</v>
      </c>
      <c r="H59" s="24" t="s">
        <v>270</v>
      </c>
      <c r="I59" s="16">
        <v>42541456</v>
      </c>
      <c r="J59" s="87"/>
    </row>
    <row r="60" spans="1:13" ht="19.149999999999999" customHeight="1" x14ac:dyDescent="0.3">
      <c r="A60" s="16" t="s">
        <v>658</v>
      </c>
      <c r="B60" s="16" t="s">
        <v>658</v>
      </c>
      <c r="C60" s="16">
        <v>1</v>
      </c>
      <c r="D60" s="16" t="s">
        <v>274</v>
      </c>
      <c r="E60" s="16" t="s">
        <v>27</v>
      </c>
      <c r="F60" s="23">
        <v>46001</v>
      </c>
      <c r="G60" s="24">
        <v>5</v>
      </c>
      <c r="H60" s="24" t="s">
        <v>270</v>
      </c>
      <c r="I60" s="16">
        <v>42541456</v>
      </c>
      <c r="J60" s="87"/>
    </row>
    <row r="61" spans="1:13" ht="19.149999999999999" customHeight="1" x14ac:dyDescent="0.3">
      <c r="A61" s="16" t="s">
        <v>658</v>
      </c>
      <c r="B61" s="16" t="s">
        <v>47</v>
      </c>
      <c r="C61" s="16">
        <v>1</v>
      </c>
      <c r="D61" s="16" t="s">
        <v>379</v>
      </c>
      <c r="E61" s="16" t="s">
        <v>50</v>
      </c>
      <c r="F61" s="23">
        <v>46002</v>
      </c>
      <c r="G61" s="24">
        <v>19</v>
      </c>
      <c r="H61" s="24" t="s">
        <v>270</v>
      </c>
      <c r="I61" s="16">
        <v>51412187</v>
      </c>
      <c r="J61" s="87"/>
    </row>
    <row r="62" spans="1:13" ht="19.149999999999999" customHeight="1" x14ac:dyDescent="0.3">
      <c r="A62" s="16" t="s">
        <v>658</v>
      </c>
      <c r="B62" s="16" t="s">
        <v>658</v>
      </c>
      <c r="C62" s="16">
        <v>1</v>
      </c>
      <c r="D62" s="16" t="s">
        <v>102</v>
      </c>
      <c r="E62" s="16" t="s">
        <v>50</v>
      </c>
      <c r="F62" s="23">
        <v>46002</v>
      </c>
      <c r="G62" s="24">
        <v>10</v>
      </c>
      <c r="H62" s="24" t="s">
        <v>17</v>
      </c>
      <c r="I62" s="16"/>
      <c r="J62" s="87"/>
    </row>
    <row r="63" spans="1:13" ht="19.149999999999999" customHeight="1" x14ac:dyDescent="0.3">
      <c r="A63" s="16" t="s">
        <v>658</v>
      </c>
      <c r="B63" s="16" t="s">
        <v>658</v>
      </c>
      <c r="C63" s="16">
        <v>1</v>
      </c>
      <c r="D63" s="16" t="s">
        <v>6</v>
      </c>
      <c r="E63" s="16" t="s">
        <v>50</v>
      </c>
      <c r="F63" s="23">
        <v>46002</v>
      </c>
      <c r="G63" s="24">
        <v>12</v>
      </c>
      <c r="H63" s="24" t="s">
        <v>17</v>
      </c>
      <c r="I63" s="16"/>
      <c r="J63" s="87"/>
    </row>
    <row r="64" spans="1:13" ht="19.149999999999999" customHeight="1" x14ac:dyDescent="0.3">
      <c r="A64" s="16">
        <v>1705610085</v>
      </c>
      <c r="B64" s="16" t="s">
        <v>297</v>
      </c>
      <c r="C64" s="16">
        <v>1</v>
      </c>
      <c r="D64" s="16" t="s">
        <v>765</v>
      </c>
      <c r="E64" s="16" t="s">
        <v>50</v>
      </c>
      <c r="F64" s="23">
        <v>46002</v>
      </c>
      <c r="G64" s="24">
        <v>15</v>
      </c>
      <c r="H64" s="24" t="s">
        <v>17</v>
      </c>
      <c r="I64" s="16"/>
      <c r="J64" s="87"/>
    </row>
    <row r="65" spans="1:13" ht="19.149999999999999" customHeight="1" x14ac:dyDescent="0.3">
      <c r="A65" s="16" t="s">
        <v>658</v>
      </c>
      <c r="B65" s="16" t="s">
        <v>48</v>
      </c>
      <c r="C65" s="16">
        <v>1</v>
      </c>
      <c r="D65" s="16" t="s">
        <v>102</v>
      </c>
      <c r="E65" s="16" t="s">
        <v>50</v>
      </c>
      <c r="F65" s="23">
        <v>46002</v>
      </c>
      <c r="G65" s="24">
        <v>10</v>
      </c>
      <c r="H65" s="24" t="s">
        <v>270</v>
      </c>
      <c r="I65" s="16">
        <v>32759130</v>
      </c>
      <c r="J65" s="87"/>
    </row>
    <row r="66" spans="1:13" ht="19.149999999999999" customHeight="1" x14ac:dyDescent="0.3">
      <c r="A66" s="16">
        <v>1707970552</v>
      </c>
      <c r="B66" s="16" t="s">
        <v>198</v>
      </c>
      <c r="C66" s="16">
        <v>1</v>
      </c>
      <c r="D66" s="16" t="s">
        <v>102</v>
      </c>
      <c r="E66" s="16" t="s">
        <v>27</v>
      </c>
      <c r="F66" s="23">
        <v>46003</v>
      </c>
      <c r="G66" s="24">
        <v>10</v>
      </c>
      <c r="H66" s="24" t="s">
        <v>270</v>
      </c>
      <c r="I66" s="16">
        <v>81572361</v>
      </c>
      <c r="J66" s="49">
        <v>983427064</v>
      </c>
      <c r="K66" s="2" t="s">
        <v>443</v>
      </c>
      <c r="L66" s="52"/>
      <c r="M66" s="15" t="s">
        <v>12</v>
      </c>
    </row>
    <row r="67" spans="1:13" ht="19.149999999999999" customHeight="1" x14ac:dyDescent="0.3">
      <c r="A67" s="16" t="s">
        <v>658</v>
      </c>
      <c r="B67" s="16" t="s">
        <v>658</v>
      </c>
      <c r="C67" s="16">
        <v>1</v>
      </c>
      <c r="D67" s="16" t="s">
        <v>732</v>
      </c>
      <c r="E67" s="16" t="s">
        <v>27</v>
      </c>
      <c r="F67" s="23">
        <v>46003</v>
      </c>
      <c r="G67" s="24">
        <v>32</v>
      </c>
      <c r="H67" s="24" t="s">
        <v>270</v>
      </c>
      <c r="I67" s="16">
        <v>66897599</v>
      </c>
      <c r="J67" s="87"/>
    </row>
    <row r="68" spans="1:13" ht="19.149999999999999" customHeight="1" x14ac:dyDescent="0.3">
      <c r="A68" s="16" t="s">
        <v>658</v>
      </c>
      <c r="B68" s="16" t="s">
        <v>658</v>
      </c>
      <c r="C68" s="16">
        <v>1</v>
      </c>
      <c r="D68" s="16" t="s">
        <v>28</v>
      </c>
      <c r="E68" s="16" t="s">
        <v>27</v>
      </c>
      <c r="F68" s="23">
        <v>46003</v>
      </c>
      <c r="G68" s="24">
        <v>15</v>
      </c>
      <c r="H68" s="24" t="s">
        <v>17</v>
      </c>
      <c r="I68" s="16"/>
      <c r="J68" s="87"/>
    </row>
    <row r="69" spans="1:13" ht="19.149999999999999" customHeight="1" x14ac:dyDescent="0.3">
      <c r="A69" s="16" t="s">
        <v>658</v>
      </c>
      <c r="B69" s="16" t="s">
        <v>658</v>
      </c>
      <c r="C69" s="16">
        <v>1</v>
      </c>
      <c r="D69" s="16" t="s">
        <v>6</v>
      </c>
      <c r="E69" s="16" t="s">
        <v>27</v>
      </c>
      <c r="F69" s="23">
        <v>46003</v>
      </c>
      <c r="G69" s="24">
        <v>12</v>
      </c>
      <c r="H69" s="24" t="s">
        <v>17</v>
      </c>
      <c r="I69" s="16"/>
      <c r="J69" s="87"/>
    </row>
    <row r="70" spans="1:13" ht="19.149999999999999" customHeight="1" x14ac:dyDescent="0.3">
      <c r="A70" s="16">
        <v>1500003023</v>
      </c>
      <c r="B70" s="16" t="s">
        <v>668</v>
      </c>
      <c r="C70" s="16">
        <v>1</v>
      </c>
      <c r="D70" s="16" t="s">
        <v>6</v>
      </c>
      <c r="E70" s="16" t="s">
        <v>50</v>
      </c>
      <c r="F70" s="23">
        <v>46004</v>
      </c>
      <c r="G70" s="24">
        <v>12</v>
      </c>
      <c r="H70" s="24" t="s">
        <v>18</v>
      </c>
      <c r="I70" s="16">
        <v>38660315</v>
      </c>
      <c r="J70" s="74">
        <v>996479333</v>
      </c>
      <c r="K70" s="7" t="s">
        <v>410</v>
      </c>
      <c r="L70" s="57"/>
      <c r="M70" s="15" t="s">
        <v>12</v>
      </c>
    </row>
    <row r="71" spans="1:13" ht="19.149999999999999" customHeight="1" x14ac:dyDescent="0.3">
      <c r="A71" s="16">
        <v>1500003023</v>
      </c>
      <c r="B71" s="16" t="s">
        <v>668</v>
      </c>
      <c r="C71" s="16">
        <v>1</v>
      </c>
      <c r="D71" s="16" t="s">
        <v>28</v>
      </c>
      <c r="E71" s="16" t="s">
        <v>27</v>
      </c>
      <c r="F71" s="23">
        <v>46004</v>
      </c>
      <c r="G71" s="24">
        <v>15</v>
      </c>
      <c r="H71" s="24" t="s">
        <v>18</v>
      </c>
      <c r="I71" s="16">
        <v>38660315</v>
      </c>
      <c r="J71" s="74">
        <v>996479333</v>
      </c>
      <c r="K71" s="7" t="s">
        <v>410</v>
      </c>
      <c r="L71" s="57"/>
      <c r="M71" s="15" t="s">
        <v>12</v>
      </c>
    </row>
    <row r="72" spans="1:13" ht="19.149999999999999" customHeight="1" x14ac:dyDescent="0.3">
      <c r="A72" s="16">
        <v>1718764119</v>
      </c>
      <c r="B72" s="16" t="s">
        <v>1212</v>
      </c>
      <c r="C72" s="16">
        <v>1</v>
      </c>
      <c r="D72" s="16" t="s">
        <v>52</v>
      </c>
      <c r="E72" s="16" t="s">
        <v>27</v>
      </c>
      <c r="F72" s="23">
        <v>46004</v>
      </c>
      <c r="G72" s="24">
        <v>16</v>
      </c>
      <c r="H72" s="24" t="s">
        <v>18</v>
      </c>
      <c r="I72" s="16">
        <v>48207822</v>
      </c>
      <c r="J72" s="75">
        <v>999380328</v>
      </c>
      <c r="K72" s="3" t="s">
        <v>400</v>
      </c>
      <c r="L72" s="53"/>
      <c r="M72" s="15" t="s">
        <v>12</v>
      </c>
    </row>
    <row r="73" spans="1:13" ht="19.149999999999999" customHeight="1" x14ac:dyDescent="0.3">
      <c r="A73" s="16">
        <v>1718764119</v>
      </c>
      <c r="B73" s="16" t="s">
        <v>1212</v>
      </c>
      <c r="C73" s="16">
        <v>1</v>
      </c>
      <c r="D73" s="16" t="s">
        <v>28</v>
      </c>
      <c r="E73" s="16" t="s">
        <v>27</v>
      </c>
      <c r="F73" s="23">
        <v>46004</v>
      </c>
      <c r="G73" s="24">
        <v>15</v>
      </c>
      <c r="H73" s="24" t="s">
        <v>18</v>
      </c>
      <c r="I73" s="16">
        <v>48207822</v>
      </c>
      <c r="J73" s="75">
        <v>999380328</v>
      </c>
      <c r="K73" s="3" t="s">
        <v>400</v>
      </c>
      <c r="L73" s="53"/>
      <c r="M73" s="15" t="s">
        <v>12</v>
      </c>
    </row>
    <row r="74" spans="1:13" ht="19.149999999999999" customHeight="1" x14ac:dyDescent="0.3">
      <c r="A74" s="16">
        <v>1718764119</v>
      </c>
      <c r="B74" s="16" t="s">
        <v>1212</v>
      </c>
      <c r="C74" s="16">
        <v>1</v>
      </c>
      <c r="D74" s="16" t="s">
        <v>32</v>
      </c>
      <c r="E74" s="16" t="s">
        <v>50</v>
      </c>
      <c r="F74" s="23">
        <v>46004</v>
      </c>
      <c r="G74" s="24">
        <v>10</v>
      </c>
      <c r="H74" s="24" t="s">
        <v>18</v>
      </c>
      <c r="I74" s="16">
        <v>48207822</v>
      </c>
      <c r="J74" s="75">
        <v>999380328</v>
      </c>
      <c r="K74" s="3" t="s">
        <v>400</v>
      </c>
      <c r="L74" s="53"/>
      <c r="M74" s="15" t="s">
        <v>12</v>
      </c>
    </row>
    <row r="75" spans="1:13" ht="19.149999999999999" customHeight="1" x14ac:dyDescent="0.3">
      <c r="A75" s="16">
        <v>1718764119</v>
      </c>
      <c r="B75" s="16" t="s">
        <v>1212</v>
      </c>
      <c r="C75" s="16">
        <v>1</v>
      </c>
      <c r="D75" s="16" t="s">
        <v>53</v>
      </c>
      <c r="E75" s="16" t="s">
        <v>50</v>
      </c>
      <c r="F75" s="23">
        <v>46004</v>
      </c>
      <c r="G75" s="24">
        <v>12</v>
      </c>
      <c r="H75" s="24" t="s">
        <v>18</v>
      </c>
      <c r="I75" s="16">
        <v>48207822</v>
      </c>
      <c r="J75" s="75">
        <v>999380328</v>
      </c>
      <c r="K75" s="3" t="s">
        <v>400</v>
      </c>
      <c r="L75" s="53"/>
      <c r="M75" s="15" t="s">
        <v>12</v>
      </c>
    </row>
    <row r="76" spans="1:13" ht="19.149999999999999" customHeight="1" x14ac:dyDescent="0.3">
      <c r="A76" s="16">
        <v>1707963227</v>
      </c>
      <c r="B76" s="16" t="s">
        <v>33</v>
      </c>
      <c r="C76" s="16">
        <v>1</v>
      </c>
      <c r="D76" s="16" t="s">
        <v>28</v>
      </c>
      <c r="E76" s="16" t="s">
        <v>27</v>
      </c>
      <c r="F76" s="23">
        <v>46004</v>
      </c>
      <c r="G76" s="24">
        <v>15</v>
      </c>
      <c r="H76" s="24" t="s">
        <v>18</v>
      </c>
      <c r="I76" s="24"/>
      <c r="J76" s="47">
        <v>962842721</v>
      </c>
      <c r="K76" s="5" t="s">
        <v>399</v>
      </c>
      <c r="L76" s="64">
        <v>46242</v>
      </c>
      <c r="M76" s="62" t="s">
        <v>12</v>
      </c>
    </row>
    <row r="77" spans="1:13" ht="19.149999999999999" customHeight="1" x14ac:dyDescent="0.3">
      <c r="A77" s="16" t="s">
        <v>658</v>
      </c>
      <c r="B77" s="16" t="s">
        <v>49</v>
      </c>
      <c r="C77" s="16">
        <v>1</v>
      </c>
      <c r="D77" s="16" t="s">
        <v>28</v>
      </c>
      <c r="E77" s="16" t="s">
        <v>27</v>
      </c>
      <c r="F77" s="23">
        <v>46004</v>
      </c>
      <c r="G77" s="24">
        <v>15</v>
      </c>
      <c r="H77" s="24" t="s">
        <v>18</v>
      </c>
      <c r="I77" s="16">
        <v>31327027</v>
      </c>
      <c r="J77" s="87"/>
    </row>
    <row r="78" spans="1:13" ht="19.149999999999999" customHeight="1" x14ac:dyDescent="0.3">
      <c r="A78" s="16">
        <v>1721946067</v>
      </c>
      <c r="B78" s="16" t="s">
        <v>31</v>
      </c>
      <c r="C78" s="16">
        <v>1</v>
      </c>
      <c r="D78" s="16" t="s">
        <v>51</v>
      </c>
      <c r="E78" s="16" t="s">
        <v>50</v>
      </c>
      <c r="F78" s="23">
        <v>46004</v>
      </c>
      <c r="G78" s="24">
        <v>18</v>
      </c>
      <c r="H78" s="24" t="s">
        <v>144</v>
      </c>
      <c r="I78" s="16">
        <v>1001</v>
      </c>
      <c r="J78" s="47">
        <v>997562221</v>
      </c>
      <c r="K78" s="5" t="s">
        <v>433</v>
      </c>
      <c r="L78" s="64">
        <v>46322</v>
      </c>
      <c r="M78" s="15" t="s">
        <v>12</v>
      </c>
    </row>
    <row r="79" spans="1:13" ht="19.149999999999999" customHeight="1" x14ac:dyDescent="0.3">
      <c r="A79" s="16">
        <v>1714063292</v>
      </c>
      <c r="B79" s="16" t="s">
        <v>29</v>
      </c>
      <c r="C79" s="16">
        <v>1</v>
      </c>
      <c r="D79" s="16" t="s">
        <v>32</v>
      </c>
      <c r="E79" s="16" t="s">
        <v>50</v>
      </c>
      <c r="F79" s="23">
        <v>46004</v>
      </c>
      <c r="G79" s="24">
        <v>7</v>
      </c>
      <c r="H79" s="24" t="s">
        <v>144</v>
      </c>
      <c r="I79" s="16">
        <v>1001</v>
      </c>
      <c r="J79" s="47">
        <v>995674830</v>
      </c>
      <c r="K79" s="5" t="s">
        <v>430</v>
      </c>
      <c r="L79" s="54"/>
      <c r="M79" s="15" t="s">
        <v>12</v>
      </c>
    </row>
    <row r="80" spans="1:13" ht="19.149999999999999" customHeight="1" x14ac:dyDescent="0.3">
      <c r="A80" s="16">
        <v>1714063292</v>
      </c>
      <c r="B80" s="16" t="s">
        <v>29</v>
      </c>
      <c r="C80" s="16">
        <v>1</v>
      </c>
      <c r="D80" s="16" t="s">
        <v>54</v>
      </c>
      <c r="E80" s="16" t="s">
        <v>103</v>
      </c>
      <c r="F80" s="23">
        <v>46004</v>
      </c>
      <c r="G80" s="24">
        <v>35</v>
      </c>
      <c r="H80" s="24" t="s">
        <v>144</v>
      </c>
      <c r="I80" s="16">
        <v>1002</v>
      </c>
      <c r="J80" s="47">
        <v>995674830</v>
      </c>
      <c r="K80" s="5" t="s">
        <v>430</v>
      </c>
      <c r="L80" s="54"/>
      <c r="M80" s="15" t="s">
        <v>12</v>
      </c>
    </row>
    <row r="81" spans="1:13" ht="19.149999999999999" customHeight="1" x14ac:dyDescent="0.3">
      <c r="A81" s="16" t="s">
        <v>658</v>
      </c>
      <c r="B81" s="16" t="s">
        <v>55</v>
      </c>
      <c r="C81" s="16">
        <v>1</v>
      </c>
      <c r="D81" s="16" t="s">
        <v>28</v>
      </c>
      <c r="E81" s="16" t="s">
        <v>27</v>
      </c>
      <c r="F81" s="23">
        <v>46005</v>
      </c>
      <c r="G81" s="24">
        <v>15</v>
      </c>
      <c r="H81" s="24" t="s">
        <v>18</v>
      </c>
      <c r="I81" s="27">
        <v>88501662</v>
      </c>
      <c r="J81" s="49">
        <v>995001425</v>
      </c>
      <c r="K81" s="2" t="s">
        <v>401</v>
      </c>
      <c r="L81" s="52"/>
      <c r="M81" s="15" t="s">
        <v>12</v>
      </c>
    </row>
    <row r="82" spans="1:13" ht="19.149999999999999" customHeight="1" x14ac:dyDescent="0.3">
      <c r="A82" s="16">
        <v>106143837</v>
      </c>
      <c r="B82" s="16" t="s">
        <v>56</v>
      </c>
      <c r="C82" s="16">
        <v>1</v>
      </c>
      <c r="D82" s="16" t="s">
        <v>800</v>
      </c>
      <c r="E82" s="16" t="s">
        <v>27</v>
      </c>
      <c r="F82" s="23">
        <v>46005</v>
      </c>
      <c r="G82" s="24">
        <v>13</v>
      </c>
      <c r="H82" s="24" t="s">
        <v>18</v>
      </c>
      <c r="I82" s="27">
        <v>106505653</v>
      </c>
      <c r="J82" s="49">
        <v>959814387</v>
      </c>
      <c r="K82" s="2" t="s">
        <v>402</v>
      </c>
      <c r="L82" s="52"/>
      <c r="M82" s="15" t="s">
        <v>12</v>
      </c>
    </row>
    <row r="83" spans="1:13" ht="19.149999999999999" customHeight="1" x14ac:dyDescent="0.3">
      <c r="A83" s="16">
        <v>1701432229</v>
      </c>
      <c r="B83" s="16" t="s">
        <v>58</v>
      </c>
      <c r="C83" s="16">
        <v>1</v>
      </c>
      <c r="D83" s="16" t="s">
        <v>32</v>
      </c>
      <c r="E83" s="16" t="s">
        <v>27</v>
      </c>
      <c r="F83" s="23">
        <v>46005</v>
      </c>
      <c r="G83" s="24">
        <v>10</v>
      </c>
      <c r="H83" s="24" t="s">
        <v>18</v>
      </c>
      <c r="I83" s="27">
        <v>94658698</v>
      </c>
      <c r="J83" s="47">
        <v>962842721</v>
      </c>
      <c r="K83" s="5" t="s">
        <v>1192</v>
      </c>
      <c r="L83" s="64">
        <v>46033</v>
      </c>
      <c r="M83" s="62" t="s">
        <v>12</v>
      </c>
    </row>
    <row r="84" spans="1:13" ht="19.149999999999999" customHeight="1" x14ac:dyDescent="0.3">
      <c r="A84" s="16" t="s">
        <v>658</v>
      </c>
      <c r="B84" s="16" t="s">
        <v>57</v>
      </c>
      <c r="C84" s="16">
        <v>1</v>
      </c>
      <c r="D84" s="16" t="s">
        <v>32</v>
      </c>
      <c r="E84" s="16" t="s">
        <v>27</v>
      </c>
      <c r="F84" s="23">
        <v>46005</v>
      </c>
      <c r="G84" s="24">
        <v>10</v>
      </c>
      <c r="H84" s="24" t="s">
        <v>18</v>
      </c>
      <c r="I84" s="27">
        <v>107262013</v>
      </c>
      <c r="J84" s="49">
        <v>998923138</v>
      </c>
      <c r="K84" s="2" t="s">
        <v>403</v>
      </c>
      <c r="L84" s="52"/>
      <c r="M84" s="15" t="s">
        <v>12</v>
      </c>
    </row>
    <row r="85" spans="1:13" ht="19.149999999999999" customHeight="1" x14ac:dyDescent="0.3">
      <c r="A85" s="16" t="s">
        <v>658</v>
      </c>
      <c r="B85" s="16" t="s">
        <v>57</v>
      </c>
      <c r="C85" s="16">
        <v>1</v>
      </c>
      <c r="D85" s="16" t="s">
        <v>53</v>
      </c>
      <c r="E85" s="16" t="s">
        <v>27</v>
      </c>
      <c r="F85" s="23">
        <v>46005</v>
      </c>
      <c r="G85" s="24">
        <v>12</v>
      </c>
      <c r="H85" s="24" t="s">
        <v>18</v>
      </c>
      <c r="I85" s="27">
        <v>107262013</v>
      </c>
      <c r="J85" s="49">
        <v>998923138</v>
      </c>
      <c r="K85" s="2" t="s">
        <v>403</v>
      </c>
      <c r="L85" s="52"/>
      <c r="M85" s="15" t="s">
        <v>12</v>
      </c>
    </row>
    <row r="86" spans="1:13" ht="19.149999999999999" customHeight="1" x14ac:dyDescent="0.3">
      <c r="A86" s="16" t="s">
        <v>658</v>
      </c>
      <c r="B86" s="16" t="s">
        <v>57</v>
      </c>
      <c r="C86" s="16">
        <v>1</v>
      </c>
      <c r="D86" s="16" t="s">
        <v>28</v>
      </c>
      <c r="E86" s="16" t="s">
        <v>50</v>
      </c>
      <c r="F86" s="23">
        <v>46005</v>
      </c>
      <c r="G86" s="24">
        <v>15</v>
      </c>
      <c r="H86" s="24" t="s">
        <v>18</v>
      </c>
      <c r="I86" s="27">
        <v>107262013</v>
      </c>
      <c r="J86" s="49">
        <v>998923138</v>
      </c>
      <c r="K86" s="2" t="s">
        <v>403</v>
      </c>
      <c r="L86" s="52"/>
      <c r="M86" s="15" t="s">
        <v>12</v>
      </c>
    </row>
    <row r="87" spans="1:13" ht="19.149999999999999" customHeight="1" x14ac:dyDescent="0.3">
      <c r="A87" s="16" t="s">
        <v>658</v>
      </c>
      <c r="B87" s="16" t="s">
        <v>57</v>
      </c>
      <c r="C87" s="16">
        <v>1</v>
      </c>
      <c r="D87" s="16" t="s">
        <v>53</v>
      </c>
      <c r="E87" s="16" t="s">
        <v>50</v>
      </c>
      <c r="F87" s="23">
        <v>46005</v>
      </c>
      <c r="G87" s="24">
        <v>12</v>
      </c>
      <c r="H87" s="24" t="s">
        <v>18</v>
      </c>
      <c r="I87" s="27">
        <v>107262013</v>
      </c>
      <c r="J87" s="49">
        <v>998923138</v>
      </c>
      <c r="K87" s="2" t="s">
        <v>403</v>
      </c>
      <c r="L87" s="52"/>
      <c r="M87" s="15" t="s">
        <v>12</v>
      </c>
    </row>
    <row r="88" spans="1:13" ht="19.149999999999999" customHeight="1" x14ac:dyDescent="0.3">
      <c r="A88" s="16">
        <v>1802650844</v>
      </c>
      <c r="B88" s="16" t="s">
        <v>36</v>
      </c>
      <c r="C88" s="16">
        <v>1</v>
      </c>
      <c r="D88" s="16" t="s">
        <v>740</v>
      </c>
      <c r="E88" s="16" t="s">
        <v>50</v>
      </c>
      <c r="F88" s="23">
        <v>46005</v>
      </c>
      <c r="G88" s="24">
        <v>8</v>
      </c>
      <c r="H88" s="24" t="s">
        <v>17</v>
      </c>
      <c r="I88" s="84" t="s">
        <v>59</v>
      </c>
      <c r="J88" s="73">
        <v>997760897</v>
      </c>
      <c r="K88" s="17"/>
      <c r="L88" s="51"/>
      <c r="M88" s="15" t="s">
        <v>12</v>
      </c>
    </row>
    <row r="89" spans="1:13" ht="19.149999999999999" customHeight="1" x14ac:dyDescent="0.3">
      <c r="A89" s="16">
        <v>1707963227</v>
      </c>
      <c r="B89" s="16" t="s">
        <v>33</v>
      </c>
      <c r="C89" s="16">
        <v>1</v>
      </c>
      <c r="D89" s="16" t="s">
        <v>32</v>
      </c>
      <c r="E89" s="16" t="s">
        <v>50</v>
      </c>
      <c r="F89" s="23">
        <v>46005</v>
      </c>
      <c r="G89" s="24">
        <v>10</v>
      </c>
      <c r="H89" s="24" t="s">
        <v>18</v>
      </c>
      <c r="I89" s="27">
        <v>94658698</v>
      </c>
      <c r="J89" s="47">
        <v>962842721</v>
      </c>
      <c r="K89" s="5" t="s">
        <v>399</v>
      </c>
      <c r="L89" s="64">
        <v>46242</v>
      </c>
      <c r="M89" s="62" t="s">
        <v>12</v>
      </c>
    </row>
    <row r="90" spans="1:13" ht="19.149999999999999" customHeight="1" x14ac:dyDescent="0.3">
      <c r="A90" s="16" t="s">
        <v>658</v>
      </c>
      <c r="B90" s="16" t="s">
        <v>967</v>
      </c>
      <c r="C90" s="16">
        <v>1</v>
      </c>
      <c r="D90" s="16" t="s">
        <v>28</v>
      </c>
      <c r="E90" s="16" t="s">
        <v>27</v>
      </c>
      <c r="F90" s="23">
        <v>46006</v>
      </c>
      <c r="G90" s="24">
        <v>15</v>
      </c>
      <c r="H90" s="24" t="s">
        <v>270</v>
      </c>
      <c r="I90" s="16">
        <v>208893080</v>
      </c>
      <c r="J90" s="87"/>
    </row>
    <row r="91" spans="1:13" ht="19.149999999999999" customHeight="1" x14ac:dyDescent="0.3">
      <c r="A91" s="16" t="s">
        <v>658</v>
      </c>
      <c r="B91" s="16" t="s">
        <v>658</v>
      </c>
      <c r="C91" s="16">
        <v>1</v>
      </c>
      <c r="D91" s="16" t="s">
        <v>28</v>
      </c>
      <c r="E91" s="16" t="s">
        <v>50</v>
      </c>
      <c r="F91" s="23">
        <v>46006</v>
      </c>
      <c r="G91" s="24">
        <v>15</v>
      </c>
      <c r="H91" s="24" t="s">
        <v>17</v>
      </c>
      <c r="I91" s="16"/>
      <c r="J91" s="87"/>
    </row>
    <row r="92" spans="1:13" ht="19.149999999999999" customHeight="1" x14ac:dyDescent="0.3">
      <c r="A92" s="16">
        <v>1721675153</v>
      </c>
      <c r="B92" s="16" t="s">
        <v>156</v>
      </c>
      <c r="C92" s="16">
        <v>1</v>
      </c>
      <c r="D92" s="16" t="s">
        <v>28</v>
      </c>
      <c r="E92" s="16" t="s">
        <v>27</v>
      </c>
      <c r="F92" s="23">
        <v>46006</v>
      </c>
      <c r="G92" s="24">
        <v>15</v>
      </c>
      <c r="H92" s="24" t="s">
        <v>270</v>
      </c>
      <c r="I92" s="16">
        <v>208893080</v>
      </c>
      <c r="J92" s="47">
        <v>992877753</v>
      </c>
      <c r="K92" s="5" t="s">
        <v>464</v>
      </c>
      <c r="L92" s="54"/>
      <c r="M92" s="15" t="s">
        <v>12</v>
      </c>
    </row>
    <row r="93" spans="1:13" ht="19.149999999999999" customHeight="1" x14ac:dyDescent="0.3">
      <c r="A93" s="16" t="s">
        <v>658</v>
      </c>
      <c r="B93" s="16" t="s">
        <v>658</v>
      </c>
      <c r="C93" s="16">
        <v>1</v>
      </c>
      <c r="D93" s="16" t="s">
        <v>102</v>
      </c>
      <c r="E93" s="16" t="s">
        <v>50</v>
      </c>
      <c r="F93" s="23">
        <v>46007</v>
      </c>
      <c r="G93" s="24">
        <v>10</v>
      </c>
      <c r="H93" s="24" t="s">
        <v>17</v>
      </c>
      <c r="I93" s="16"/>
      <c r="J93" s="87"/>
    </row>
    <row r="94" spans="1:13" ht="19.149999999999999" customHeight="1" x14ac:dyDescent="0.3">
      <c r="A94" s="16" t="s">
        <v>658</v>
      </c>
      <c r="B94" s="16" t="s">
        <v>658</v>
      </c>
      <c r="C94" s="16">
        <v>1</v>
      </c>
      <c r="D94" s="16" t="s">
        <v>28</v>
      </c>
      <c r="E94" s="16" t="s">
        <v>50</v>
      </c>
      <c r="F94" s="23">
        <v>46007</v>
      </c>
      <c r="G94" s="24">
        <v>15</v>
      </c>
      <c r="H94" s="24" t="s">
        <v>17</v>
      </c>
      <c r="I94" s="16"/>
      <c r="J94" s="87"/>
    </row>
    <row r="95" spans="1:13" ht="19.149999999999999" customHeight="1" x14ac:dyDescent="0.3">
      <c r="A95" s="16" t="s">
        <v>658</v>
      </c>
      <c r="B95" s="16" t="s">
        <v>658</v>
      </c>
      <c r="C95" s="16">
        <v>1</v>
      </c>
      <c r="D95" s="16" t="s">
        <v>6</v>
      </c>
      <c r="E95" s="16" t="s">
        <v>50</v>
      </c>
      <c r="F95" s="23">
        <v>46007</v>
      </c>
      <c r="G95" s="24">
        <v>12</v>
      </c>
      <c r="H95" s="24" t="s">
        <v>17</v>
      </c>
      <c r="I95" s="16"/>
      <c r="J95" s="87"/>
    </row>
    <row r="96" spans="1:13" ht="19.149999999999999" customHeight="1" x14ac:dyDescent="0.3">
      <c r="A96" s="16" t="s">
        <v>658</v>
      </c>
      <c r="B96" s="16" t="s">
        <v>658</v>
      </c>
      <c r="C96" s="16">
        <v>1</v>
      </c>
      <c r="D96" s="16" t="s">
        <v>28</v>
      </c>
      <c r="E96" s="16" t="s">
        <v>50</v>
      </c>
      <c r="F96" s="23">
        <v>46007</v>
      </c>
      <c r="G96" s="24">
        <v>15</v>
      </c>
      <c r="H96" s="24" t="s">
        <v>144</v>
      </c>
      <c r="I96" s="16"/>
      <c r="J96" s="87"/>
    </row>
    <row r="97" spans="1:13" ht="19.149999999999999" customHeight="1" x14ac:dyDescent="0.3">
      <c r="A97" s="16" t="s">
        <v>658</v>
      </c>
      <c r="B97" s="16" t="s">
        <v>658</v>
      </c>
      <c r="C97" s="16">
        <v>1</v>
      </c>
      <c r="D97" s="16" t="s">
        <v>694</v>
      </c>
      <c r="E97" s="16" t="s">
        <v>27</v>
      </c>
      <c r="F97" s="23">
        <v>46007</v>
      </c>
      <c r="G97" s="24">
        <v>22</v>
      </c>
      <c r="H97" s="24" t="s">
        <v>144</v>
      </c>
      <c r="I97" s="16"/>
      <c r="J97" s="87"/>
    </row>
    <row r="98" spans="1:13" ht="19.149999999999999" customHeight="1" x14ac:dyDescent="0.3">
      <c r="A98" s="16" t="s">
        <v>658</v>
      </c>
      <c r="B98" s="16" t="s">
        <v>658</v>
      </c>
      <c r="C98" s="16">
        <v>1</v>
      </c>
      <c r="D98" s="16" t="s">
        <v>28</v>
      </c>
      <c r="E98" s="16" t="s">
        <v>27</v>
      </c>
      <c r="F98" s="23">
        <v>46007</v>
      </c>
      <c r="G98" s="24">
        <v>30</v>
      </c>
      <c r="H98" s="24" t="s">
        <v>17</v>
      </c>
      <c r="I98" s="16"/>
      <c r="J98" s="87"/>
    </row>
    <row r="99" spans="1:13" ht="19.149999999999999" customHeight="1" x14ac:dyDescent="0.3">
      <c r="A99" s="16">
        <v>1717177966</v>
      </c>
      <c r="B99" s="16" t="s">
        <v>60</v>
      </c>
      <c r="C99" s="16">
        <v>1</v>
      </c>
      <c r="D99" s="16" t="s">
        <v>28</v>
      </c>
      <c r="E99" s="16" t="s">
        <v>50</v>
      </c>
      <c r="F99" s="23">
        <v>46010</v>
      </c>
      <c r="G99" s="24">
        <v>15</v>
      </c>
      <c r="H99" s="24" t="s">
        <v>40</v>
      </c>
      <c r="I99" s="16">
        <v>34469020900</v>
      </c>
      <c r="J99" s="47">
        <v>987830893</v>
      </c>
      <c r="K99" s="5" t="s">
        <v>553</v>
      </c>
      <c r="L99" s="54"/>
      <c r="M99" s="15" t="s">
        <v>12</v>
      </c>
    </row>
    <row r="100" spans="1:13" ht="19.149999999999999" customHeight="1" x14ac:dyDescent="0.3">
      <c r="A100" s="16">
        <v>1717177966</v>
      </c>
      <c r="B100" s="16" t="s">
        <v>60</v>
      </c>
      <c r="C100" s="16">
        <v>1</v>
      </c>
      <c r="D100" s="16" t="s">
        <v>28</v>
      </c>
      <c r="E100" s="16" t="s">
        <v>27</v>
      </c>
      <c r="F100" s="23">
        <v>46010</v>
      </c>
      <c r="G100" s="24">
        <v>15</v>
      </c>
      <c r="H100" s="24" t="s">
        <v>40</v>
      </c>
      <c r="I100" s="16">
        <v>3469020900</v>
      </c>
      <c r="J100" s="47">
        <v>987830893</v>
      </c>
      <c r="K100" s="5" t="s">
        <v>553</v>
      </c>
      <c r="L100" s="54"/>
      <c r="M100" s="15" t="s">
        <v>12</v>
      </c>
    </row>
    <row r="101" spans="1:13" ht="19.149999999999999" customHeight="1" x14ac:dyDescent="0.3">
      <c r="A101" s="16" t="s">
        <v>658</v>
      </c>
      <c r="B101" s="16" t="s">
        <v>658</v>
      </c>
      <c r="C101" s="16">
        <v>1</v>
      </c>
      <c r="D101" s="16" t="s">
        <v>888</v>
      </c>
      <c r="E101" s="16" t="s">
        <v>27</v>
      </c>
      <c r="F101" s="23">
        <v>46010</v>
      </c>
      <c r="G101" s="24">
        <v>25</v>
      </c>
      <c r="H101" s="24" t="s">
        <v>17</v>
      </c>
      <c r="I101" s="16"/>
      <c r="J101" s="87"/>
    </row>
    <row r="102" spans="1:13" ht="19.149999999999999" customHeight="1" x14ac:dyDescent="0.3">
      <c r="A102" s="16" t="s">
        <v>658</v>
      </c>
      <c r="B102" s="16" t="s">
        <v>658</v>
      </c>
      <c r="C102" s="16">
        <v>1</v>
      </c>
      <c r="D102" s="16" t="s">
        <v>6</v>
      </c>
      <c r="E102" s="16" t="s">
        <v>27</v>
      </c>
      <c r="F102" s="23">
        <v>46010</v>
      </c>
      <c r="G102" s="24">
        <v>12</v>
      </c>
      <c r="H102" s="24" t="s">
        <v>17</v>
      </c>
      <c r="I102" s="16"/>
      <c r="J102" s="87"/>
    </row>
    <row r="103" spans="1:13" ht="19.149999999999999" customHeight="1" x14ac:dyDescent="0.3">
      <c r="A103" s="16" t="s">
        <v>658</v>
      </c>
      <c r="B103" s="16" t="s">
        <v>663</v>
      </c>
      <c r="C103" s="16">
        <v>1</v>
      </c>
      <c r="D103" s="16" t="s">
        <v>102</v>
      </c>
      <c r="E103" s="16" t="s">
        <v>50</v>
      </c>
      <c r="F103" s="23">
        <v>46010</v>
      </c>
      <c r="G103" s="24">
        <v>10</v>
      </c>
      <c r="H103" s="24" t="s">
        <v>270</v>
      </c>
      <c r="I103" s="16">
        <v>66846804</v>
      </c>
      <c r="J103" s="87"/>
    </row>
    <row r="104" spans="1:13" ht="19.149999999999999" customHeight="1" x14ac:dyDescent="0.3">
      <c r="A104" s="27">
        <v>1716041510001</v>
      </c>
      <c r="B104" s="16" t="s">
        <v>975</v>
      </c>
      <c r="C104" s="16">
        <v>1</v>
      </c>
      <c r="D104" s="16" t="s">
        <v>53</v>
      </c>
      <c r="E104" s="16" t="s">
        <v>27</v>
      </c>
      <c r="F104" s="23">
        <v>46011</v>
      </c>
      <c r="G104" s="24">
        <v>12</v>
      </c>
      <c r="H104" s="24" t="s">
        <v>18</v>
      </c>
      <c r="I104" s="27">
        <v>32894370</v>
      </c>
      <c r="J104" s="49">
        <v>995176421</v>
      </c>
      <c r="K104" s="2" t="s">
        <v>404</v>
      </c>
      <c r="L104" s="52"/>
      <c r="M104" s="15" t="s">
        <v>12</v>
      </c>
    </row>
    <row r="105" spans="1:13" ht="19.149999999999999" customHeight="1" x14ac:dyDescent="0.3">
      <c r="A105" s="27">
        <v>1716041510001</v>
      </c>
      <c r="B105" s="16" t="s">
        <v>975</v>
      </c>
      <c r="C105" s="16">
        <v>1</v>
      </c>
      <c r="D105" s="16" t="s">
        <v>701</v>
      </c>
      <c r="E105" s="16" t="s">
        <v>27</v>
      </c>
      <c r="F105" s="23">
        <v>46011</v>
      </c>
      <c r="G105" s="24">
        <f>15+5+4.5+2</f>
        <v>26.5</v>
      </c>
      <c r="H105" s="24" t="s">
        <v>18</v>
      </c>
      <c r="I105" s="27">
        <v>32894370</v>
      </c>
      <c r="J105" s="49">
        <v>995176421</v>
      </c>
      <c r="K105" s="2" t="s">
        <v>404</v>
      </c>
      <c r="L105" s="52"/>
      <c r="M105" s="15" t="s">
        <v>12</v>
      </c>
    </row>
    <row r="106" spans="1:13" ht="19.149999999999999" customHeight="1" x14ac:dyDescent="0.3">
      <c r="A106" s="16" t="s">
        <v>658</v>
      </c>
      <c r="B106" s="16" t="s">
        <v>62</v>
      </c>
      <c r="C106" s="16">
        <v>1</v>
      </c>
      <c r="D106" s="16" t="s">
        <v>28</v>
      </c>
      <c r="E106" s="16" t="s">
        <v>50</v>
      </c>
      <c r="F106" s="23">
        <v>46011</v>
      </c>
      <c r="G106" s="24">
        <v>15</v>
      </c>
      <c r="H106" s="24" t="s">
        <v>270</v>
      </c>
      <c r="I106" s="16">
        <v>50060823</v>
      </c>
      <c r="J106" s="87"/>
    </row>
    <row r="107" spans="1:13" ht="19.149999999999999" customHeight="1" x14ac:dyDescent="0.3">
      <c r="A107" s="16">
        <v>1718346016</v>
      </c>
      <c r="B107" s="16" t="s">
        <v>282</v>
      </c>
      <c r="C107" s="16">
        <v>1</v>
      </c>
      <c r="D107" s="16" t="s">
        <v>889</v>
      </c>
      <c r="E107" s="16" t="s">
        <v>27</v>
      </c>
      <c r="F107" s="23">
        <v>46011</v>
      </c>
      <c r="G107" s="24">
        <v>20</v>
      </c>
      <c r="H107" s="24" t="s">
        <v>270</v>
      </c>
      <c r="I107" s="16">
        <v>57808515</v>
      </c>
      <c r="J107" s="47">
        <v>998578703</v>
      </c>
      <c r="K107" s="5" t="s">
        <v>496</v>
      </c>
      <c r="L107" s="54"/>
      <c r="M107" s="15" t="s">
        <v>12</v>
      </c>
    </row>
    <row r="108" spans="1:13" ht="19.149999999999999" customHeight="1" x14ac:dyDescent="0.3">
      <c r="A108" s="16" t="s">
        <v>658</v>
      </c>
      <c r="B108" s="16" t="s">
        <v>1209</v>
      </c>
      <c r="C108" s="16">
        <v>1</v>
      </c>
      <c r="D108" s="16" t="s">
        <v>733</v>
      </c>
      <c r="E108" s="16" t="s">
        <v>27</v>
      </c>
      <c r="F108" s="23">
        <v>46011</v>
      </c>
      <c r="G108" s="24">
        <v>40</v>
      </c>
      <c r="H108" s="24" t="s">
        <v>270</v>
      </c>
      <c r="I108" s="16">
        <v>43058141</v>
      </c>
      <c r="J108" s="87"/>
    </row>
    <row r="109" spans="1:13" ht="19.149999999999999" customHeight="1" x14ac:dyDescent="0.3">
      <c r="A109" s="16" t="s">
        <v>658</v>
      </c>
      <c r="B109" s="16" t="s">
        <v>61</v>
      </c>
      <c r="C109" s="16">
        <v>1</v>
      </c>
      <c r="D109" s="16" t="s">
        <v>32</v>
      </c>
      <c r="E109" s="16" t="s">
        <v>50</v>
      </c>
      <c r="F109" s="23">
        <v>46011</v>
      </c>
      <c r="G109" s="24">
        <v>10</v>
      </c>
      <c r="H109" s="24" t="s">
        <v>18</v>
      </c>
      <c r="I109" s="27">
        <v>23499260</v>
      </c>
      <c r="J109" s="87"/>
    </row>
    <row r="110" spans="1:13" ht="19.149999999999999" customHeight="1" x14ac:dyDescent="0.3">
      <c r="A110" s="16" t="s">
        <v>658</v>
      </c>
      <c r="B110" s="16" t="s">
        <v>61</v>
      </c>
      <c r="C110" s="16">
        <v>1</v>
      </c>
      <c r="D110" s="16" t="s">
        <v>102</v>
      </c>
      <c r="E110" s="16" t="s">
        <v>50</v>
      </c>
      <c r="F110" s="23">
        <v>46011</v>
      </c>
      <c r="G110" s="24">
        <v>10</v>
      </c>
      <c r="H110" s="24" t="s">
        <v>270</v>
      </c>
      <c r="I110" s="16">
        <v>23499260</v>
      </c>
      <c r="J110" s="87"/>
    </row>
    <row r="111" spans="1:13" ht="19.149999999999999" customHeight="1" x14ac:dyDescent="0.3">
      <c r="A111" s="16" t="s">
        <v>658</v>
      </c>
      <c r="B111" s="16" t="s">
        <v>658</v>
      </c>
      <c r="C111" s="16">
        <v>1</v>
      </c>
      <c r="D111" s="16" t="s">
        <v>747</v>
      </c>
      <c r="E111" s="16" t="s">
        <v>50</v>
      </c>
      <c r="F111" s="23">
        <v>46011</v>
      </c>
      <c r="G111" s="24">
        <v>8</v>
      </c>
      <c r="H111" s="24" t="s">
        <v>17</v>
      </c>
      <c r="I111" s="16"/>
      <c r="J111" s="87"/>
    </row>
    <row r="112" spans="1:13" ht="19.149999999999999" customHeight="1" x14ac:dyDescent="0.3">
      <c r="A112" s="16">
        <v>1707123897</v>
      </c>
      <c r="B112" s="16" t="s">
        <v>216</v>
      </c>
      <c r="C112" s="16">
        <v>1</v>
      </c>
      <c r="D112" s="16" t="s">
        <v>52</v>
      </c>
      <c r="E112" s="16" t="s">
        <v>27</v>
      </c>
      <c r="F112" s="23">
        <v>46012</v>
      </c>
      <c r="G112" s="24">
        <v>16</v>
      </c>
      <c r="H112" s="24" t="s">
        <v>270</v>
      </c>
      <c r="I112" s="16">
        <v>102523418</v>
      </c>
      <c r="J112" s="76">
        <v>987282698</v>
      </c>
      <c r="K112" s="9" t="s">
        <v>451</v>
      </c>
      <c r="L112" s="58"/>
      <c r="M112" s="15" t="s">
        <v>12</v>
      </c>
    </row>
    <row r="113" spans="1:12" ht="19.149999999999999" customHeight="1" x14ac:dyDescent="0.3">
      <c r="A113" s="16" t="s">
        <v>658</v>
      </c>
      <c r="B113" s="16" t="s">
        <v>38</v>
      </c>
      <c r="C113" s="16">
        <v>1</v>
      </c>
      <c r="D113" s="16" t="s">
        <v>732</v>
      </c>
      <c r="E113" s="16" t="s">
        <v>27</v>
      </c>
      <c r="F113" s="23">
        <v>46012</v>
      </c>
      <c r="G113" s="24">
        <v>32</v>
      </c>
      <c r="H113" s="24" t="s">
        <v>270</v>
      </c>
      <c r="I113" s="16">
        <v>118988829</v>
      </c>
      <c r="J113" s="87"/>
    </row>
    <row r="114" spans="1:12" ht="19.149999999999999" customHeight="1" x14ac:dyDescent="0.3">
      <c r="A114" s="16" t="s">
        <v>658</v>
      </c>
      <c r="B114" s="16" t="s">
        <v>658</v>
      </c>
      <c r="C114" s="16">
        <v>1</v>
      </c>
      <c r="D114" s="16" t="s">
        <v>102</v>
      </c>
      <c r="E114" s="16" t="s">
        <v>50</v>
      </c>
      <c r="F114" s="23">
        <v>46012</v>
      </c>
      <c r="G114" s="24">
        <v>10</v>
      </c>
      <c r="H114" s="24" t="s">
        <v>144</v>
      </c>
      <c r="I114" s="16">
        <v>28</v>
      </c>
      <c r="J114" s="87"/>
    </row>
    <row r="115" spans="1:12" ht="19.149999999999999" customHeight="1" x14ac:dyDescent="0.3">
      <c r="A115" s="16" t="s">
        <v>658</v>
      </c>
      <c r="B115" s="16" t="s">
        <v>658</v>
      </c>
      <c r="C115" s="16">
        <v>1</v>
      </c>
      <c r="D115" s="16" t="s">
        <v>28</v>
      </c>
      <c r="E115" s="16" t="s">
        <v>27</v>
      </c>
      <c r="F115" s="23">
        <v>46012</v>
      </c>
      <c r="G115" s="24">
        <v>15</v>
      </c>
      <c r="H115" s="24" t="s">
        <v>17</v>
      </c>
      <c r="I115" s="16"/>
      <c r="J115" s="87"/>
    </row>
    <row r="116" spans="1:12" ht="19.149999999999999" customHeight="1" x14ac:dyDescent="0.3">
      <c r="A116" s="16" t="s">
        <v>658</v>
      </c>
      <c r="B116" s="16" t="s">
        <v>658</v>
      </c>
      <c r="C116" s="16">
        <v>1</v>
      </c>
      <c r="D116" s="16" t="s">
        <v>766</v>
      </c>
      <c r="E116" s="16" t="s">
        <v>50</v>
      </c>
      <c r="F116" s="23">
        <v>46012</v>
      </c>
      <c r="G116" s="24">
        <v>19</v>
      </c>
      <c r="H116" s="24" t="s">
        <v>17</v>
      </c>
      <c r="I116" s="16"/>
      <c r="J116" s="87"/>
    </row>
    <row r="117" spans="1:12" ht="19.149999999999999" customHeight="1" x14ac:dyDescent="0.3">
      <c r="A117" s="16" t="s">
        <v>658</v>
      </c>
      <c r="B117" s="16" t="s">
        <v>658</v>
      </c>
      <c r="C117" s="16">
        <v>1</v>
      </c>
      <c r="D117" s="16" t="s">
        <v>379</v>
      </c>
      <c r="E117" s="16" t="s">
        <v>50</v>
      </c>
      <c r="F117" s="23">
        <v>46012</v>
      </c>
      <c r="G117" s="24">
        <v>23</v>
      </c>
      <c r="H117" s="24" t="s">
        <v>17</v>
      </c>
      <c r="I117" s="16"/>
      <c r="J117" s="87"/>
    </row>
    <row r="118" spans="1:12" ht="19.149999999999999" customHeight="1" x14ac:dyDescent="0.3">
      <c r="A118" s="16">
        <v>1723645212</v>
      </c>
      <c r="B118" s="16" t="s">
        <v>63</v>
      </c>
      <c r="C118" s="16">
        <v>1</v>
      </c>
      <c r="D118" s="16" t="s">
        <v>28</v>
      </c>
      <c r="E118" s="16" t="s">
        <v>27</v>
      </c>
      <c r="F118" s="23">
        <v>46012</v>
      </c>
      <c r="G118" s="24">
        <v>15</v>
      </c>
      <c r="H118" s="24" t="s">
        <v>270</v>
      </c>
      <c r="I118" s="16">
        <v>92652646</v>
      </c>
      <c r="J118" s="87">
        <v>995490435</v>
      </c>
      <c r="K118" s="12" t="s">
        <v>980</v>
      </c>
      <c r="L118" s="68">
        <v>46177</v>
      </c>
    </row>
    <row r="119" spans="1:12" ht="19.149999999999999" customHeight="1" x14ac:dyDescent="0.3">
      <c r="A119" s="16">
        <v>1700875436</v>
      </c>
      <c r="B119" s="16" t="s">
        <v>1170</v>
      </c>
      <c r="C119" s="16">
        <v>1</v>
      </c>
      <c r="D119" s="16" t="s">
        <v>28</v>
      </c>
      <c r="E119" s="16" t="s">
        <v>50</v>
      </c>
      <c r="F119" s="23">
        <v>46013</v>
      </c>
      <c r="G119" s="24">
        <v>15</v>
      </c>
      <c r="H119" s="24" t="s">
        <v>270</v>
      </c>
      <c r="I119" s="16">
        <v>203996561</v>
      </c>
      <c r="J119" s="87"/>
    </row>
    <row r="120" spans="1:12" ht="19.149999999999999" customHeight="1" x14ac:dyDescent="0.3">
      <c r="A120" s="16" t="s">
        <v>658</v>
      </c>
      <c r="B120" s="16" t="s">
        <v>64</v>
      </c>
      <c r="C120" s="16">
        <v>1</v>
      </c>
      <c r="D120" s="16" t="s">
        <v>741</v>
      </c>
      <c r="E120" s="16" t="s">
        <v>50</v>
      </c>
      <c r="F120" s="23">
        <v>46013</v>
      </c>
      <c r="G120" s="24">
        <v>22</v>
      </c>
      <c r="H120" s="24" t="s">
        <v>270</v>
      </c>
      <c r="I120" s="16">
        <v>205502381</v>
      </c>
      <c r="J120" s="87"/>
    </row>
    <row r="121" spans="1:12" ht="19.149999999999999" customHeight="1" x14ac:dyDescent="0.3">
      <c r="A121" s="16" t="s">
        <v>658</v>
      </c>
      <c r="B121" s="16" t="s">
        <v>658</v>
      </c>
      <c r="C121" s="16">
        <v>1</v>
      </c>
      <c r="D121" s="16" t="s">
        <v>28</v>
      </c>
      <c r="E121" s="16" t="s">
        <v>27</v>
      </c>
      <c r="F121" s="23">
        <v>46013</v>
      </c>
      <c r="G121" s="24">
        <v>30</v>
      </c>
      <c r="H121" s="24" t="s">
        <v>40</v>
      </c>
      <c r="I121" s="16"/>
      <c r="J121" s="87"/>
    </row>
    <row r="122" spans="1:12" ht="19.149999999999999" customHeight="1" x14ac:dyDescent="0.3">
      <c r="A122" s="16" t="s">
        <v>658</v>
      </c>
      <c r="B122" s="16" t="s">
        <v>1205</v>
      </c>
      <c r="C122" s="16">
        <v>1</v>
      </c>
      <c r="D122" s="16" t="s">
        <v>794</v>
      </c>
      <c r="E122" s="16" t="s">
        <v>27</v>
      </c>
      <c r="F122" s="23">
        <v>46014</v>
      </c>
      <c r="G122" s="24">
        <v>31</v>
      </c>
      <c r="H122" s="24" t="s">
        <v>270</v>
      </c>
      <c r="I122" s="16">
        <v>87436724</v>
      </c>
      <c r="J122" s="87"/>
    </row>
    <row r="123" spans="1:12" ht="19.149999999999999" customHeight="1" x14ac:dyDescent="0.3">
      <c r="A123" s="16" t="s">
        <v>658</v>
      </c>
      <c r="B123" s="16" t="s">
        <v>65</v>
      </c>
      <c r="C123" s="16">
        <v>1</v>
      </c>
      <c r="D123" s="16" t="s">
        <v>801</v>
      </c>
      <c r="E123" s="16" t="s">
        <v>50</v>
      </c>
      <c r="F123" s="23">
        <v>46014</v>
      </c>
      <c r="G123" s="24">
        <v>33</v>
      </c>
      <c r="H123" s="24" t="s">
        <v>270</v>
      </c>
      <c r="I123" s="16">
        <v>42943775</v>
      </c>
      <c r="J123" s="87"/>
    </row>
    <row r="124" spans="1:12" ht="19.149999999999999" customHeight="1" x14ac:dyDescent="0.3">
      <c r="A124" s="16" t="s">
        <v>658</v>
      </c>
      <c r="B124" s="16" t="s">
        <v>66</v>
      </c>
      <c r="C124" s="16">
        <v>1</v>
      </c>
      <c r="D124" s="16" t="s">
        <v>762</v>
      </c>
      <c r="E124" s="16" t="s">
        <v>27</v>
      </c>
      <c r="F124" s="23">
        <v>46014</v>
      </c>
      <c r="G124" s="24">
        <v>20</v>
      </c>
      <c r="H124" s="24" t="s">
        <v>270</v>
      </c>
      <c r="I124" s="16">
        <v>46709532</v>
      </c>
      <c r="J124" s="87"/>
    </row>
    <row r="125" spans="1:12" ht="19.149999999999999" customHeight="1" x14ac:dyDescent="0.3">
      <c r="A125" s="16" t="s">
        <v>658</v>
      </c>
      <c r="B125" s="16" t="s">
        <v>658</v>
      </c>
      <c r="C125" s="16">
        <v>1</v>
      </c>
      <c r="D125" s="16" t="s">
        <v>766</v>
      </c>
      <c r="E125" s="16" t="s">
        <v>50</v>
      </c>
      <c r="F125" s="23">
        <v>46014</v>
      </c>
      <c r="G125" s="24">
        <v>15</v>
      </c>
      <c r="H125" s="24" t="s">
        <v>17</v>
      </c>
      <c r="I125" s="16"/>
      <c r="J125" s="87"/>
    </row>
    <row r="126" spans="1:12" ht="19.149999999999999" customHeight="1" x14ac:dyDescent="0.3">
      <c r="A126" s="16" t="s">
        <v>658</v>
      </c>
      <c r="B126" s="16" t="s">
        <v>658</v>
      </c>
      <c r="C126" s="16">
        <v>1</v>
      </c>
      <c r="D126" s="16" t="s">
        <v>798</v>
      </c>
      <c r="E126" s="16" t="s">
        <v>50</v>
      </c>
      <c r="F126" s="23">
        <v>46014</v>
      </c>
      <c r="G126" s="24">
        <v>8</v>
      </c>
      <c r="H126" s="24" t="s">
        <v>17</v>
      </c>
      <c r="I126" s="16"/>
      <c r="J126" s="87"/>
    </row>
    <row r="127" spans="1:12" ht="19.149999999999999" customHeight="1" x14ac:dyDescent="0.3">
      <c r="A127" s="16" t="s">
        <v>658</v>
      </c>
      <c r="B127" s="16" t="s">
        <v>658</v>
      </c>
      <c r="C127" s="16">
        <v>1</v>
      </c>
      <c r="D127" s="16" t="s">
        <v>794</v>
      </c>
      <c r="E127" s="16" t="s">
        <v>50</v>
      </c>
      <c r="F127" s="23">
        <v>46014</v>
      </c>
      <c r="G127" s="24">
        <v>15</v>
      </c>
      <c r="H127" s="24" t="s">
        <v>17</v>
      </c>
      <c r="I127" s="16"/>
      <c r="J127" s="87"/>
    </row>
    <row r="128" spans="1:12" ht="19.149999999999999" customHeight="1" x14ac:dyDescent="0.3">
      <c r="A128" s="16" t="s">
        <v>658</v>
      </c>
      <c r="B128" s="16" t="s">
        <v>658</v>
      </c>
      <c r="C128" s="16">
        <v>1</v>
      </c>
      <c r="D128" s="16" t="s">
        <v>6</v>
      </c>
      <c r="E128" s="16" t="s">
        <v>50</v>
      </c>
      <c r="F128" s="23">
        <v>46014</v>
      </c>
      <c r="G128" s="24">
        <v>12</v>
      </c>
      <c r="H128" s="24" t="s">
        <v>17</v>
      </c>
      <c r="I128" s="16"/>
      <c r="J128" s="87"/>
    </row>
    <row r="129" spans="1:13" ht="19.149999999999999" customHeight="1" x14ac:dyDescent="0.3">
      <c r="A129" s="16" t="s">
        <v>658</v>
      </c>
      <c r="B129" s="16" t="s">
        <v>658</v>
      </c>
      <c r="C129" s="16">
        <v>1</v>
      </c>
      <c r="D129" s="16" t="s">
        <v>274</v>
      </c>
      <c r="E129" s="16" t="s">
        <v>27</v>
      </c>
      <c r="F129" s="23">
        <v>46014</v>
      </c>
      <c r="G129" s="24">
        <v>5</v>
      </c>
      <c r="H129" s="24" t="s">
        <v>17</v>
      </c>
      <c r="I129" s="16"/>
      <c r="J129" s="87"/>
    </row>
    <row r="130" spans="1:13" ht="19.149999999999999" customHeight="1" x14ac:dyDescent="0.3">
      <c r="A130" s="16" t="s">
        <v>658</v>
      </c>
      <c r="B130" s="16" t="s">
        <v>658</v>
      </c>
      <c r="C130" s="16">
        <v>1</v>
      </c>
      <c r="D130" s="16" t="s">
        <v>732</v>
      </c>
      <c r="E130" s="16" t="s">
        <v>27</v>
      </c>
      <c r="F130" s="23">
        <v>46014</v>
      </c>
      <c r="G130" s="24">
        <v>32</v>
      </c>
      <c r="H130" s="24" t="s">
        <v>17</v>
      </c>
      <c r="I130" s="16"/>
      <c r="J130" s="87"/>
    </row>
    <row r="131" spans="1:13" ht="19.149999999999999" customHeight="1" x14ac:dyDescent="0.3">
      <c r="A131" s="16" t="s">
        <v>658</v>
      </c>
      <c r="B131" s="16" t="s">
        <v>658</v>
      </c>
      <c r="C131" s="16">
        <v>1</v>
      </c>
      <c r="D131" s="16" t="s">
        <v>274</v>
      </c>
      <c r="E131" s="16" t="s">
        <v>27</v>
      </c>
      <c r="F131" s="23">
        <v>46014</v>
      </c>
      <c r="G131" s="24">
        <v>5</v>
      </c>
      <c r="H131" s="24" t="s">
        <v>17</v>
      </c>
      <c r="I131" s="16"/>
      <c r="J131" s="87"/>
    </row>
    <row r="132" spans="1:13" ht="19.149999999999999" customHeight="1" x14ac:dyDescent="0.3">
      <c r="A132" s="16" t="s">
        <v>658</v>
      </c>
      <c r="B132" s="16" t="s">
        <v>658</v>
      </c>
      <c r="C132" s="16">
        <v>1</v>
      </c>
      <c r="D132" s="16" t="s">
        <v>802</v>
      </c>
      <c r="E132" s="16" t="s">
        <v>27</v>
      </c>
      <c r="F132" s="23">
        <v>46014</v>
      </c>
      <c r="G132" s="24">
        <v>8</v>
      </c>
      <c r="H132" s="24" t="s">
        <v>17</v>
      </c>
      <c r="I132" s="16"/>
      <c r="J132" s="87"/>
    </row>
    <row r="133" spans="1:13" ht="19.149999999999999" customHeight="1" x14ac:dyDescent="0.3">
      <c r="A133" s="16" t="s">
        <v>658</v>
      </c>
      <c r="B133" s="16" t="s">
        <v>658</v>
      </c>
      <c r="C133" s="16">
        <v>1</v>
      </c>
      <c r="D133" s="16" t="s">
        <v>28</v>
      </c>
      <c r="E133" s="16" t="s">
        <v>27</v>
      </c>
      <c r="F133" s="23">
        <v>46014</v>
      </c>
      <c r="G133" s="24">
        <v>15</v>
      </c>
      <c r="H133" s="24" t="s">
        <v>17</v>
      </c>
      <c r="I133" s="16"/>
      <c r="J133" s="87"/>
    </row>
    <row r="134" spans="1:13" ht="19.149999999999999" customHeight="1" x14ac:dyDescent="0.3">
      <c r="A134" s="16" t="s">
        <v>658</v>
      </c>
      <c r="B134" s="16" t="s">
        <v>658</v>
      </c>
      <c r="C134" s="16">
        <v>1</v>
      </c>
      <c r="D134" s="16" t="s">
        <v>52</v>
      </c>
      <c r="E134" s="16" t="s">
        <v>27</v>
      </c>
      <c r="F134" s="23">
        <v>46014</v>
      </c>
      <c r="G134" s="24">
        <v>16</v>
      </c>
      <c r="H134" s="24" t="s">
        <v>17</v>
      </c>
      <c r="I134" s="16"/>
      <c r="J134" s="87"/>
    </row>
    <row r="135" spans="1:13" ht="19.149999999999999" customHeight="1" x14ac:dyDescent="0.3">
      <c r="A135" s="16" t="s">
        <v>658</v>
      </c>
      <c r="B135" s="16" t="s">
        <v>658</v>
      </c>
      <c r="C135" s="16">
        <v>1</v>
      </c>
      <c r="D135" s="16" t="s">
        <v>274</v>
      </c>
      <c r="E135" s="16" t="s">
        <v>27</v>
      </c>
      <c r="F135" s="23">
        <v>46014</v>
      </c>
      <c r="G135" s="24">
        <v>5</v>
      </c>
      <c r="H135" s="24" t="s">
        <v>17</v>
      </c>
      <c r="I135" s="16"/>
      <c r="J135" s="87"/>
    </row>
    <row r="136" spans="1:13" ht="19.149999999999999" customHeight="1" x14ac:dyDescent="0.3">
      <c r="A136" s="16">
        <v>1723184295</v>
      </c>
      <c r="B136" s="16" t="s">
        <v>671</v>
      </c>
      <c r="C136" s="16">
        <v>1</v>
      </c>
      <c r="D136" s="16" t="s">
        <v>764</v>
      </c>
      <c r="E136" s="16" t="s">
        <v>50</v>
      </c>
      <c r="F136" s="23">
        <v>46015</v>
      </c>
      <c r="G136" s="24">
        <v>20</v>
      </c>
      <c r="H136" s="24" t="s">
        <v>270</v>
      </c>
      <c r="I136" s="16">
        <v>70280054</v>
      </c>
      <c r="J136" s="87"/>
    </row>
    <row r="137" spans="1:13" ht="19.149999999999999" customHeight="1" x14ac:dyDescent="0.3">
      <c r="A137" s="16" t="s">
        <v>658</v>
      </c>
      <c r="B137" s="16" t="s">
        <v>68</v>
      </c>
      <c r="C137" s="16">
        <v>1</v>
      </c>
      <c r="D137" s="16" t="s">
        <v>274</v>
      </c>
      <c r="E137" s="16" t="s">
        <v>50</v>
      </c>
      <c r="F137" s="23">
        <v>46015</v>
      </c>
      <c r="G137" s="24">
        <v>5</v>
      </c>
      <c r="H137" s="24" t="s">
        <v>270</v>
      </c>
      <c r="I137" s="16">
        <v>59924838</v>
      </c>
      <c r="J137" s="87"/>
    </row>
    <row r="138" spans="1:13" ht="19.149999999999999" customHeight="1" x14ac:dyDescent="0.3">
      <c r="A138" s="16" t="s">
        <v>658</v>
      </c>
      <c r="B138" s="16" t="s">
        <v>69</v>
      </c>
      <c r="C138" s="16">
        <v>1</v>
      </c>
      <c r="D138" s="16" t="s">
        <v>695</v>
      </c>
      <c r="E138" s="16" t="s">
        <v>27</v>
      </c>
      <c r="F138" s="23">
        <v>46015</v>
      </c>
      <c r="G138" s="24">
        <v>22</v>
      </c>
      <c r="H138" s="24" t="s">
        <v>270</v>
      </c>
      <c r="I138" s="16">
        <v>59770980</v>
      </c>
      <c r="J138" s="87"/>
    </row>
    <row r="139" spans="1:13" ht="19.149999999999999" customHeight="1" x14ac:dyDescent="0.3">
      <c r="A139" s="16" t="s">
        <v>658</v>
      </c>
      <c r="B139" s="16" t="s">
        <v>72</v>
      </c>
      <c r="C139" s="16">
        <v>1</v>
      </c>
      <c r="D139" s="16" t="s">
        <v>803</v>
      </c>
      <c r="E139" s="16" t="s">
        <v>27</v>
      </c>
      <c r="F139" s="23">
        <v>46015</v>
      </c>
      <c r="G139" s="24">
        <v>32</v>
      </c>
      <c r="H139" s="24" t="s">
        <v>270</v>
      </c>
      <c r="I139" s="16">
        <v>29013348</v>
      </c>
      <c r="J139" s="87"/>
    </row>
    <row r="140" spans="1:13" ht="19.149999999999999" customHeight="1" x14ac:dyDescent="0.3">
      <c r="A140" s="16">
        <v>1720171246</v>
      </c>
      <c r="B140" s="16" t="s">
        <v>67</v>
      </c>
      <c r="C140" s="16">
        <v>1</v>
      </c>
      <c r="D140" s="16" t="s">
        <v>767</v>
      </c>
      <c r="E140" s="16" t="s">
        <v>27</v>
      </c>
      <c r="F140" s="23">
        <v>46015</v>
      </c>
      <c r="G140" s="24">
        <v>26</v>
      </c>
      <c r="H140" s="24" t="s">
        <v>270</v>
      </c>
      <c r="I140" s="16">
        <v>67550758</v>
      </c>
      <c r="J140" s="87"/>
    </row>
    <row r="141" spans="1:13" ht="19.149999999999999" customHeight="1" x14ac:dyDescent="0.3">
      <c r="A141" s="16" t="s">
        <v>658</v>
      </c>
      <c r="B141" s="16" t="s">
        <v>70</v>
      </c>
      <c r="C141" s="16">
        <v>1</v>
      </c>
      <c r="D141" s="16" t="s">
        <v>768</v>
      </c>
      <c r="E141" s="16" t="s">
        <v>27</v>
      </c>
      <c r="F141" s="23">
        <v>46015</v>
      </c>
      <c r="G141" s="24">
        <v>27</v>
      </c>
      <c r="H141" s="24" t="s">
        <v>270</v>
      </c>
      <c r="I141" s="16">
        <v>54235921</v>
      </c>
      <c r="J141" s="87"/>
    </row>
    <row r="142" spans="1:13" ht="19.149999999999999" customHeight="1" x14ac:dyDescent="0.3">
      <c r="A142" s="16" t="s">
        <v>658</v>
      </c>
      <c r="B142" s="16" t="s">
        <v>658</v>
      </c>
      <c r="C142" s="16">
        <v>1</v>
      </c>
      <c r="D142" s="16" t="s">
        <v>28</v>
      </c>
      <c r="E142" s="16" t="s">
        <v>27</v>
      </c>
      <c r="F142" s="23">
        <v>46015</v>
      </c>
      <c r="G142" s="24">
        <v>15</v>
      </c>
      <c r="H142" s="24" t="s">
        <v>17</v>
      </c>
      <c r="I142" s="16"/>
      <c r="J142" s="87"/>
    </row>
    <row r="143" spans="1:13" ht="19.149999999999999" customHeight="1" x14ac:dyDescent="0.3">
      <c r="A143" s="16">
        <v>1722544226</v>
      </c>
      <c r="B143" s="16" t="s">
        <v>71</v>
      </c>
      <c r="C143" s="16">
        <v>1</v>
      </c>
      <c r="D143" s="16" t="s">
        <v>803</v>
      </c>
      <c r="E143" s="16" t="s">
        <v>27</v>
      </c>
      <c r="F143" s="23">
        <v>46015</v>
      </c>
      <c r="G143" s="24">
        <v>40</v>
      </c>
      <c r="H143" s="24" t="s">
        <v>40</v>
      </c>
      <c r="I143" s="16">
        <v>51094023</v>
      </c>
      <c r="J143" s="49">
        <v>992792740</v>
      </c>
      <c r="K143" s="2" t="s">
        <v>424</v>
      </c>
      <c r="L143" s="52"/>
      <c r="M143" s="15" t="s">
        <v>12</v>
      </c>
    </row>
    <row r="144" spans="1:13" ht="19.149999999999999" customHeight="1" x14ac:dyDescent="0.3">
      <c r="A144" s="72" t="s">
        <v>658</v>
      </c>
      <c r="B144" s="72" t="s">
        <v>75</v>
      </c>
      <c r="C144" s="16">
        <v>1</v>
      </c>
      <c r="D144" s="72" t="s">
        <v>748</v>
      </c>
      <c r="E144" s="16" t="s">
        <v>27</v>
      </c>
      <c r="F144" s="23">
        <v>46017</v>
      </c>
      <c r="G144" s="83">
        <v>13</v>
      </c>
      <c r="H144" s="83" t="s">
        <v>949</v>
      </c>
      <c r="I144" s="16">
        <v>86090334</v>
      </c>
      <c r="J144" s="87"/>
    </row>
    <row r="145" spans="1:13" ht="19.149999999999999" customHeight="1" x14ac:dyDescent="0.3">
      <c r="A145" s="72" t="s">
        <v>658</v>
      </c>
      <c r="B145" s="72" t="s">
        <v>73</v>
      </c>
      <c r="C145" s="16">
        <v>1</v>
      </c>
      <c r="D145" s="72" t="s">
        <v>804</v>
      </c>
      <c r="E145" s="16" t="s">
        <v>50</v>
      </c>
      <c r="F145" s="23">
        <v>46017</v>
      </c>
      <c r="G145" s="83">
        <v>22</v>
      </c>
      <c r="H145" s="83" t="s">
        <v>74</v>
      </c>
      <c r="I145" s="16">
        <v>138867020900</v>
      </c>
      <c r="J145" s="87"/>
    </row>
    <row r="146" spans="1:13" ht="19.149999999999999" customHeight="1" x14ac:dyDescent="0.3">
      <c r="A146" s="16" t="s">
        <v>658</v>
      </c>
      <c r="B146" s="16" t="s">
        <v>658</v>
      </c>
      <c r="C146" s="16">
        <v>1</v>
      </c>
      <c r="D146" s="72" t="s">
        <v>769</v>
      </c>
      <c r="E146" s="16" t="s">
        <v>50</v>
      </c>
      <c r="F146" s="23">
        <v>46017</v>
      </c>
      <c r="G146" s="83">
        <v>20</v>
      </c>
      <c r="H146" s="24" t="s">
        <v>17</v>
      </c>
      <c r="I146" s="16"/>
      <c r="J146" s="87"/>
    </row>
    <row r="147" spans="1:13" ht="19.149999999999999" customHeight="1" x14ac:dyDescent="0.3">
      <c r="A147" s="16" t="s">
        <v>658</v>
      </c>
      <c r="B147" s="16" t="s">
        <v>658</v>
      </c>
      <c r="C147" s="16">
        <v>1</v>
      </c>
      <c r="D147" s="72" t="s">
        <v>762</v>
      </c>
      <c r="E147" s="16" t="s">
        <v>27</v>
      </c>
      <c r="F147" s="23">
        <v>46017</v>
      </c>
      <c r="G147" s="83">
        <v>20</v>
      </c>
      <c r="H147" s="24" t="s">
        <v>17</v>
      </c>
      <c r="I147" s="16"/>
      <c r="J147" s="87"/>
    </row>
    <row r="148" spans="1:13" ht="19.149999999999999" customHeight="1" x14ac:dyDescent="0.3">
      <c r="A148" s="72" t="s">
        <v>658</v>
      </c>
      <c r="B148" s="72" t="s">
        <v>672</v>
      </c>
      <c r="C148" s="16">
        <v>1</v>
      </c>
      <c r="D148" s="72" t="s">
        <v>102</v>
      </c>
      <c r="E148" s="16" t="s">
        <v>27</v>
      </c>
      <c r="F148" s="23">
        <v>46017</v>
      </c>
      <c r="G148" s="83">
        <v>10</v>
      </c>
      <c r="H148" s="83" t="s">
        <v>949</v>
      </c>
      <c r="I148" s="16">
        <v>109079629</v>
      </c>
      <c r="J148" s="87"/>
    </row>
    <row r="149" spans="1:13" ht="19.149999999999999" customHeight="1" x14ac:dyDescent="0.3">
      <c r="A149" s="16" t="s">
        <v>658</v>
      </c>
      <c r="B149" s="16" t="s">
        <v>79</v>
      </c>
      <c r="C149" s="16">
        <v>1</v>
      </c>
      <c r="D149" s="16" t="s">
        <v>155</v>
      </c>
      <c r="E149" s="16" t="s">
        <v>27</v>
      </c>
      <c r="F149" s="23">
        <v>46018</v>
      </c>
      <c r="G149" s="24">
        <v>32</v>
      </c>
      <c r="H149" s="24" t="s">
        <v>80</v>
      </c>
      <c r="I149" s="24"/>
      <c r="J149" s="49">
        <v>998028396</v>
      </c>
      <c r="K149" s="2" t="s">
        <v>406</v>
      </c>
      <c r="L149" s="52"/>
      <c r="M149" s="15" t="s">
        <v>12</v>
      </c>
    </row>
    <row r="150" spans="1:13" ht="19.149999999999999" customHeight="1" x14ac:dyDescent="0.3">
      <c r="A150" s="16" t="s">
        <v>658</v>
      </c>
      <c r="B150" s="16" t="s">
        <v>977</v>
      </c>
      <c r="C150" s="16">
        <v>1</v>
      </c>
      <c r="D150" s="16" t="s">
        <v>32</v>
      </c>
      <c r="E150" s="16" t="s">
        <v>27</v>
      </c>
      <c r="F150" s="23">
        <v>46018</v>
      </c>
      <c r="G150" s="24">
        <v>10</v>
      </c>
      <c r="H150" s="24" t="s">
        <v>18</v>
      </c>
      <c r="I150" s="24"/>
      <c r="J150" s="49">
        <v>995401635</v>
      </c>
      <c r="K150" s="2" t="s">
        <v>405</v>
      </c>
      <c r="L150" s="52"/>
      <c r="M150" s="15" t="s">
        <v>12</v>
      </c>
    </row>
    <row r="151" spans="1:13" ht="19.149999999999999" customHeight="1" x14ac:dyDescent="0.3">
      <c r="A151" s="16" t="s">
        <v>658</v>
      </c>
      <c r="B151" s="16" t="s">
        <v>77</v>
      </c>
      <c r="C151" s="16">
        <v>1</v>
      </c>
      <c r="D151" s="16" t="s">
        <v>702</v>
      </c>
      <c r="E151" s="16" t="s">
        <v>27</v>
      </c>
      <c r="F151" s="23">
        <v>46018</v>
      </c>
      <c r="G151" s="24">
        <v>20</v>
      </c>
      <c r="H151" s="24" t="s">
        <v>144</v>
      </c>
      <c r="I151" s="85"/>
      <c r="J151" s="49">
        <v>998991126</v>
      </c>
      <c r="K151" s="18"/>
      <c r="L151" s="46"/>
      <c r="M151" s="15" t="s">
        <v>12</v>
      </c>
    </row>
    <row r="152" spans="1:13" ht="19.149999999999999" customHeight="1" x14ac:dyDescent="0.3">
      <c r="A152" s="16" t="s">
        <v>658</v>
      </c>
      <c r="B152" s="16" t="s">
        <v>82</v>
      </c>
      <c r="C152" s="16">
        <v>1</v>
      </c>
      <c r="D152" s="16" t="s">
        <v>593</v>
      </c>
      <c r="E152" s="16" t="s">
        <v>27</v>
      </c>
      <c r="F152" s="23">
        <v>46018</v>
      </c>
      <c r="G152" s="24">
        <v>61</v>
      </c>
      <c r="H152" s="24" t="s">
        <v>144</v>
      </c>
      <c r="I152" s="24"/>
      <c r="J152" s="49">
        <v>978816199</v>
      </c>
      <c r="K152" s="18"/>
      <c r="L152" s="46"/>
      <c r="M152" s="15" t="s">
        <v>12</v>
      </c>
    </row>
    <row r="153" spans="1:13" ht="19.149999999999999" customHeight="1" x14ac:dyDescent="0.3">
      <c r="A153" s="16" t="s">
        <v>658</v>
      </c>
      <c r="B153" s="16" t="s">
        <v>81</v>
      </c>
      <c r="C153" s="16">
        <v>1</v>
      </c>
      <c r="D153" s="16" t="s">
        <v>702</v>
      </c>
      <c r="E153" s="16" t="s">
        <v>50</v>
      </c>
      <c r="F153" s="23">
        <v>46018</v>
      </c>
      <c r="G153" s="24">
        <v>20</v>
      </c>
      <c r="H153" s="24" t="s">
        <v>144</v>
      </c>
      <c r="I153" s="24"/>
      <c r="J153" s="49">
        <v>958996449</v>
      </c>
      <c r="K153" s="18"/>
      <c r="L153" s="46"/>
      <c r="M153" s="15" t="s">
        <v>12</v>
      </c>
    </row>
    <row r="154" spans="1:13" ht="19.149999999999999" customHeight="1" x14ac:dyDescent="0.3">
      <c r="A154" s="16" t="s">
        <v>658</v>
      </c>
      <c r="B154" s="16" t="s">
        <v>658</v>
      </c>
      <c r="C154" s="16">
        <v>1</v>
      </c>
      <c r="D154" s="16" t="s">
        <v>53</v>
      </c>
      <c r="E154" s="16" t="s">
        <v>27</v>
      </c>
      <c r="F154" s="23">
        <v>46018</v>
      </c>
      <c r="G154" s="24">
        <v>12</v>
      </c>
      <c r="H154" s="24" t="s">
        <v>18</v>
      </c>
      <c r="I154" s="85"/>
      <c r="J154" s="87"/>
    </row>
    <row r="155" spans="1:13" ht="19.149999999999999" customHeight="1" x14ac:dyDescent="0.3">
      <c r="A155" s="16" t="s">
        <v>658</v>
      </c>
      <c r="B155" s="16" t="s">
        <v>658</v>
      </c>
      <c r="C155" s="16">
        <v>1</v>
      </c>
      <c r="D155" s="16" t="s">
        <v>805</v>
      </c>
      <c r="E155" s="16" t="s">
        <v>50</v>
      </c>
      <c r="F155" s="23">
        <v>46018</v>
      </c>
      <c r="G155" s="24">
        <v>23</v>
      </c>
      <c r="H155" s="24" t="s">
        <v>18</v>
      </c>
      <c r="I155" s="85"/>
      <c r="J155" s="87"/>
    </row>
    <row r="156" spans="1:13" ht="19.149999999999999" customHeight="1" x14ac:dyDescent="0.3">
      <c r="A156" s="16" t="s">
        <v>658</v>
      </c>
      <c r="B156" s="16" t="s">
        <v>658</v>
      </c>
      <c r="C156" s="16">
        <v>1</v>
      </c>
      <c r="D156" s="16" t="s">
        <v>806</v>
      </c>
      <c r="E156" s="16" t="s">
        <v>50</v>
      </c>
      <c r="F156" s="23">
        <v>46018</v>
      </c>
      <c r="G156" s="24">
        <v>24</v>
      </c>
      <c r="H156" s="24" t="s">
        <v>18</v>
      </c>
      <c r="I156" s="85"/>
      <c r="J156" s="87"/>
    </row>
    <row r="157" spans="1:13" ht="19.149999999999999" customHeight="1" x14ac:dyDescent="0.3">
      <c r="A157" s="16" t="s">
        <v>658</v>
      </c>
      <c r="B157" s="16" t="s">
        <v>658</v>
      </c>
      <c r="C157" s="16">
        <v>1</v>
      </c>
      <c r="D157" s="16" t="s">
        <v>32</v>
      </c>
      <c r="E157" s="16" t="s">
        <v>50</v>
      </c>
      <c r="F157" s="23">
        <v>46018</v>
      </c>
      <c r="G157" s="24">
        <v>10</v>
      </c>
      <c r="H157" s="24" t="s">
        <v>18</v>
      </c>
      <c r="I157" s="24"/>
      <c r="J157" s="87"/>
    </row>
    <row r="158" spans="1:13" ht="19.149999999999999" customHeight="1" x14ac:dyDescent="0.3">
      <c r="A158" s="16" t="s">
        <v>658</v>
      </c>
      <c r="B158" s="16" t="s">
        <v>658</v>
      </c>
      <c r="C158" s="16">
        <v>1</v>
      </c>
      <c r="D158" s="16" t="s">
        <v>703</v>
      </c>
      <c r="E158" s="16" t="s">
        <v>50</v>
      </c>
      <c r="F158" s="23">
        <v>46018</v>
      </c>
      <c r="G158" s="24">
        <v>21</v>
      </c>
      <c r="H158" s="24" t="s">
        <v>144</v>
      </c>
      <c r="I158" s="24"/>
      <c r="J158" s="87"/>
    </row>
    <row r="159" spans="1:13" ht="19.149999999999999" customHeight="1" x14ac:dyDescent="0.3">
      <c r="A159" s="16" t="s">
        <v>658</v>
      </c>
      <c r="B159" s="16" t="s">
        <v>76</v>
      </c>
      <c r="C159" s="16">
        <v>1</v>
      </c>
      <c r="D159" s="16" t="s">
        <v>28</v>
      </c>
      <c r="E159" s="16" t="s">
        <v>27</v>
      </c>
      <c r="F159" s="23">
        <v>46018</v>
      </c>
      <c r="G159" s="24">
        <v>15</v>
      </c>
      <c r="H159" s="24" t="s">
        <v>18</v>
      </c>
      <c r="I159" s="85"/>
      <c r="J159" s="87"/>
      <c r="K159" s="5" t="s">
        <v>507</v>
      </c>
    </row>
    <row r="160" spans="1:13" ht="19.149999999999999" customHeight="1" x14ac:dyDescent="0.3">
      <c r="A160" s="16">
        <v>1721946067</v>
      </c>
      <c r="B160" s="16" t="s">
        <v>83</v>
      </c>
      <c r="C160" s="16">
        <v>1</v>
      </c>
      <c r="D160" s="16" t="s">
        <v>819</v>
      </c>
      <c r="E160" s="16" t="s">
        <v>50</v>
      </c>
      <c r="F160" s="23">
        <v>46018</v>
      </c>
      <c r="G160" s="24">
        <v>16</v>
      </c>
      <c r="H160" s="24" t="s">
        <v>144</v>
      </c>
      <c r="I160" s="24"/>
      <c r="J160" s="47">
        <v>997562221</v>
      </c>
      <c r="K160" s="5" t="s">
        <v>433</v>
      </c>
      <c r="L160" s="64">
        <v>46322</v>
      </c>
      <c r="M160" s="15" t="s">
        <v>12</v>
      </c>
    </row>
    <row r="161" spans="1:13" ht="19.149999999999999" customHeight="1" x14ac:dyDescent="0.3">
      <c r="A161" s="16">
        <v>1714063292</v>
      </c>
      <c r="B161" s="16" t="s">
        <v>78</v>
      </c>
      <c r="C161" s="16">
        <v>1</v>
      </c>
      <c r="D161" s="16" t="s">
        <v>749</v>
      </c>
      <c r="E161" s="16" t="s">
        <v>50</v>
      </c>
      <c r="F161" s="23">
        <v>46018</v>
      </c>
      <c r="G161" s="24">
        <v>6</v>
      </c>
      <c r="H161" s="24" t="s">
        <v>144</v>
      </c>
      <c r="I161" s="24"/>
      <c r="J161" s="47">
        <v>995674830</v>
      </c>
      <c r="K161" s="5" t="s">
        <v>430</v>
      </c>
      <c r="L161" s="54"/>
      <c r="M161" s="15" t="s">
        <v>12</v>
      </c>
    </row>
    <row r="162" spans="1:13" ht="19.149999999999999" customHeight="1" x14ac:dyDescent="0.3">
      <c r="A162" s="16" t="s">
        <v>658</v>
      </c>
      <c r="B162" s="16" t="s">
        <v>86</v>
      </c>
      <c r="C162" s="16">
        <v>1</v>
      </c>
      <c r="D162" s="16" t="s">
        <v>807</v>
      </c>
      <c r="E162" s="16" t="s">
        <v>27</v>
      </c>
      <c r="F162" s="23">
        <v>46019</v>
      </c>
      <c r="G162" s="24">
        <v>17</v>
      </c>
      <c r="H162" s="24" t="s">
        <v>40</v>
      </c>
      <c r="I162" s="16">
        <v>595009020900</v>
      </c>
      <c r="J162" s="87"/>
    </row>
    <row r="163" spans="1:13" ht="19.149999999999999" customHeight="1" x14ac:dyDescent="0.3">
      <c r="A163" s="16" t="s">
        <v>658</v>
      </c>
      <c r="B163" s="16" t="s">
        <v>87</v>
      </c>
      <c r="C163" s="16">
        <v>1</v>
      </c>
      <c r="D163" s="16" t="s">
        <v>28</v>
      </c>
      <c r="E163" s="16" t="s">
        <v>50</v>
      </c>
      <c r="F163" s="23">
        <v>46019</v>
      </c>
      <c r="G163" s="24">
        <v>15</v>
      </c>
      <c r="H163" s="24" t="s">
        <v>270</v>
      </c>
      <c r="I163" s="16">
        <v>100934386</v>
      </c>
      <c r="J163" s="87"/>
    </row>
    <row r="164" spans="1:13" ht="19.149999999999999" customHeight="1" x14ac:dyDescent="0.3">
      <c r="A164" s="16" t="s">
        <v>658</v>
      </c>
      <c r="B164" s="16" t="s">
        <v>85</v>
      </c>
      <c r="C164" s="16">
        <v>1</v>
      </c>
      <c r="D164" s="16" t="s">
        <v>768</v>
      </c>
      <c r="E164" s="16" t="s">
        <v>50</v>
      </c>
      <c r="F164" s="23">
        <v>46019</v>
      </c>
      <c r="G164" s="24">
        <v>27</v>
      </c>
      <c r="H164" s="24" t="s">
        <v>40</v>
      </c>
      <c r="I164" s="16">
        <v>96852569</v>
      </c>
      <c r="J164" s="87"/>
    </row>
    <row r="165" spans="1:13" ht="19.149999999999999" customHeight="1" x14ac:dyDescent="0.3">
      <c r="A165" s="16" t="s">
        <v>658</v>
      </c>
      <c r="B165" s="16" t="s">
        <v>658</v>
      </c>
      <c r="C165" s="16">
        <v>1</v>
      </c>
      <c r="D165" s="16" t="s">
        <v>795</v>
      </c>
      <c r="E165" s="16" t="s">
        <v>27</v>
      </c>
      <c r="F165" s="23">
        <v>46019</v>
      </c>
      <c r="G165" s="24">
        <v>31</v>
      </c>
      <c r="H165" s="24" t="s">
        <v>144</v>
      </c>
      <c r="I165" s="16">
        <v>43</v>
      </c>
      <c r="J165" s="87"/>
    </row>
    <row r="166" spans="1:13" ht="19.149999999999999" customHeight="1" x14ac:dyDescent="0.3">
      <c r="A166" s="16" t="s">
        <v>658</v>
      </c>
      <c r="B166" s="16" t="s">
        <v>88</v>
      </c>
      <c r="C166" s="16">
        <v>1</v>
      </c>
      <c r="D166" s="16" t="s">
        <v>808</v>
      </c>
      <c r="E166" s="16" t="s">
        <v>27</v>
      </c>
      <c r="F166" s="23">
        <v>46019</v>
      </c>
      <c r="G166" s="24">
        <v>51</v>
      </c>
      <c r="H166" s="24" t="s">
        <v>270</v>
      </c>
      <c r="I166" s="16">
        <v>91239825</v>
      </c>
      <c r="J166" s="87"/>
    </row>
    <row r="167" spans="1:13" ht="19.149999999999999" customHeight="1" x14ac:dyDescent="0.3">
      <c r="A167" s="16" t="s">
        <v>658</v>
      </c>
      <c r="B167" s="16" t="s">
        <v>662</v>
      </c>
      <c r="C167" s="16">
        <v>1</v>
      </c>
      <c r="D167" s="16" t="s">
        <v>762</v>
      </c>
      <c r="E167" s="16" t="s">
        <v>50</v>
      </c>
      <c r="F167" s="23">
        <v>46019</v>
      </c>
      <c r="G167" s="24">
        <v>20</v>
      </c>
      <c r="H167" s="24" t="s">
        <v>270</v>
      </c>
      <c r="I167" s="16">
        <v>99634132</v>
      </c>
      <c r="J167" s="87"/>
    </row>
    <row r="168" spans="1:13" ht="19.149999999999999" customHeight="1" x14ac:dyDescent="0.3">
      <c r="A168" s="16">
        <v>1723292700</v>
      </c>
      <c r="B168" s="16" t="s">
        <v>84</v>
      </c>
      <c r="C168" s="16">
        <v>1</v>
      </c>
      <c r="D168" s="16" t="s">
        <v>764</v>
      </c>
      <c r="E168" s="16" t="s">
        <v>50</v>
      </c>
      <c r="F168" s="23">
        <v>46019</v>
      </c>
      <c r="G168" s="24">
        <v>20</v>
      </c>
      <c r="H168" s="24" t="s">
        <v>40</v>
      </c>
      <c r="I168" s="16"/>
      <c r="J168" s="49">
        <v>981412864</v>
      </c>
      <c r="K168" s="2" t="s">
        <v>479</v>
      </c>
      <c r="L168" s="52"/>
      <c r="M168" s="15" t="s">
        <v>12</v>
      </c>
    </row>
    <row r="169" spans="1:13" ht="19.149999999999999" customHeight="1" x14ac:dyDescent="0.3">
      <c r="A169" s="16" t="s">
        <v>658</v>
      </c>
      <c r="B169" s="16" t="s">
        <v>1194</v>
      </c>
      <c r="C169" s="16">
        <v>1</v>
      </c>
      <c r="D169" s="16" t="s">
        <v>28</v>
      </c>
      <c r="E169" s="16" t="s">
        <v>50</v>
      </c>
      <c r="F169" s="23">
        <v>46020</v>
      </c>
      <c r="G169" s="24">
        <v>15</v>
      </c>
      <c r="H169" s="24" t="s">
        <v>270</v>
      </c>
      <c r="I169" s="16">
        <v>181287121</v>
      </c>
      <c r="J169" s="87"/>
    </row>
    <row r="170" spans="1:13" ht="19.149999999999999" customHeight="1" x14ac:dyDescent="0.3">
      <c r="A170" s="16" t="s">
        <v>658</v>
      </c>
      <c r="B170" s="16" t="s">
        <v>90</v>
      </c>
      <c r="C170" s="16">
        <v>1</v>
      </c>
      <c r="D170" s="16" t="s">
        <v>820</v>
      </c>
      <c r="E170" s="16" t="s">
        <v>50</v>
      </c>
      <c r="F170" s="23">
        <v>46020</v>
      </c>
      <c r="G170" s="24">
        <v>8</v>
      </c>
      <c r="H170" s="24" t="s">
        <v>40</v>
      </c>
      <c r="I170" s="16">
        <v>863774020900</v>
      </c>
      <c r="J170" s="87"/>
    </row>
    <row r="171" spans="1:13" ht="19.149999999999999" customHeight="1" x14ac:dyDescent="0.3">
      <c r="A171" s="16" t="s">
        <v>658</v>
      </c>
      <c r="B171" s="16" t="s">
        <v>658</v>
      </c>
      <c r="C171" s="16">
        <v>1</v>
      </c>
      <c r="D171" s="16" t="s">
        <v>101</v>
      </c>
      <c r="E171" s="16" t="s">
        <v>50</v>
      </c>
      <c r="F171" s="23">
        <v>46020</v>
      </c>
      <c r="G171" s="24">
        <v>30</v>
      </c>
      <c r="H171" s="24" t="s">
        <v>144</v>
      </c>
      <c r="I171" s="16">
        <v>45</v>
      </c>
      <c r="J171" s="87"/>
    </row>
    <row r="172" spans="1:13" ht="19.149999999999999" customHeight="1" x14ac:dyDescent="0.3">
      <c r="A172" s="16" t="s">
        <v>658</v>
      </c>
      <c r="B172" s="16" t="s">
        <v>89</v>
      </c>
      <c r="C172" s="16">
        <v>1</v>
      </c>
      <c r="D172" s="16" t="s">
        <v>695</v>
      </c>
      <c r="E172" s="16" t="s">
        <v>50</v>
      </c>
      <c r="F172" s="23">
        <v>46020</v>
      </c>
      <c r="G172" s="24">
        <v>22</v>
      </c>
      <c r="H172" s="24" t="s">
        <v>40</v>
      </c>
      <c r="I172" s="16">
        <v>917106020900</v>
      </c>
      <c r="J172" s="87"/>
    </row>
    <row r="173" spans="1:13" ht="19.149999999999999" customHeight="1" x14ac:dyDescent="0.3">
      <c r="A173" s="72" t="s">
        <v>658</v>
      </c>
      <c r="B173" s="72" t="s">
        <v>1195</v>
      </c>
      <c r="C173" s="16">
        <v>1</v>
      </c>
      <c r="D173" s="72" t="s">
        <v>764</v>
      </c>
      <c r="E173" s="16" t="s">
        <v>27</v>
      </c>
      <c r="F173" s="23">
        <v>46021</v>
      </c>
      <c r="G173" s="83">
        <v>20</v>
      </c>
      <c r="H173" s="83" t="s">
        <v>949</v>
      </c>
      <c r="I173" s="16">
        <v>66175676</v>
      </c>
      <c r="J173" s="87"/>
    </row>
    <row r="174" spans="1:13" ht="19.149999999999999" customHeight="1" x14ac:dyDescent="0.3">
      <c r="A174" s="72" t="s">
        <v>658</v>
      </c>
      <c r="B174" s="72" t="s">
        <v>72</v>
      </c>
      <c r="C174" s="16">
        <v>1</v>
      </c>
      <c r="D174" s="72" t="s">
        <v>821</v>
      </c>
      <c r="E174" s="16" t="s">
        <v>27</v>
      </c>
      <c r="F174" s="23">
        <v>46021</v>
      </c>
      <c r="G174" s="83">
        <v>3</v>
      </c>
      <c r="H174" s="83" t="s">
        <v>949</v>
      </c>
      <c r="I174" s="16">
        <v>45095513</v>
      </c>
      <c r="J174" s="87"/>
    </row>
    <row r="175" spans="1:13" ht="19.149999999999999" customHeight="1" x14ac:dyDescent="0.3">
      <c r="A175" s="72" t="s">
        <v>658</v>
      </c>
      <c r="B175" s="72" t="s">
        <v>959</v>
      </c>
      <c r="C175" s="16">
        <v>1</v>
      </c>
      <c r="D175" s="72" t="s">
        <v>764</v>
      </c>
      <c r="E175" s="16" t="s">
        <v>50</v>
      </c>
      <c r="F175" s="23">
        <v>46021</v>
      </c>
      <c r="G175" s="83">
        <v>20</v>
      </c>
      <c r="H175" s="83" t="s">
        <v>949</v>
      </c>
      <c r="I175" s="16">
        <v>2202519950</v>
      </c>
      <c r="J175" s="87"/>
    </row>
    <row r="176" spans="1:13" ht="19.149999999999999" customHeight="1" x14ac:dyDescent="0.3">
      <c r="A176" s="72" t="s">
        <v>658</v>
      </c>
      <c r="B176" s="72" t="s">
        <v>959</v>
      </c>
      <c r="C176" s="16">
        <v>1</v>
      </c>
      <c r="D176" s="72" t="s">
        <v>770</v>
      </c>
      <c r="E176" s="16" t="s">
        <v>27</v>
      </c>
      <c r="F176" s="23">
        <v>46021</v>
      </c>
      <c r="G176" s="83">
        <v>36</v>
      </c>
      <c r="H176" s="83" t="s">
        <v>949</v>
      </c>
      <c r="I176" s="16">
        <v>71109223</v>
      </c>
      <c r="J176" s="87"/>
    </row>
    <row r="177" spans="1:13" ht="19.149999999999999" customHeight="1" x14ac:dyDescent="0.3">
      <c r="A177" s="72" t="s">
        <v>658</v>
      </c>
      <c r="B177" s="72" t="s">
        <v>91</v>
      </c>
      <c r="C177" s="16">
        <v>1</v>
      </c>
      <c r="D177" s="72" t="s">
        <v>696</v>
      </c>
      <c r="E177" s="16" t="s">
        <v>27</v>
      </c>
      <c r="F177" s="23">
        <v>46021</v>
      </c>
      <c r="G177" s="83">
        <v>27</v>
      </c>
      <c r="H177" s="83" t="s">
        <v>74</v>
      </c>
      <c r="I177" s="16">
        <v>69916327</v>
      </c>
      <c r="J177" s="87"/>
    </row>
    <row r="178" spans="1:13" ht="19.149999999999999" customHeight="1" x14ac:dyDescent="0.3">
      <c r="A178" s="16" t="s">
        <v>658</v>
      </c>
      <c r="B178" s="16" t="s">
        <v>658</v>
      </c>
      <c r="C178" s="16">
        <v>1</v>
      </c>
      <c r="D178" s="16" t="s">
        <v>28</v>
      </c>
      <c r="E178" s="16" t="s">
        <v>687</v>
      </c>
      <c r="F178" s="23">
        <v>46021</v>
      </c>
      <c r="G178" s="24">
        <v>15</v>
      </c>
      <c r="H178" s="24" t="s">
        <v>17</v>
      </c>
      <c r="I178" s="16"/>
      <c r="J178" s="87"/>
    </row>
    <row r="179" spans="1:13" ht="19.149999999999999" customHeight="1" x14ac:dyDescent="0.3">
      <c r="A179" s="16" t="s">
        <v>658</v>
      </c>
      <c r="B179" s="16" t="s">
        <v>658</v>
      </c>
      <c r="C179" s="16">
        <v>1</v>
      </c>
      <c r="D179" s="16" t="s">
        <v>802</v>
      </c>
      <c r="E179" s="16" t="s">
        <v>687</v>
      </c>
      <c r="F179" s="23">
        <v>46021</v>
      </c>
      <c r="G179" s="24">
        <v>2</v>
      </c>
      <c r="H179" s="24" t="s">
        <v>17</v>
      </c>
      <c r="I179" s="16"/>
      <c r="J179" s="87"/>
    </row>
    <row r="180" spans="1:13" ht="19.149999999999999" customHeight="1" x14ac:dyDescent="0.3">
      <c r="A180" s="16" t="s">
        <v>658</v>
      </c>
      <c r="B180" s="16" t="s">
        <v>658</v>
      </c>
      <c r="C180" s="16">
        <v>1</v>
      </c>
      <c r="D180" s="16" t="s">
        <v>719</v>
      </c>
      <c r="E180" s="16" t="s">
        <v>687</v>
      </c>
      <c r="F180" s="23">
        <v>46021</v>
      </c>
      <c r="G180" s="24">
        <v>14</v>
      </c>
      <c r="H180" s="24" t="s">
        <v>17</v>
      </c>
      <c r="I180" s="16"/>
      <c r="J180" s="87"/>
    </row>
    <row r="181" spans="1:13" ht="19.149999999999999" customHeight="1" x14ac:dyDescent="0.3">
      <c r="A181" s="16" t="s">
        <v>658</v>
      </c>
      <c r="B181" s="16" t="s">
        <v>658</v>
      </c>
      <c r="C181" s="16">
        <v>1</v>
      </c>
      <c r="D181" s="16" t="s">
        <v>6</v>
      </c>
      <c r="E181" s="16" t="s">
        <v>687</v>
      </c>
      <c r="F181" s="23">
        <v>46021</v>
      </c>
      <c r="G181" s="24">
        <v>12</v>
      </c>
      <c r="H181" s="24" t="s">
        <v>17</v>
      </c>
      <c r="I181" s="16"/>
      <c r="J181" s="87"/>
    </row>
    <row r="182" spans="1:13" ht="19.149999999999999" customHeight="1" x14ac:dyDescent="0.3">
      <c r="A182" s="16" t="s">
        <v>658</v>
      </c>
      <c r="B182" s="16" t="s">
        <v>658</v>
      </c>
      <c r="C182" s="16">
        <v>1</v>
      </c>
      <c r="D182" s="16" t="s">
        <v>102</v>
      </c>
      <c r="E182" s="16" t="s">
        <v>687</v>
      </c>
      <c r="F182" s="23">
        <v>46021</v>
      </c>
      <c r="G182" s="24">
        <v>10</v>
      </c>
      <c r="H182" s="24" t="s">
        <v>17</v>
      </c>
      <c r="I182" s="16"/>
      <c r="J182" s="87"/>
    </row>
    <row r="183" spans="1:13" ht="19.149999999999999" customHeight="1" x14ac:dyDescent="0.3">
      <c r="A183" s="16" t="s">
        <v>658</v>
      </c>
      <c r="B183" s="16" t="s">
        <v>658</v>
      </c>
      <c r="C183" s="16">
        <v>1</v>
      </c>
      <c r="D183" s="16" t="s">
        <v>807</v>
      </c>
      <c r="E183" s="16" t="s">
        <v>687</v>
      </c>
      <c r="F183" s="23">
        <v>46021</v>
      </c>
      <c r="G183" s="24">
        <v>23</v>
      </c>
      <c r="H183" s="24" t="s">
        <v>17</v>
      </c>
      <c r="I183" s="16"/>
      <c r="J183" s="87"/>
    </row>
    <row r="184" spans="1:13" ht="19.149999999999999" customHeight="1" x14ac:dyDescent="0.3">
      <c r="A184" s="72" t="s">
        <v>658</v>
      </c>
      <c r="B184" s="72" t="s">
        <v>1214</v>
      </c>
      <c r="C184" s="16">
        <v>1</v>
      </c>
      <c r="D184" s="72" t="s">
        <v>274</v>
      </c>
      <c r="E184" s="16" t="s">
        <v>50</v>
      </c>
      <c r="F184" s="23">
        <v>46022</v>
      </c>
      <c r="G184" s="83">
        <v>5</v>
      </c>
      <c r="H184" s="83" t="s">
        <v>949</v>
      </c>
      <c r="I184" s="72">
        <v>45683921</v>
      </c>
      <c r="J184" s="87"/>
    </row>
    <row r="185" spans="1:13" ht="19.149999999999999" customHeight="1" x14ac:dyDescent="0.3">
      <c r="A185" s="72" t="s">
        <v>658</v>
      </c>
      <c r="B185" s="72" t="s">
        <v>1214</v>
      </c>
      <c r="C185" s="16">
        <v>1</v>
      </c>
      <c r="D185" s="72" t="s">
        <v>822</v>
      </c>
      <c r="E185" s="16" t="s">
        <v>27</v>
      </c>
      <c r="F185" s="23">
        <v>46022</v>
      </c>
      <c r="G185" s="83">
        <v>23</v>
      </c>
      <c r="H185" s="83" t="s">
        <v>949</v>
      </c>
      <c r="I185" s="72">
        <v>45526558</v>
      </c>
      <c r="J185" s="87"/>
    </row>
    <row r="186" spans="1:13" ht="19.149999999999999" customHeight="1" x14ac:dyDescent="0.3">
      <c r="A186" s="72" t="s">
        <v>658</v>
      </c>
      <c r="B186" s="72" t="s">
        <v>93</v>
      </c>
      <c r="C186" s="16">
        <v>1</v>
      </c>
      <c r="D186" s="72" t="s">
        <v>823</v>
      </c>
      <c r="E186" s="16" t="s">
        <v>27</v>
      </c>
      <c r="F186" s="23">
        <v>46022</v>
      </c>
      <c r="G186" s="83">
        <v>17</v>
      </c>
      <c r="H186" s="24" t="s">
        <v>17</v>
      </c>
      <c r="I186" s="72"/>
      <c r="J186" s="87"/>
    </row>
    <row r="187" spans="1:13" ht="19.149999999999999" customHeight="1" x14ac:dyDescent="0.3">
      <c r="A187" s="72" t="s">
        <v>658</v>
      </c>
      <c r="B187" s="72" t="s">
        <v>94</v>
      </c>
      <c r="C187" s="16">
        <v>1</v>
      </c>
      <c r="D187" s="72" t="s">
        <v>28</v>
      </c>
      <c r="E187" s="16" t="s">
        <v>50</v>
      </c>
      <c r="F187" s="23">
        <v>46022</v>
      </c>
      <c r="G187" s="83">
        <v>15</v>
      </c>
      <c r="H187" s="83" t="s">
        <v>949</v>
      </c>
      <c r="I187" s="72">
        <v>45407421</v>
      </c>
      <c r="J187" s="87"/>
    </row>
    <row r="188" spans="1:13" ht="19.149999999999999" customHeight="1" x14ac:dyDescent="0.3">
      <c r="A188" s="72" t="s">
        <v>658</v>
      </c>
      <c r="B188" s="72" t="s">
        <v>94</v>
      </c>
      <c r="C188" s="16">
        <v>1</v>
      </c>
      <c r="D188" s="72" t="s">
        <v>52</v>
      </c>
      <c r="E188" s="16" t="s">
        <v>687</v>
      </c>
      <c r="F188" s="23">
        <v>46022</v>
      </c>
      <c r="G188" s="83">
        <v>16</v>
      </c>
      <c r="H188" s="83" t="s">
        <v>949</v>
      </c>
      <c r="I188" s="72">
        <v>45407421</v>
      </c>
      <c r="J188" s="87"/>
    </row>
    <row r="189" spans="1:13" ht="19.149999999999999" customHeight="1" x14ac:dyDescent="0.3">
      <c r="A189" s="16" t="s">
        <v>658</v>
      </c>
      <c r="B189" s="16" t="s">
        <v>96</v>
      </c>
      <c r="C189" s="16">
        <v>1</v>
      </c>
      <c r="D189" s="16" t="s">
        <v>32</v>
      </c>
      <c r="E189" s="16" t="s">
        <v>50</v>
      </c>
      <c r="F189" s="23">
        <v>46025</v>
      </c>
      <c r="G189" s="24">
        <v>10</v>
      </c>
      <c r="H189" s="24" t="s">
        <v>18</v>
      </c>
      <c r="I189" s="16">
        <v>131584804</v>
      </c>
      <c r="J189" s="47">
        <v>991988005</v>
      </c>
      <c r="K189" s="16"/>
      <c r="L189" s="45"/>
      <c r="M189" s="15" t="s">
        <v>12</v>
      </c>
    </row>
    <row r="190" spans="1:13" ht="19.149999999999999" customHeight="1" x14ac:dyDescent="0.3">
      <c r="A190" s="16" t="s">
        <v>658</v>
      </c>
      <c r="B190" s="16" t="s">
        <v>96</v>
      </c>
      <c r="C190" s="16">
        <v>1</v>
      </c>
      <c r="D190" s="16" t="s">
        <v>28</v>
      </c>
      <c r="E190" s="16" t="s">
        <v>27</v>
      </c>
      <c r="F190" s="23">
        <v>46025</v>
      </c>
      <c r="G190" s="24">
        <v>15</v>
      </c>
      <c r="H190" s="24" t="s">
        <v>18</v>
      </c>
      <c r="I190" s="16">
        <v>131584804</v>
      </c>
      <c r="J190" s="47">
        <v>991988005</v>
      </c>
      <c r="K190" s="16"/>
      <c r="L190" s="45"/>
      <c r="M190" s="15" t="s">
        <v>12</v>
      </c>
    </row>
    <row r="191" spans="1:13" ht="19.149999999999999" customHeight="1" x14ac:dyDescent="0.3">
      <c r="A191" s="16">
        <v>1720400892</v>
      </c>
      <c r="B191" s="16" t="s">
        <v>100</v>
      </c>
      <c r="C191" s="16">
        <v>1</v>
      </c>
      <c r="D191" s="16" t="s">
        <v>101</v>
      </c>
      <c r="E191" s="16" t="s">
        <v>50</v>
      </c>
      <c r="F191" s="23">
        <v>46025</v>
      </c>
      <c r="G191" s="24">
        <v>30</v>
      </c>
      <c r="H191" s="24" t="s">
        <v>144</v>
      </c>
      <c r="I191" s="16"/>
      <c r="J191" s="75">
        <v>990975888</v>
      </c>
      <c r="K191" s="19"/>
      <c r="L191" s="48"/>
      <c r="M191" s="15" t="s">
        <v>12</v>
      </c>
    </row>
    <row r="192" spans="1:13" ht="19.149999999999999" customHeight="1" x14ac:dyDescent="0.3">
      <c r="A192" s="16">
        <v>1721675153</v>
      </c>
      <c r="B192" s="16" t="s">
        <v>98</v>
      </c>
      <c r="C192" s="16">
        <v>1</v>
      </c>
      <c r="D192" s="16" t="s">
        <v>938</v>
      </c>
      <c r="E192" s="16" t="s">
        <v>27</v>
      </c>
      <c r="F192" s="23">
        <v>46025</v>
      </c>
      <c r="G192" s="24">
        <v>10</v>
      </c>
      <c r="H192" s="24" t="s">
        <v>18</v>
      </c>
      <c r="I192" s="16">
        <v>137005163</v>
      </c>
      <c r="J192" s="75">
        <v>981111032</v>
      </c>
      <c r="K192" s="6" t="s">
        <v>408</v>
      </c>
      <c r="L192" s="55"/>
      <c r="M192" s="15" t="s">
        <v>12</v>
      </c>
    </row>
    <row r="193" spans="1:13" ht="19.149999999999999" customHeight="1" x14ac:dyDescent="0.3">
      <c r="A193" s="16">
        <v>1719219527</v>
      </c>
      <c r="B193" s="16" t="s">
        <v>97</v>
      </c>
      <c r="C193" s="16">
        <v>1</v>
      </c>
      <c r="D193" s="16" t="s">
        <v>840</v>
      </c>
      <c r="E193" s="16" t="s">
        <v>687</v>
      </c>
      <c r="F193" s="23">
        <v>46025</v>
      </c>
      <c r="G193" s="24">
        <f>8+3+10</f>
        <v>21</v>
      </c>
      <c r="H193" s="24" t="s">
        <v>144</v>
      </c>
      <c r="I193" s="16"/>
      <c r="J193" s="74">
        <v>981111032</v>
      </c>
      <c r="K193" s="7" t="s">
        <v>408</v>
      </c>
      <c r="L193" s="57"/>
      <c r="M193" s="15" t="s">
        <v>12</v>
      </c>
    </row>
    <row r="194" spans="1:13" ht="19.149999999999999" customHeight="1" x14ac:dyDescent="0.3">
      <c r="A194" s="16">
        <v>1721182903</v>
      </c>
      <c r="B194" s="16" t="s">
        <v>95</v>
      </c>
      <c r="C194" s="16">
        <v>1</v>
      </c>
      <c r="D194" s="16" t="s">
        <v>704</v>
      </c>
      <c r="E194" s="16" t="s">
        <v>50</v>
      </c>
      <c r="F194" s="23">
        <v>46025</v>
      </c>
      <c r="G194" s="24">
        <v>15</v>
      </c>
      <c r="H194" s="24" t="s">
        <v>144</v>
      </c>
      <c r="I194" s="16"/>
      <c r="J194" s="44">
        <v>998420775</v>
      </c>
      <c r="K194" s="4" t="s">
        <v>407</v>
      </c>
      <c r="L194" s="54"/>
      <c r="M194" s="15" t="s">
        <v>12</v>
      </c>
    </row>
    <row r="195" spans="1:13" ht="19.149999999999999" customHeight="1" x14ac:dyDescent="0.3">
      <c r="A195" s="16">
        <v>1721182903</v>
      </c>
      <c r="B195" s="16" t="s">
        <v>95</v>
      </c>
      <c r="C195" s="16">
        <v>1</v>
      </c>
      <c r="D195" s="16" t="s">
        <v>6</v>
      </c>
      <c r="E195" s="16" t="s">
        <v>27</v>
      </c>
      <c r="F195" s="23">
        <v>46025</v>
      </c>
      <c r="G195" s="24">
        <v>12</v>
      </c>
      <c r="H195" s="24" t="s">
        <v>144</v>
      </c>
      <c r="I195" s="16"/>
      <c r="J195" s="44">
        <v>998420775</v>
      </c>
      <c r="K195" s="4" t="s">
        <v>407</v>
      </c>
      <c r="L195" s="54"/>
      <c r="M195" s="15" t="s">
        <v>12</v>
      </c>
    </row>
    <row r="196" spans="1:13" ht="19.149999999999999" customHeight="1" x14ac:dyDescent="0.3">
      <c r="A196" s="16">
        <v>1721675153</v>
      </c>
      <c r="B196" s="16" t="s">
        <v>156</v>
      </c>
      <c r="C196" s="16">
        <v>1</v>
      </c>
      <c r="D196" s="16" t="s">
        <v>750</v>
      </c>
      <c r="E196" s="16" t="s">
        <v>27</v>
      </c>
      <c r="F196" s="23">
        <v>46025</v>
      </c>
      <c r="G196" s="24">
        <f>(45*0.05)+1</f>
        <v>3.25</v>
      </c>
      <c r="H196" s="24" t="s">
        <v>18</v>
      </c>
      <c r="I196" s="16">
        <v>137005163</v>
      </c>
      <c r="J196" s="47">
        <v>992877753</v>
      </c>
      <c r="K196" s="5" t="s">
        <v>464</v>
      </c>
      <c r="L196" s="54"/>
      <c r="M196" s="15" t="s">
        <v>12</v>
      </c>
    </row>
    <row r="197" spans="1:13" ht="19.149999999999999" customHeight="1" x14ac:dyDescent="0.3">
      <c r="A197" s="16">
        <v>1721675153</v>
      </c>
      <c r="B197" s="16" t="s">
        <v>156</v>
      </c>
      <c r="C197" s="16">
        <v>1</v>
      </c>
      <c r="D197" s="16" t="s">
        <v>28</v>
      </c>
      <c r="E197" s="16" t="s">
        <v>50</v>
      </c>
      <c r="F197" s="23">
        <v>46025</v>
      </c>
      <c r="G197" s="24">
        <v>14</v>
      </c>
      <c r="H197" s="24" t="s">
        <v>18</v>
      </c>
      <c r="I197" s="16">
        <v>137005163</v>
      </c>
      <c r="J197" s="47">
        <v>992877753</v>
      </c>
      <c r="K197" s="5" t="s">
        <v>464</v>
      </c>
      <c r="L197" s="54"/>
      <c r="M197" s="15" t="s">
        <v>12</v>
      </c>
    </row>
    <row r="198" spans="1:13" ht="19.149999999999999" customHeight="1" x14ac:dyDescent="0.3">
      <c r="A198" s="16">
        <v>1718245812</v>
      </c>
      <c r="B198" s="16" t="s">
        <v>99</v>
      </c>
      <c r="C198" s="16">
        <v>1</v>
      </c>
      <c r="D198" s="16" t="s">
        <v>28</v>
      </c>
      <c r="E198" s="16" t="s">
        <v>687</v>
      </c>
      <c r="F198" s="23">
        <v>46025</v>
      </c>
      <c r="G198" s="24">
        <v>15</v>
      </c>
      <c r="H198" s="24" t="s">
        <v>18</v>
      </c>
      <c r="I198" s="16">
        <v>142186965</v>
      </c>
      <c r="J198" s="49">
        <v>998770121</v>
      </c>
      <c r="K198" s="2" t="s">
        <v>432</v>
      </c>
      <c r="L198" s="52"/>
      <c r="M198" s="15" t="s">
        <v>12</v>
      </c>
    </row>
    <row r="199" spans="1:13" ht="19.149999999999999" customHeight="1" x14ac:dyDescent="0.3">
      <c r="A199" s="16">
        <v>1725577504</v>
      </c>
      <c r="B199" s="16" t="s">
        <v>106</v>
      </c>
      <c r="C199" s="16">
        <v>1</v>
      </c>
      <c r="D199" s="16" t="s">
        <v>155</v>
      </c>
      <c r="E199" s="16" t="s">
        <v>50</v>
      </c>
      <c r="F199" s="23">
        <v>46026</v>
      </c>
      <c r="G199" s="24">
        <v>32</v>
      </c>
      <c r="H199" s="24" t="s">
        <v>18</v>
      </c>
      <c r="I199" s="16">
        <v>188803709</v>
      </c>
      <c r="J199" s="74">
        <v>987789055</v>
      </c>
      <c r="K199" s="7" t="s">
        <v>409</v>
      </c>
      <c r="L199" s="57"/>
      <c r="M199" s="15" t="s">
        <v>12</v>
      </c>
    </row>
    <row r="200" spans="1:13" ht="19.149999999999999" customHeight="1" x14ac:dyDescent="0.3">
      <c r="A200" s="16">
        <v>1500003023</v>
      </c>
      <c r="B200" s="16" t="s">
        <v>668</v>
      </c>
      <c r="C200" s="16">
        <v>1</v>
      </c>
      <c r="D200" s="16" t="s">
        <v>751</v>
      </c>
      <c r="E200" s="16" t="s">
        <v>687</v>
      </c>
      <c r="F200" s="23">
        <v>46026</v>
      </c>
      <c r="G200" s="24">
        <f>5+12+8</f>
        <v>25</v>
      </c>
      <c r="H200" s="24" t="s">
        <v>18</v>
      </c>
      <c r="I200" s="16">
        <v>192141757</v>
      </c>
      <c r="J200" s="74">
        <v>996479333</v>
      </c>
      <c r="K200" s="7" t="s">
        <v>410</v>
      </c>
      <c r="L200" s="57"/>
      <c r="M200" s="15" t="s">
        <v>12</v>
      </c>
    </row>
    <row r="201" spans="1:13" ht="19.149999999999999" customHeight="1" x14ac:dyDescent="0.3">
      <c r="A201" s="16">
        <v>1500003023</v>
      </c>
      <c r="B201" s="16" t="s">
        <v>668</v>
      </c>
      <c r="C201" s="16">
        <v>1</v>
      </c>
      <c r="D201" s="16" t="s">
        <v>734</v>
      </c>
      <c r="E201" s="16" t="s">
        <v>50</v>
      </c>
      <c r="F201" s="23">
        <v>46026</v>
      </c>
      <c r="G201" s="24">
        <v>8</v>
      </c>
      <c r="H201" s="24" t="s">
        <v>18</v>
      </c>
      <c r="I201" s="16">
        <v>192141757</v>
      </c>
      <c r="J201" s="74">
        <v>996479333</v>
      </c>
      <c r="K201" s="7" t="s">
        <v>410</v>
      </c>
      <c r="L201" s="57"/>
      <c r="M201" s="15" t="s">
        <v>12</v>
      </c>
    </row>
    <row r="202" spans="1:13" ht="19.149999999999999" customHeight="1" x14ac:dyDescent="0.3">
      <c r="A202" s="16">
        <v>1701432229</v>
      </c>
      <c r="B202" s="16" t="s">
        <v>58</v>
      </c>
      <c r="C202" s="16">
        <v>1</v>
      </c>
      <c r="D202" s="16" t="s">
        <v>102</v>
      </c>
      <c r="E202" s="16" t="s">
        <v>50</v>
      </c>
      <c r="F202" s="23">
        <v>46026</v>
      </c>
      <c r="G202" s="24">
        <v>10</v>
      </c>
      <c r="H202" s="24" t="s">
        <v>18</v>
      </c>
      <c r="I202" s="16">
        <v>164419564</v>
      </c>
      <c r="J202" s="47">
        <v>962842721</v>
      </c>
      <c r="K202" s="5" t="s">
        <v>1192</v>
      </c>
      <c r="L202" s="64">
        <v>46033</v>
      </c>
      <c r="M202" s="62" t="s">
        <v>12</v>
      </c>
    </row>
    <row r="203" spans="1:13" ht="19.149999999999999" customHeight="1" x14ac:dyDescent="0.3">
      <c r="A203" s="16">
        <v>1701432229</v>
      </c>
      <c r="B203" s="16" t="s">
        <v>58</v>
      </c>
      <c r="C203" s="16">
        <v>1</v>
      </c>
      <c r="D203" s="16" t="s">
        <v>28</v>
      </c>
      <c r="E203" s="16" t="s">
        <v>50</v>
      </c>
      <c r="F203" s="23">
        <v>46026</v>
      </c>
      <c r="G203" s="24">
        <v>15</v>
      </c>
      <c r="H203" s="24" t="s">
        <v>18</v>
      </c>
      <c r="I203" s="16">
        <v>164957534</v>
      </c>
      <c r="J203" s="47">
        <v>962842721</v>
      </c>
      <c r="K203" s="5" t="s">
        <v>1192</v>
      </c>
      <c r="L203" s="64">
        <v>46033</v>
      </c>
      <c r="M203" s="62" t="s">
        <v>12</v>
      </c>
    </row>
    <row r="204" spans="1:13" ht="19.149999999999999" customHeight="1" x14ac:dyDescent="0.3">
      <c r="A204" s="16">
        <v>1701432229</v>
      </c>
      <c r="B204" s="16" t="s">
        <v>58</v>
      </c>
      <c r="C204" s="16">
        <v>1</v>
      </c>
      <c r="D204" s="16" t="s">
        <v>28</v>
      </c>
      <c r="E204" s="16" t="s">
        <v>687</v>
      </c>
      <c r="F204" s="23">
        <v>46026</v>
      </c>
      <c r="G204" s="24">
        <v>15</v>
      </c>
      <c r="H204" s="24" t="s">
        <v>144</v>
      </c>
      <c r="I204" s="16"/>
      <c r="J204" s="47">
        <v>962842721</v>
      </c>
      <c r="K204" s="5" t="s">
        <v>1192</v>
      </c>
      <c r="L204" s="64">
        <v>46033</v>
      </c>
      <c r="M204" s="62" t="s">
        <v>12</v>
      </c>
    </row>
    <row r="205" spans="1:13" ht="19.149999999999999" customHeight="1" x14ac:dyDescent="0.3">
      <c r="A205" s="16">
        <v>1723304125</v>
      </c>
      <c r="B205" s="16" t="s">
        <v>105</v>
      </c>
      <c r="C205" s="16">
        <v>1</v>
      </c>
      <c r="D205" s="16" t="s">
        <v>102</v>
      </c>
      <c r="E205" s="16" t="s">
        <v>687</v>
      </c>
      <c r="F205" s="23">
        <v>46026</v>
      </c>
      <c r="G205" s="24">
        <v>10</v>
      </c>
      <c r="H205" s="24" t="s">
        <v>18</v>
      </c>
      <c r="I205" s="16">
        <v>169374084</v>
      </c>
      <c r="J205" s="74">
        <v>969479002</v>
      </c>
      <c r="K205" s="20"/>
      <c r="L205" s="56"/>
      <c r="M205" s="15" t="s">
        <v>12</v>
      </c>
    </row>
    <row r="206" spans="1:13" ht="19.149999999999999" customHeight="1" x14ac:dyDescent="0.3">
      <c r="A206" s="16">
        <v>1721946067</v>
      </c>
      <c r="B206" s="16" t="s">
        <v>31</v>
      </c>
      <c r="C206" s="16">
        <v>1</v>
      </c>
      <c r="D206" s="16" t="s">
        <v>104</v>
      </c>
      <c r="E206" s="16" t="s">
        <v>687</v>
      </c>
      <c r="F206" s="23">
        <v>46026</v>
      </c>
      <c r="G206" s="24">
        <f>10+6+2</f>
        <v>18</v>
      </c>
      <c r="H206" s="24" t="s">
        <v>950</v>
      </c>
      <c r="I206" s="16">
        <v>190497980</v>
      </c>
      <c r="J206" s="47">
        <v>997562221</v>
      </c>
      <c r="K206" s="5" t="s">
        <v>433</v>
      </c>
      <c r="L206" s="64">
        <v>46322</v>
      </c>
      <c r="M206" s="15" t="s">
        <v>12</v>
      </c>
    </row>
    <row r="207" spans="1:13" ht="19.149999999999999" customHeight="1" x14ac:dyDescent="0.3">
      <c r="A207" s="16" t="s">
        <v>658</v>
      </c>
      <c r="B207" s="16" t="s">
        <v>108</v>
      </c>
      <c r="C207" s="16">
        <v>1</v>
      </c>
      <c r="D207" s="16" t="s">
        <v>102</v>
      </c>
      <c r="E207" s="16" t="s">
        <v>50</v>
      </c>
      <c r="F207" s="23">
        <v>46027</v>
      </c>
      <c r="G207" s="24">
        <v>10</v>
      </c>
      <c r="H207" s="24" t="s">
        <v>144</v>
      </c>
      <c r="I207" s="24"/>
      <c r="J207" s="87"/>
    </row>
    <row r="208" spans="1:13" ht="19.149999999999999" customHeight="1" x14ac:dyDescent="0.3">
      <c r="A208" s="16" t="s">
        <v>658</v>
      </c>
      <c r="B208" s="16" t="s">
        <v>108</v>
      </c>
      <c r="C208" s="16">
        <v>1</v>
      </c>
      <c r="D208" s="16" t="s">
        <v>771</v>
      </c>
      <c r="E208" s="16" t="s">
        <v>687</v>
      </c>
      <c r="F208" s="23">
        <v>46027</v>
      </c>
      <c r="G208" s="24">
        <v>28</v>
      </c>
      <c r="H208" s="24" t="s">
        <v>270</v>
      </c>
      <c r="I208" s="24"/>
      <c r="J208" s="87"/>
    </row>
    <row r="209" spans="1:13" ht="19.149999999999999" customHeight="1" x14ac:dyDescent="0.3">
      <c r="A209" s="16" t="s">
        <v>658</v>
      </c>
      <c r="B209" s="16" t="s">
        <v>1195</v>
      </c>
      <c r="C209" s="16">
        <v>1</v>
      </c>
      <c r="D209" s="16" t="s">
        <v>718</v>
      </c>
      <c r="E209" s="16" t="s">
        <v>50</v>
      </c>
      <c r="F209" s="23">
        <v>46027</v>
      </c>
      <c r="G209" s="24">
        <v>15</v>
      </c>
      <c r="H209" s="24" t="s">
        <v>270</v>
      </c>
      <c r="I209" s="24"/>
      <c r="J209" s="87"/>
    </row>
    <row r="210" spans="1:13" ht="19.149999999999999" customHeight="1" x14ac:dyDescent="0.3">
      <c r="A210" s="26">
        <v>1712323961001</v>
      </c>
      <c r="B210" s="16" t="s">
        <v>183</v>
      </c>
      <c r="C210" s="16">
        <v>1</v>
      </c>
      <c r="D210" s="16" t="s">
        <v>28</v>
      </c>
      <c r="E210" s="16" t="s">
        <v>50</v>
      </c>
      <c r="F210" s="23">
        <v>46027</v>
      </c>
      <c r="G210" s="24">
        <v>15</v>
      </c>
      <c r="H210" s="24" t="s">
        <v>270</v>
      </c>
      <c r="I210" s="24"/>
      <c r="J210" s="47">
        <v>988538691</v>
      </c>
      <c r="K210" s="16"/>
      <c r="L210" s="45"/>
      <c r="M210" s="15" t="s">
        <v>12</v>
      </c>
    </row>
    <row r="211" spans="1:13" ht="19.149999999999999" customHeight="1" x14ac:dyDescent="0.3">
      <c r="A211" s="26">
        <v>1712323961001</v>
      </c>
      <c r="B211" s="16" t="s">
        <v>183</v>
      </c>
      <c r="C211" s="16">
        <v>1</v>
      </c>
      <c r="D211" s="16" t="s">
        <v>890</v>
      </c>
      <c r="E211" s="16" t="s">
        <v>50</v>
      </c>
      <c r="F211" s="23">
        <v>46027</v>
      </c>
      <c r="G211" s="24">
        <v>22</v>
      </c>
      <c r="H211" s="24" t="s">
        <v>270</v>
      </c>
      <c r="I211" s="24"/>
      <c r="J211" s="47">
        <v>988538691</v>
      </c>
      <c r="K211" s="16"/>
      <c r="L211" s="45"/>
      <c r="M211" s="15" t="s">
        <v>12</v>
      </c>
    </row>
    <row r="212" spans="1:13" ht="19.149999999999999" customHeight="1" x14ac:dyDescent="0.3">
      <c r="A212" s="16">
        <v>1703895431</v>
      </c>
      <c r="B212" s="16" t="s">
        <v>109</v>
      </c>
      <c r="C212" s="16">
        <v>1</v>
      </c>
      <c r="D212" s="16" t="s">
        <v>752</v>
      </c>
      <c r="E212" s="16" t="s">
        <v>50</v>
      </c>
      <c r="F212" s="23">
        <v>46027</v>
      </c>
      <c r="G212" s="24">
        <v>8</v>
      </c>
      <c r="H212" s="24" t="s">
        <v>17</v>
      </c>
      <c r="I212" s="24"/>
      <c r="J212" s="47">
        <v>987775005</v>
      </c>
      <c r="K212" s="5" t="s">
        <v>970</v>
      </c>
      <c r="L212" s="65">
        <v>46381</v>
      </c>
      <c r="M212" s="15" t="s">
        <v>12</v>
      </c>
    </row>
    <row r="213" spans="1:13" ht="19.149999999999999" customHeight="1" x14ac:dyDescent="0.3">
      <c r="A213" s="16" t="s">
        <v>658</v>
      </c>
      <c r="B213" s="16" t="s">
        <v>107</v>
      </c>
      <c r="C213" s="16">
        <v>1</v>
      </c>
      <c r="D213" s="16" t="s">
        <v>28</v>
      </c>
      <c r="E213" s="16" t="s">
        <v>687</v>
      </c>
      <c r="F213" s="23">
        <v>46027</v>
      </c>
      <c r="G213" s="24">
        <v>15</v>
      </c>
      <c r="H213" s="24" t="s">
        <v>270</v>
      </c>
      <c r="I213" s="24"/>
      <c r="J213" s="87"/>
    </row>
    <row r="214" spans="1:13" ht="19.149999999999999" customHeight="1" x14ac:dyDescent="0.3">
      <c r="A214" s="16" t="s">
        <v>658</v>
      </c>
      <c r="B214" s="16" t="s">
        <v>658</v>
      </c>
      <c r="C214" s="16">
        <v>1</v>
      </c>
      <c r="D214" s="16" t="s">
        <v>897</v>
      </c>
      <c r="E214" s="16" t="s">
        <v>50</v>
      </c>
      <c r="F214" s="23">
        <v>46027</v>
      </c>
      <c r="G214" s="24">
        <v>13</v>
      </c>
      <c r="H214" s="24" t="s">
        <v>144</v>
      </c>
      <c r="I214" s="24"/>
      <c r="J214" s="87"/>
    </row>
    <row r="215" spans="1:13" ht="19.149999999999999" customHeight="1" x14ac:dyDescent="0.3">
      <c r="A215" s="16">
        <v>106143837</v>
      </c>
      <c r="B215" s="16" t="s">
        <v>56</v>
      </c>
      <c r="C215" s="16">
        <v>1</v>
      </c>
      <c r="D215" s="16" t="s">
        <v>732</v>
      </c>
      <c r="E215" s="16" t="s">
        <v>50</v>
      </c>
      <c r="F215" s="23">
        <v>46028</v>
      </c>
      <c r="G215" s="24">
        <v>32</v>
      </c>
      <c r="H215" s="24" t="s">
        <v>270</v>
      </c>
      <c r="I215" s="24"/>
      <c r="J215" s="49">
        <v>959814387</v>
      </c>
      <c r="K215" s="2" t="s">
        <v>402</v>
      </c>
      <c r="L215" s="52"/>
      <c r="M215" s="15" t="s">
        <v>12</v>
      </c>
    </row>
    <row r="216" spans="1:13" ht="19.149999999999999" customHeight="1" x14ac:dyDescent="0.3">
      <c r="A216" s="16" t="s">
        <v>658</v>
      </c>
      <c r="B216" s="16" t="s">
        <v>670</v>
      </c>
      <c r="C216" s="16">
        <v>1</v>
      </c>
      <c r="D216" s="16" t="s">
        <v>274</v>
      </c>
      <c r="E216" s="16" t="s">
        <v>50</v>
      </c>
      <c r="F216" s="23">
        <v>46028</v>
      </c>
      <c r="G216" s="24">
        <v>8</v>
      </c>
      <c r="H216" s="24" t="s">
        <v>270</v>
      </c>
      <c r="I216" s="24"/>
      <c r="J216" s="87"/>
    </row>
    <row r="217" spans="1:13" ht="19.149999999999999" customHeight="1" x14ac:dyDescent="0.3">
      <c r="A217" s="16" t="s">
        <v>658</v>
      </c>
      <c r="B217" s="16" t="s">
        <v>658</v>
      </c>
      <c r="C217" s="16">
        <v>1</v>
      </c>
      <c r="D217" s="16" t="s">
        <v>102</v>
      </c>
      <c r="E217" s="16" t="s">
        <v>50</v>
      </c>
      <c r="F217" s="23">
        <v>46028</v>
      </c>
      <c r="G217" s="24">
        <v>10</v>
      </c>
      <c r="H217" s="24" t="s">
        <v>17</v>
      </c>
      <c r="I217" s="24"/>
      <c r="J217" s="87"/>
    </row>
    <row r="218" spans="1:13" ht="19.149999999999999" customHeight="1" x14ac:dyDescent="0.3">
      <c r="A218" s="16" t="s">
        <v>658</v>
      </c>
      <c r="B218" s="16" t="s">
        <v>658</v>
      </c>
      <c r="C218" s="16">
        <v>1</v>
      </c>
      <c r="D218" s="16" t="s">
        <v>732</v>
      </c>
      <c r="E218" s="16" t="s">
        <v>50</v>
      </c>
      <c r="F218" s="23">
        <v>46028</v>
      </c>
      <c r="G218" s="24">
        <v>32</v>
      </c>
      <c r="H218" s="24" t="s">
        <v>144</v>
      </c>
      <c r="I218" s="24"/>
      <c r="J218" s="87"/>
    </row>
    <row r="219" spans="1:13" ht="19.149999999999999" customHeight="1" x14ac:dyDescent="0.3">
      <c r="A219" s="16">
        <v>1717869984</v>
      </c>
      <c r="B219" s="16" t="s">
        <v>308</v>
      </c>
      <c r="C219" s="16">
        <v>1</v>
      </c>
      <c r="D219" s="16" t="s">
        <v>274</v>
      </c>
      <c r="E219" s="16" t="s">
        <v>50</v>
      </c>
      <c r="F219" s="23">
        <v>46029</v>
      </c>
      <c r="G219" s="24">
        <v>5</v>
      </c>
      <c r="H219" s="24" t="s">
        <v>270</v>
      </c>
      <c r="I219" s="24"/>
      <c r="J219" s="47">
        <v>984253456</v>
      </c>
      <c r="K219" s="5" t="s">
        <v>524</v>
      </c>
      <c r="L219" s="54"/>
      <c r="M219" s="15" t="s">
        <v>12</v>
      </c>
    </row>
    <row r="220" spans="1:13" ht="19.149999999999999" customHeight="1" x14ac:dyDescent="0.3">
      <c r="A220" s="16">
        <v>1713919163</v>
      </c>
      <c r="B220" s="16" t="s">
        <v>143</v>
      </c>
      <c r="C220" s="16">
        <v>1</v>
      </c>
      <c r="D220" s="16" t="s">
        <v>28</v>
      </c>
      <c r="E220" s="16" t="s">
        <v>50</v>
      </c>
      <c r="F220" s="23">
        <v>46029</v>
      </c>
      <c r="G220" s="24">
        <v>20</v>
      </c>
      <c r="H220" s="24" t="s">
        <v>270</v>
      </c>
      <c r="I220" s="24"/>
      <c r="J220" s="47">
        <v>992725974</v>
      </c>
      <c r="K220" s="5" t="s">
        <v>421</v>
      </c>
      <c r="L220" s="54"/>
      <c r="M220" s="15" t="s">
        <v>12</v>
      </c>
    </row>
    <row r="221" spans="1:13" ht="19.149999999999999" customHeight="1" x14ac:dyDescent="0.3">
      <c r="A221" s="16" t="s">
        <v>658</v>
      </c>
      <c r="B221" s="16" t="s">
        <v>658</v>
      </c>
      <c r="C221" s="16">
        <v>1</v>
      </c>
      <c r="D221" s="16" t="s">
        <v>735</v>
      </c>
      <c r="E221" s="16" t="s">
        <v>50</v>
      </c>
      <c r="F221" s="23">
        <v>46029</v>
      </c>
      <c r="G221" s="24">
        <v>53</v>
      </c>
      <c r="H221" s="24" t="s">
        <v>144</v>
      </c>
      <c r="I221" s="24"/>
      <c r="J221" s="87"/>
    </row>
    <row r="222" spans="1:13" ht="19.149999999999999" customHeight="1" x14ac:dyDescent="0.3">
      <c r="A222" s="16" t="s">
        <v>658</v>
      </c>
      <c r="B222" s="16" t="s">
        <v>658</v>
      </c>
      <c r="C222" s="16">
        <v>1</v>
      </c>
      <c r="D222" s="16" t="s">
        <v>841</v>
      </c>
      <c r="E222" s="16" t="s">
        <v>50</v>
      </c>
      <c r="F222" s="23">
        <v>46029</v>
      </c>
      <c r="G222" s="24">
        <v>14</v>
      </c>
      <c r="H222" s="24" t="s">
        <v>144</v>
      </c>
      <c r="I222" s="24"/>
      <c r="J222" s="87"/>
    </row>
    <row r="223" spans="1:13" ht="19.149999999999999" customHeight="1" x14ac:dyDescent="0.3">
      <c r="A223" s="16" t="s">
        <v>658</v>
      </c>
      <c r="B223" s="16" t="s">
        <v>658</v>
      </c>
      <c r="C223" s="16">
        <v>1</v>
      </c>
      <c r="D223" s="16" t="s">
        <v>772</v>
      </c>
      <c r="E223" s="16" t="s">
        <v>50</v>
      </c>
      <c r="F223" s="23">
        <v>46029</v>
      </c>
      <c r="G223" s="24">
        <v>22</v>
      </c>
      <c r="H223" s="24" t="s">
        <v>144</v>
      </c>
      <c r="I223" s="24"/>
      <c r="J223" s="87"/>
    </row>
    <row r="224" spans="1:13" ht="19.149999999999999" customHeight="1" x14ac:dyDescent="0.3">
      <c r="A224" s="16" t="s">
        <v>658</v>
      </c>
      <c r="B224" s="16" t="s">
        <v>658</v>
      </c>
      <c r="C224" s="16">
        <v>1</v>
      </c>
      <c r="D224" s="16" t="s">
        <v>773</v>
      </c>
      <c r="E224" s="16" t="s">
        <v>50</v>
      </c>
      <c r="F224" s="23">
        <v>46029</v>
      </c>
      <c r="G224" s="24">
        <v>41</v>
      </c>
      <c r="H224" s="24" t="s">
        <v>144</v>
      </c>
      <c r="I224" s="24"/>
      <c r="J224" s="87"/>
    </row>
    <row r="225" spans="1:13" ht="19.149999999999999" customHeight="1" x14ac:dyDescent="0.3">
      <c r="A225" s="16" t="s">
        <v>658</v>
      </c>
      <c r="B225" s="16" t="s">
        <v>658</v>
      </c>
      <c r="C225" s="16">
        <v>1</v>
      </c>
      <c r="D225" s="16" t="s">
        <v>796</v>
      </c>
      <c r="E225" s="16" t="s">
        <v>50</v>
      </c>
      <c r="F225" s="23">
        <v>46029</v>
      </c>
      <c r="G225" s="24">
        <v>45</v>
      </c>
      <c r="H225" s="24" t="s">
        <v>144</v>
      </c>
      <c r="I225" s="24"/>
      <c r="J225" s="87"/>
    </row>
    <row r="226" spans="1:13" ht="19.149999999999999" customHeight="1" x14ac:dyDescent="0.3">
      <c r="A226" s="16" t="s">
        <v>658</v>
      </c>
      <c r="B226" s="16" t="s">
        <v>61</v>
      </c>
      <c r="C226" s="16">
        <v>1</v>
      </c>
      <c r="D226" s="16" t="s">
        <v>28</v>
      </c>
      <c r="E226" s="16" t="s">
        <v>50</v>
      </c>
      <c r="F226" s="23">
        <v>46030</v>
      </c>
      <c r="G226" s="24">
        <v>15</v>
      </c>
      <c r="H226" s="24" t="s">
        <v>270</v>
      </c>
      <c r="I226" s="24"/>
      <c r="J226" s="87"/>
    </row>
    <row r="227" spans="1:13" ht="19.149999999999999" customHeight="1" x14ac:dyDescent="0.3">
      <c r="A227" s="16" t="s">
        <v>658</v>
      </c>
      <c r="B227" s="16" t="s">
        <v>658</v>
      </c>
      <c r="C227" s="16">
        <v>1</v>
      </c>
      <c r="D227" s="16" t="s">
        <v>719</v>
      </c>
      <c r="E227" s="16" t="s">
        <v>50</v>
      </c>
      <c r="F227" s="23">
        <v>46030</v>
      </c>
      <c r="G227" s="24">
        <v>12</v>
      </c>
      <c r="H227" s="24" t="s">
        <v>270</v>
      </c>
      <c r="I227" s="24"/>
      <c r="J227" s="87"/>
    </row>
    <row r="228" spans="1:13" ht="19.149999999999999" customHeight="1" x14ac:dyDescent="0.3">
      <c r="A228" s="16" t="s">
        <v>658</v>
      </c>
      <c r="B228" s="16" t="s">
        <v>658</v>
      </c>
      <c r="C228" s="16">
        <v>1</v>
      </c>
      <c r="D228" s="16" t="s">
        <v>102</v>
      </c>
      <c r="E228" s="16" t="s">
        <v>50</v>
      </c>
      <c r="F228" s="23">
        <v>46031</v>
      </c>
      <c r="G228" s="24">
        <v>10</v>
      </c>
      <c r="H228" s="24" t="s">
        <v>17</v>
      </c>
      <c r="I228" s="24"/>
      <c r="J228" s="87"/>
    </row>
    <row r="229" spans="1:13" ht="19.149999999999999" customHeight="1" x14ac:dyDescent="0.3">
      <c r="A229" s="16" t="s">
        <v>658</v>
      </c>
      <c r="B229" s="16" t="s">
        <v>658</v>
      </c>
      <c r="C229" s="16">
        <v>1</v>
      </c>
      <c r="D229" s="16" t="s">
        <v>102</v>
      </c>
      <c r="E229" s="16" t="s">
        <v>50</v>
      </c>
      <c r="F229" s="23">
        <v>46031</v>
      </c>
      <c r="G229" s="24">
        <v>10</v>
      </c>
      <c r="H229" s="24" t="s">
        <v>17</v>
      </c>
      <c r="I229" s="24"/>
      <c r="J229" s="87"/>
    </row>
    <row r="230" spans="1:13" ht="19.149999999999999" customHeight="1" x14ac:dyDescent="0.3">
      <c r="A230" s="16">
        <v>1721946067</v>
      </c>
      <c r="B230" s="16" t="s">
        <v>31</v>
      </c>
      <c r="C230" s="16">
        <v>1</v>
      </c>
      <c r="D230" s="16" t="s">
        <v>753</v>
      </c>
      <c r="E230" s="16" t="s">
        <v>50</v>
      </c>
      <c r="F230" s="23">
        <v>46031</v>
      </c>
      <c r="G230" s="24">
        <v>8</v>
      </c>
      <c r="H230" s="24" t="s">
        <v>17</v>
      </c>
      <c r="I230" s="24"/>
      <c r="J230" s="47">
        <v>997562221</v>
      </c>
      <c r="K230" s="5" t="s">
        <v>433</v>
      </c>
      <c r="L230" s="64">
        <v>46322</v>
      </c>
      <c r="M230" s="15" t="s">
        <v>12</v>
      </c>
    </row>
    <row r="231" spans="1:13" ht="19.149999999999999" customHeight="1" x14ac:dyDescent="0.3">
      <c r="A231" s="16" t="s">
        <v>658</v>
      </c>
      <c r="B231" s="16" t="s">
        <v>110</v>
      </c>
      <c r="C231" s="16">
        <v>1</v>
      </c>
      <c r="D231" s="16" t="s">
        <v>824</v>
      </c>
      <c r="E231" s="16" t="s">
        <v>50</v>
      </c>
      <c r="F231" s="23">
        <v>46031</v>
      </c>
      <c r="G231" s="24">
        <v>25</v>
      </c>
      <c r="H231" s="24" t="s">
        <v>40</v>
      </c>
      <c r="I231" s="24"/>
      <c r="J231" s="87"/>
    </row>
    <row r="232" spans="1:13" ht="19.149999999999999" customHeight="1" x14ac:dyDescent="0.3">
      <c r="A232" s="16">
        <v>1722544226</v>
      </c>
      <c r="B232" s="16" t="s">
        <v>71</v>
      </c>
      <c r="C232" s="16">
        <v>1</v>
      </c>
      <c r="D232" s="16" t="s">
        <v>809</v>
      </c>
      <c r="E232" s="16" t="s">
        <v>50</v>
      </c>
      <c r="F232" s="23">
        <v>46031</v>
      </c>
      <c r="G232" s="24">
        <v>30</v>
      </c>
      <c r="H232" s="24" t="s">
        <v>270</v>
      </c>
      <c r="I232" s="24"/>
      <c r="J232" s="49">
        <v>992792740</v>
      </c>
      <c r="K232" s="2" t="s">
        <v>424</v>
      </c>
      <c r="L232" s="52"/>
      <c r="M232" s="15" t="s">
        <v>12</v>
      </c>
    </row>
    <row r="233" spans="1:13" ht="19.149999999999999" customHeight="1" x14ac:dyDescent="0.3">
      <c r="A233" s="16">
        <v>1719893354</v>
      </c>
      <c r="B233" s="16" t="s">
        <v>111</v>
      </c>
      <c r="C233" s="16">
        <v>1</v>
      </c>
      <c r="D233" s="16" t="s">
        <v>907</v>
      </c>
      <c r="E233" s="16" t="s">
        <v>50</v>
      </c>
      <c r="F233" s="23">
        <v>46032</v>
      </c>
      <c r="G233" s="24">
        <v>20</v>
      </c>
      <c r="H233" s="24" t="s">
        <v>144</v>
      </c>
      <c r="I233" s="16"/>
      <c r="J233" s="74">
        <v>999083188</v>
      </c>
      <c r="K233" s="7" t="s">
        <v>411</v>
      </c>
      <c r="L233" s="57"/>
      <c r="M233" s="15" t="s">
        <v>12</v>
      </c>
    </row>
    <row r="234" spans="1:13" ht="19.149999999999999" customHeight="1" x14ac:dyDescent="0.3">
      <c r="A234" s="16">
        <v>1719893354</v>
      </c>
      <c r="B234" s="16" t="s">
        <v>111</v>
      </c>
      <c r="C234" s="16">
        <v>1</v>
      </c>
      <c r="D234" s="16" t="s">
        <v>939</v>
      </c>
      <c r="E234" s="16" t="s">
        <v>687</v>
      </c>
      <c r="F234" s="23">
        <v>46032</v>
      </c>
      <c r="G234" s="24">
        <v>12</v>
      </c>
      <c r="H234" s="24" t="s">
        <v>144</v>
      </c>
      <c r="I234" s="16"/>
      <c r="J234" s="74">
        <v>999083188</v>
      </c>
      <c r="K234" s="7" t="s">
        <v>411</v>
      </c>
      <c r="L234" s="57"/>
      <c r="M234" s="15" t="s">
        <v>12</v>
      </c>
    </row>
    <row r="235" spans="1:13" ht="19.149999999999999" customHeight="1" x14ac:dyDescent="0.3">
      <c r="A235" s="16">
        <v>1721675153</v>
      </c>
      <c r="B235" s="16" t="s">
        <v>98</v>
      </c>
      <c r="C235" s="16">
        <v>1</v>
      </c>
      <c r="D235" s="16" t="s">
        <v>102</v>
      </c>
      <c r="E235" s="16" t="s">
        <v>687</v>
      </c>
      <c r="F235" s="23">
        <v>46032</v>
      </c>
      <c r="G235" s="24">
        <v>10</v>
      </c>
      <c r="H235" s="24" t="s">
        <v>18</v>
      </c>
      <c r="I235" s="16">
        <v>25189365</v>
      </c>
      <c r="J235" s="75">
        <v>981111032</v>
      </c>
      <c r="K235" s="6" t="s">
        <v>408</v>
      </c>
      <c r="L235" s="55"/>
      <c r="M235" s="15" t="s">
        <v>12</v>
      </c>
    </row>
    <row r="236" spans="1:13" ht="19.149999999999999" customHeight="1" x14ac:dyDescent="0.3">
      <c r="A236" s="16">
        <v>1718764119</v>
      </c>
      <c r="B236" s="16" t="s">
        <v>1212</v>
      </c>
      <c r="C236" s="16">
        <v>1</v>
      </c>
      <c r="D236" s="16" t="s">
        <v>825</v>
      </c>
      <c r="E236" s="16" t="s">
        <v>687</v>
      </c>
      <c r="F236" s="23">
        <v>46032</v>
      </c>
      <c r="G236" s="24">
        <v>15</v>
      </c>
      <c r="H236" s="24" t="s">
        <v>18</v>
      </c>
      <c r="I236" s="16">
        <v>25189365</v>
      </c>
      <c r="J236" s="75">
        <v>999380328</v>
      </c>
      <c r="K236" s="3" t="s">
        <v>400</v>
      </c>
      <c r="L236" s="53"/>
      <c r="M236" s="15" t="s">
        <v>12</v>
      </c>
    </row>
    <row r="237" spans="1:13" ht="19.149999999999999" customHeight="1" x14ac:dyDescent="0.3">
      <c r="A237" s="16" t="s">
        <v>658</v>
      </c>
      <c r="B237" s="16" t="s">
        <v>673</v>
      </c>
      <c r="C237" s="16">
        <v>1</v>
      </c>
      <c r="D237" s="16" t="s">
        <v>102</v>
      </c>
      <c r="E237" s="16" t="s">
        <v>50</v>
      </c>
      <c r="F237" s="23">
        <v>46032</v>
      </c>
      <c r="G237" s="24">
        <v>10</v>
      </c>
      <c r="H237" s="24" t="s">
        <v>18</v>
      </c>
      <c r="I237" s="16">
        <v>25189365</v>
      </c>
      <c r="J237" s="87"/>
    </row>
    <row r="238" spans="1:13" ht="19.149999999999999" customHeight="1" x14ac:dyDescent="0.3">
      <c r="A238" s="16">
        <v>1714063292</v>
      </c>
      <c r="B238" s="16" t="s">
        <v>29</v>
      </c>
      <c r="C238" s="16">
        <v>1</v>
      </c>
      <c r="D238" s="16" t="s">
        <v>102</v>
      </c>
      <c r="E238" s="16" t="s">
        <v>687</v>
      </c>
      <c r="F238" s="23">
        <v>46032</v>
      </c>
      <c r="G238" s="24">
        <v>10</v>
      </c>
      <c r="H238" s="24" t="s">
        <v>18</v>
      </c>
      <c r="I238" s="16"/>
      <c r="J238" s="47">
        <v>995674830</v>
      </c>
      <c r="K238" s="5" t="s">
        <v>430</v>
      </c>
      <c r="L238" s="54"/>
      <c r="M238" s="15" t="s">
        <v>12</v>
      </c>
    </row>
    <row r="239" spans="1:13" ht="19.149999999999999" customHeight="1" x14ac:dyDescent="0.3">
      <c r="A239" s="16" t="s">
        <v>658</v>
      </c>
      <c r="B239" s="16" t="s">
        <v>112</v>
      </c>
      <c r="C239" s="16">
        <v>1</v>
      </c>
      <c r="D239" s="16" t="s">
        <v>28</v>
      </c>
      <c r="E239" s="16" t="s">
        <v>50</v>
      </c>
      <c r="F239" s="23">
        <v>46033</v>
      </c>
      <c r="G239" s="24">
        <v>15</v>
      </c>
      <c r="H239" s="24" t="s">
        <v>18</v>
      </c>
      <c r="I239" s="16">
        <v>89444950</v>
      </c>
      <c r="J239" s="47">
        <v>985058795</v>
      </c>
      <c r="K239" s="16"/>
      <c r="L239" s="45"/>
      <c r="M239" s="15" t="s">
        <v>12</v>
      </c>
    </row>
    <row r="240" spans="1:13" ht="19.149999999999999" customHeight="1" x14ac:dyDescent="0.3">
      <c r="A240" s="16">
        <v>1715315907</v>
      </c>
      <c r="B240" s="16" t="s">
        <v>114</v>
      </c>
      <c r="C240" s="16">
        <v>1</v>
      </c>
      <c r="D240" s="16" t="s">
        <v>102</v>
      </c>
      <c r="E240" s="16" t="s">
        <v>50</v>
      </c>
      <c r="F240" s="23">
        <v>46033</v>
      </c>
      <c r="G240" s="24">
        <v>10</v>
      </c>
      <c r="H240" s="24" t="s">
        <v>18</v>
      </c>
      <c r="I240" s="16">
        <v>111734282</v>
      </c>
      <c r="J240" s="47">
        <v>984222444</v>
      </c>
      <c r="K240" s="5" t="s">
        <v>413</v>
      </c>
      <c r="L240" s="54"/>
      <c r="M240" s="15" t="s">
        <v>12</v>
      </c>
    </row>
    <row r="241" spans="1:13" ht="19.149999999999999" customHeight="1" x14ac:dyDescent="0.3">
      <c r="A241" s="16">
        <v>1715315907</v>
      </c>
      <c r="B241" s="16" t="s">
        <v>114</v>
      </c>
      <c r="C241" s="16">
        <v>1</v>
      </c>
      <c r="D241" s="16" t="s">
        <v>102</v>
      </c>
      <c r="E241" s="16" t="s">
        <v>687</v>
      </c>
      <c r="F241" s="23">
        <v>46033</v>
      </c>
      <c r="G241" s="24">
        <v>10</v>
      </c>
      <c r="H241" s="24" t="s">
        <v>18</v>
      </c>
      <c r="I241" s="16">
        <v>111734282</v>
      </c>
      <c r="J241" s="47">
        <v>984222444</v>
      </c>
      <c r="K241" s="5" t="s">
        <v>413</v>
      </c>
      <c r="L241" s="54"/>
      <c r="M241" s="15" t="s">
        <v>12</v>
      </c>
    </row>
    <row r="242" spans="1:13" ht="19.149999999999999" customHeight="1" x14ac:dyDescent="0.3">
      <c r="A242" s="16">
        <v>1714789540</v>
      </c>
      <c r="B242" s="16" t="s">
        <v>113</v>
      </c>
      <c r="C242" s="16">
        <v>1</v>
      </c>
      <c r="D242" s="16" t="s">
        <v>102</v>
      </c>
      <c r="E242" s="16" t="s">
        <v>50</v>
      </c>
      <c r="F242" s="23">
        <v>46033</v>
      </c>
      <c r="G242" s="24">
        <v>10</v>
      </c>
      <c r="H242" s="24" t="s">
        <v>144</v>
      </c>
      <c r="I242" s="16"/>
      <c r="J242" s="47">
        <v>989507871</v>
      </c>
      <c r="K242" s="5" t="s">
        <v>412</v>
      </c>
      <c r="L242" s="54"/>
      <c r="M242" s="15" t="s">
        <v>12</v>
      </c>
    </row>
    <row r="243" spans="1:13" ht="19.149999999999999" customHeight="1" x14ac:dyDescent="0.3">
      <c r="A243" s="16">
        <v>1714789540</v>
      </c>
      <c r="B243" s="16" t="s">
        <v>113</v>
      </c>
      <c r="C243" s="16">
        <v>1</v>
      </c>
      <c r="D243" s="16" t="s">
        <v>102</v>
      </c>
      <c r="E243" s="16" t="s">
        <v>50</v>
      </c>
      <c r="F243" s="23">
        <v>46033</v>
      </c>
      <c r="G243" s="24">
        <v>10</v>
      </c>
      <c r="H243" s="24" t="s">
        <v>144</v>
      </c>
      <c r="I243" s="16"/>
      <c r="J243" s="47">
        <v>989507871</v>
      </c>
      <c r="K243" s="5" t="s">
        <v>412</v>
      </c>
      <c r="L243" s="54"/>
      <c r="M243" s="15" t="s">
        <v>12</v>
      </c>
    </row>
    <row r="244" spans="1:13" ht="19.149999999999999" customHeight="1" x14ac:dyDescent="0.3">
      <c r="A244" s="16">
        <v>1714789540</v>
      </c>
      <c r="B244" s="16" t="s">
        <v>113</v>
      </c>
      <c r="C244" s="16">
        <v>1</v>
      </c>
      <c r="D244" s="16" t="s">
        <v>937</v>
      </c>
      <c r="E244" s="16" t="s">
        <v>687</v>
      </c>
      <c r="F244" s="23">
        <v>46033</v>
      </c>
      <c r="G244" s="24">
        <v>30</v>
      </c>
      <c r="H244" s="24" t="s">
        <v>144</v>
      </c>
      <c r="I244" s="24"/>
      <c r="J244" s="47">
        <v>989507871</v>
      </c>
      <c r="K244" s="5" t="s">
        <v>412</v>
      </c>
      <c r="L244" s="54"/>
      <c r="M244" s="15" t="s">
        <v>12</v>
      </c>
    </row>
    <row r="245" spans="1:13" ht="19.149999999999999" customHeight="1" x14ac:dyDescent="0.3">
      <c r="A245" s="16" t="s">
        <v>658</v>
      </c>
      <c r="B245" s="16" t="s">
        <v>658</v>
      </c>
      <c r="C245" s="16">
        <v>1</v>
      </c>
      <c r="D245" s="16" t="s">
        <v>697</v>
      </c>
      <c r="E245" s="16" t="s">
        <v>50</v>
      </c>
      <c r="F245" s="23">
        <v>46034</v>
      </c>
      <c r="G245" s="24">
        <v>13</v>
      </c>
      <c r="H245" s="24" t="s">
        <v>144</v>
      </c>
      <c r="I245" s="24"/>
      <c r="J245" s="87"/>
    </row>
    <row r="246" spans="1:13" ht="19.149999999999999" customHeight="1" x14ac:dyDescent="0.3">
      <c r="A246" s="16" t="s">
        <v>658</v>
      </c>
      <c r="B246" s="16" t="s">
        <v>658</v>
      </c>
      <c r="C246" s="16">
        <v>1</v>
      </c>
      <c r="D246" s="16" t="s">
        <v>826</v>
      </c>
      <c r="E246" s="16" t="s">
        <v>50</v>
      </c>
      <c r="F246" s="23">
        <v>46035</v>
      </c>
      <c r="G246" s="24">
        <v>10</v>
      </c>
      <c r="H246" s="24" t="s">
        <v>17</v>
      </c>
      <c r="I246" s="24"/>
      <c r="J246" s="87"/>
    </row>
    <row r="247" spans="1:13" ht="19.149999999999999" customHeight="1" x14ac:dyDescent="0.3">
      <c r="A247" s="16" t="s">
        <v>658</v>
      </c>
      <c r="B247" s="16" t="s">
        <v>658</v>
      </c>
      <c r="C247" s="16">
        <v>1</v>
      </c>
      <c r="D247" s="16" t="s">
        <v>826</v>
      </c>
      <c r="E247" s="16" t="s">
        <v>50</v>
      </c>
      <c r="F247" s="23">
        <v>46035</v>
      </c>
      <c r="G247" s="24">
        <v>10</v>
      </c>
      <c r="H247" s="24" t="s">
        <v>17</v>
      </c>
      <c r="I247" s="24"/>
      <c r="J247" s="87"/>
    </row>
    <row r="248" spans="1:13" ht="19.149999999999999" customHeight="1" x14ac:dyDescent="0.3">
      <c r="A248" s="16" t="s">
        <v>658</v>
      </c>
      <c r="B248" s="16" t="s">
        <v>189</v>
      </c>
      <c r="C248" s="16">
        <v>1</v>
      </c>
      <c r="D248" s="16" t="s">
        <v>28</v>
      </c>
      <c r="E248" s="16" t="s">
        <v>50</v>
      </c>
      <c r="F248" s="23">
        <v>46036</v>
      </c>
      <c r="G248" s="24">
        <v>15</v>
      </c>
      <c r="H248" s="24" t="s">
        <v>270</v>
      </c>
      <c r="I248" s="24"/>
      <c r="J248" s="87"/>
    </row>
    <row r="249" spans="1:13" ht="19.149999999999999" customHeight="1" x14ac:dyDescent="0.3">
      <c r="A249" s="16" t="s">
        <v>658</v>
      </c>
      <c r="B249" s="16" t="s">
        <v>658</v>
      </c>
      <c r="C249" s="16">
        <v>1</v>
      </c>
      <c r="D249" s="16" t="s">
        <v>6</v>
      </c>
      <c r="E249" s="16" t="s">
        <v>50</v>
      </c>
      <c r="F249" s="23">
        <v>46036</v>
      </c>
      <c r="G249" s="24">
        <v>12</v>
      </c>
      <c r="H249" s="24" t="s">
        <v>144</v>
      </c>
      <c r="I249" s="24"/>
      <c r="J249" s="87"/>
    </row>
    <row r="250" spans="1:13" ht="19.149999999999999" customHeight="1" x14ac:dyDescent="0.3">
      <c r="A250" s="16" t="s">
        <v>658</v>
      </c>
      <c r="B250" s="16" t="s">
        <v>658</v>
      </c>
      <c r="C250" s="16">
        <v>1</v>
      </c>
      <c r="D250" s="16" t="s">
        <v>810</v>
      </c>
      <c r="E250" s="16" t="s">
        <v>50</v>
      </c>
      <c r="F250" s="23">
        <v>46037</v>
      </c>
      <c r="G250" s="24">
        <v>23</v>
      </c>
      <c r="H250" s="24" t="s">
        <v>270</v>
      </c>
      <c r="I250" s="24"/>
      <c r="J250" s="87"/>
    </row>
    <row r="251" spans="1:13" ht="19.149999999999999" customHeight="1" x14ac:dyDescent="0.3">
      <c r="A251" s="16" t="s">
        <v>658</v>
      </c>
      <c r="B251" s="16" t="s">
        <v>658</v>
      </c>
      <c r="C251" s="16">
        <v>1</v>
      </c>
      <c r="D251" s="16" t="s">
        <v>720</v>
      </c>
      <c r="E251" s="16" t="s">
        <v>50</v>
      </c>
      <c r="F251" s="23">
        <v>46037</v>
      </c>
      <c r="G251" s="24">
        <v>20</v>
      </c>
      <c r="H251" s="24" t="s">
        <v>270</v>
      </c>
      <c r="I251" s="24"/>
      <c r="J251" s="87"/>
    </row>
    <row r="252" spans="1:13" ht="19.149999999999999" customHeight="1" x14ac:dyDescent="0.3">
      <c r="A252" s="16" t="s">
        <v>658</v>
      </c>
      <c r="B252" s="16" t="s">
        <v>158</v>
      </c>
      <c r="C252" s="16">
        <v>1</v>
      </c>
      <c r="D252" s="16" t="s">
        <v>827</v>
      </c>
      <c r="E252" s="16" t="s">
        <v>50</v>
      </c>
      <c r="F252" s="23">
        <v>46037</v>
      </c>
      <c r="G252" s="24">
        <v>20</v>
      </c>
      <c r="H252" s="24" t="s">
        <v>270</v>
      </c>
      <c r="I252" s="24"/>
      <c r="J252" s="49">
        <v>996115459</v>
      </c>
      <c r="K252" s="18"/>
      <c r="L252" s="46"/>
      <c r="M252" s="15" t="s">
        <v>12</v>
      </c>
    </row>
    <row r="253" spans="1:13" ht="19.149999999999999" customHeight="1" x14ac:dyDescent="0.3">
      <c r="A253" s="16" t="s">
        <v>658</v>
      </c>
      <c r="B253" s="16" t="s">
        <v>967</v>
      </c>
      <c r="C253" s="16">
        <v>1</v>
      </c>
      <c r="D253" s="16" t="s">
        <v>828</v>
      </c>
      <c r="E253" s="16" t="s">
        <v>687</v>
      </c>
      <c r="F253" s="23">
        <v>46038</v>
      </c>
      <c r="G253" s="24">
        <v>25</v>
      </c>
      <c r="H253" s="24" t="s">
        <v>270</v>
      </c>
      <c r="I253" s="24"/>
      <c r="J253" s="87"/>
    </row>
    <row r="254" spans="1:13" ht="19.149999999999999" customHeight="1" x14ac:dyDescent="0.3">
      <c r="A254" s="16" t="s">
        <v>658</v>
      </c>
      <c r="B254" s="16" t="s">
        <v>967</v>
      </c>
      <c r="C254" s="16">
        <v>1</v>
      </c>
      <c r="D254" s="16" t="s">
        <v>828</v>
      </c>
      <c r="E254" s="16" t="s">
        <v>687</v>
      </c>
      <c r="F254" s="23">
        <v>46038</v>
      </c>
      <c r="G254" s="24">
        <v>25</v>
      </c>
      <c r="H254" s="24" t="s">
        <v>18</v>
      </c>
      <c r="I254" s="24"/>
      <c r="J254" s="87"/>
    </row>
    <row r="255" spans="1:13" ht="19.149999999999999" customHeight="1" x14ac:dyDescent="0.3">
      <c r="A255" s="16" t="s">
        <v>658</v>
      </c>
      <c r="B255" s="16" t="s">
        <v>658</v>
      </c>
      <c r="C255" s="16">
        <v>1</v>
      </c>
      <c r="D255" s="16" t="s">
        <v>775</v>
      </c>
      <c r="E255" s="16" t="s">
        <v>50</v>
      </c>
      <c r="F255" s="23">
        <v>46038</v>
      </c>
      <c r="G255" s="24">
        <v>30</v>
      </c>
      <c r="H255" s="24" t="s">
        <v>40</v>
      </c>
      <c r="I255" s="24"/>
      <c r="J255" s="87"/>
    </row>
    <row r="256" spans="1:13" ht="19.149999999999999" customHeight="1" x14ac:dyDescent="0.3">
      <c r="A256" s="16" t="s">
        <v>658</v>
      </c>
      <c r="B256" s="16" t="s">
        <v>658</v>
      </c>
      <c r="C256" s="16">
        <v>1</v>
      </c>
      <c r="D256" s="16" t="s">
        <v>742</v>
      </c>
      <c r="E256" s="16" t="s">
        <v>50</v>
      </c>
      <c r="F256" s="23">
        <v>46038</v>
      </c>
      <c r="G256" s="24">
        <v>18</v>
      </c>
      <c r="H256" s="24" t="s">
        <v>17</v>
      </c>
      <c r="I256" s="24"/>
      <c r="J256" s="87"/>
    </row>
    <row r="257" spans="1:13" ht="19.149999999999999" customHeight="1" x14ac:dyDescent="0.3">
      <c r="A257" s="16" t="s">
        <v>658</v>
      </c>
      <c r="B257" s="16" t="s">
        <v>658</v>
      </c>
      <c r="C257" s="16">
        <v>1</v>
      </c>
      <c r="D257" s="16" t="s">
        <v>828</v>
      </c>
      <c r="E257" s="16" t="s">
        <v>50</v>
      </c>
      <c r="F257" s="23">
        <v>46038</v>
      </c>
      <c r="G257" s="24">
        <v>25</v>
      </c>
      <c r="H257" s="24" t="s">
        <v>18</v>
      </c>
      <c r="I257" s="24"/>
      <c r="J257" s="87"/>
    </row>
    <row r="258" spans="1:13" ht="19.149999999999999" customHeight="1" x14ac:dyDescent="0.3">
      <c r="A258" s="16" t="s">
        <v>658</v>
      </c>
      <c r="B258" s="16" t="s">
        <v>117</v>
      </c>
      <c r="C258" s="16">
        <v>1</v>
      </c>
      <c r="D258" s="16" t="s">
        <v>118</v>
      </c>
      <c r="E258" s="16" t="s">
        <v>50</v>
      </c>
      <c r="F258" s="23">
        <v>46039</v>
      </c>
      <c r="G258" s="24">
        <v>30</v>
      </c>
      <c r="H258" s="24" t="s">
        <v>18</v>
      </c>
      <c r="I258" s="25">
        <v>35398833</v>
      </c>
      <c r="J258" s="49">
        <v>998028396</v>
      </c>
      <c r="K258" s="2" t="s">
        <v>406</v>
      </c>
      <c r="L258" s="52"/>
      <c r="M258" s="15" t="s">
        <v>12</v>
      </c>
    </row>
    <row r="259" spans="1:13" ht="19.149999999999999" customHeight="1" x14ac:dyDescent="0.3">
      <c r="A259" s="16" t="s">
        <v>658</v>
      </c>
      <c r="B259" s="16" t="s">
        <v>120</v>
      </c>
      <c r="C259" s="16">
        <v>1</v>
      </c>
      <c r="D259" s="16" t="s">
        <v>121</v>
      </c>
      <c r="E259" s="16" t="s">
        <v>50</v>
      </c>
      <c r="F259" s="23">
        <v>46039</v>
      </c>
      <c r="G259" s="24">
        <v>23</v>
      </c>
      <c r="H259" s="24" t="s">
        <v>144</v>
      </c>
      <c r="I259" s="25"/>
      <c r="J259" s="87"/>
      <c r="K259" s="5" t="s">
        <v>415</v>
      </c>
    </row>
    <row r="260" spans="1:13" ht="19.149999999999999" customHeight="1" x14ac:dyDescent="0.3">
      <c r="A260" s="16" t="s">
        <v>658</v>
      </c>
      <c r="B260" s="16" t="s">
        <v>120</v>
      </c>
      <c r="C260" s="16">
        <v>1</v>
      </c>
      <c r="D260" s="16" t="s">
        <v>102</v>
      </c>
      <c r="E260" s="16" t="s">
        <v>687</v>
      </c>
      <c r="F260" s="23">
        <v>46039</v>
      </c>
      <c r="G260" s="24">
        <v>10</v>
      </c>
      <c r="H260" s="24" t="s">
        <v>144</v>
      </c>
      <c r="I260" s="25"/>
      <c r="J260" s="87"/>
      <c r="K260" s="5" t="s">
        <v>415</v>
      </c>
    </row>
    <row r="261" spans="1:13" ht="19.149999999999999" customHeight="1" x14ac:dyDescent="0.3">
      <c r="A261" s="16">
        <v>1719118695</v>
      </c>
      <c r="B261" s="16" t="s">
        <v>148</v>
      </c>
      <c r="C261" s="16">
        <v>1</v>
      </c>
      <c r="D261" s="16" t="s">
        <v>832</v>
      </c>
      <c r="E261" s="16" t="s">
        <v>50</v>
      </c>
      <c r="F261" s="23">
        <v>46039</v>
      </c>
      <c r="G261" s="24">
        <v>17</v>
      </c>
      <c r="H261" s="24" t="s">
        <v>144</v>
      </c>
      <c r="I261" s="25"/>
      <c r="J261" s="47">
        <v>984163500</v>
      </c>
      <c r="K261" s="5" t="s">
        <v>416</v>
      </c>
      <c r="L261" s="54"/>
      <c r="M261" s="15" t="s">
        <v>12</v>
      </c>
    </row>
    <row r="262" spans="1:13" ht="19.149999999999999" customHeight="1" x14ac:dyDescent="0.3">
      <c r="A262" s="16" t="s">
        <v>658</v>
      </c>
      <c r="B262" s="16" t="s">
        <v>1206</v>
      </c>
      <c r="C262" s="16">
        <v>1</v>
      </c>
      <c r="D262" s="16" t="s">
        <v>833</v>
      </c>
      <c r="E262" s="16" t="s">
        <v>687</v>
      </c>
      <c r="F262" s="23">
        <v>46039</v>
      </c>
      <c r="G262" s="24">
        <v>18</v>
      </c>
      <c r="H262" s="24" t="s">
        <v>17</v>
      </c>
      <c r="I262" s="25"/>
      <c r="J262" s="87"/>
    </row>
    <row r="263" spans="1:13" ht="19.149999999999999" customHeight="1" x14ac:dyDescent="0.3">
      <c r="A263" s="16" t="s">
        <v>658</v>
      </c>
      <c r="B263" s="16" t="s">
        <v>122</v>
      </c>
      <c r="C263" s="16">
        <v>1</v>
      </c>
      <c r="D263" s="16" t="s">
        <v>834</v>
      </c>
      <c r="E263" s="16" t="s">
        <v>50</v>
      </c>
      <c r="F263" s="23">
        <v>46039</v>
      </c>
      <c r="G263" s="24">
        <v>20</v>
      </c>
      <c r="H263" s="24" t="s">
        <v>18</v>
      </c>
      <c r="I263" s="25">
        <v>52251421</v>
      </c>
      <c r="J263" s="87"/>
    </row>
    <row r="264" spans="1:13" ht="19.149999999999999" customHeight="1" x14ac:dyDescent="0.3">
      <c r="A264" s="16">
        <v>1723127823</v>
      </c>
      <c r="B264" s="16" t="s">
        <v>115</v>
      </c>
      <c r="C264" s="16">
        <v>1</v>
      </c>
      <c r="D264" s="16" t="s">
        <v>835</v>
      </c>
      <c r="E264" s="16" t="s">
        <v>50</v>
      </c>
      <c r="F264" s="23">
        <v>46039</v>
      </c>
      <c r="G264" s="24">
        <f>15+16</f>
        <v>31</v>
      </c>
      <c r="H264" s="24" t="s">
        <v>144</v>
      </c>
      <c r="I264" s="25"/>
      <c r="J264" s="47">
        <v>992735663</v>
      </c>
      <c r="K264" s="5" t="s">
        <v>414</v>
      </c>
      <c r="L264" s="54"/>
      <c r="M264" s="15" t="s">
        <v>12</v>
      </c>
    </row>
    <row r="265" spans="1:13" ht="19.149999999999999" customHeight="1" x14ac:dyDescent="0.3">
      <c r="A265" s="16">
        <v>1714650379</v>
      </c>
      <c r="B265" s="16" t="s">
        <v>664</v>
      </c>
      <c r="C265" s="16">
        <v>1</v>
      </c>
      <c r="D265" s="16" t="s">
        <v>836</v>
      </c>
      <c r="E265" s="16" t="s">
        <v>50</v>
      </c>
      <c r="F265" s="23">
        <v>46039</v>
      </c>
      <c r="G265" s="24">
        <v>10</v>
      </c>
      <c r="H265" s="24" t="s">
        <v>18</v>
      </c>
      <c r="I265" s="25">
        <v>32946009</v>
      </c>
      <c r="J265" s="49">
        <v>982663163</v>
      </c>
      <c r="K265" s="2" t="s">
        <v>475</v>
      </c>
      <c r="L265" s="52"/>
      <c r="M265" s="15" t="s">
        <v>12</v>
      </c>
    </row>
    <row r="266" spans="1:13" ht="19.149999999999999" customHeight="1" x14ac:dyDescent="0.3">
      <c r="A266" s="16">
        <v>1714650379</v>
      </c>
      <c r="B266" s="16" t="s">
        <v>664</v>
      </c>
      <c r="C266" s="16">
        <v>1</v>
      </c>
      <c r="D266" s="16" t="s">
        <v>898</v>
      </c>
      <c r="E266" s="16" t="s">
        <v>687</v>
      </c>
      <c r="F266" s="23">
        <v>46039</v>
      </c>
      <c r="G266" s="24">
        <v>15</v>
      </c>
      <c r="H266" s="24" t="s">
        <v>18</v>
      </c>
      <c r="I266" s="25">
        <v>32946009</v>
      </c>
      <c r="J266" s="87">
        <v>982663163</v>
      </c>
      <c r="K266" s="12" t="s">
        <v>587</v>
      </c>
      <c r="L266" s="12"/>
      <c r="M266" s="15" t="s">
        <v>12</v>
      </c>
    </row>
    <row r="267" spans="1:13" ht="19.149999999999999" customHeight="1" x14ac:dyDescent="0.3">
      <c r="A267" s="16">
        <v>106143837</v>
      </c>
      <c r="B267" s="16" t="s">
        <v>56</v>
      </c>
      <c r="C267" s="16">
        <v>1</v>
      </c>
      <c r="D267" s="16" t="s">
        <v>124</v>
      </c>
      <c r="E267" s="16" t="s">
        <v>687</v>
      </c>
      <c r="F267" s="23">
        <v>46039</v>
      </c>
      <c r="G267" s="24">
        <v>10</v>
      </c>
      <c r="H267" s="24" t="s">
        <v>18</v>
      </c>
      <c r="I267" s="25">
        <v>55350816</v>
      </c>
      <c r="J267" s="49">
        <v>959814387</v>
      </c>
      <c r="K267" s="2" t="s">
        <v>402</v>
      </c>
      <c r="L267" s="52"/>
      <c r="M267" s="15" t="s">
        <v>12</v>
      </c>
    </row>
    <row r="268" spans="1:13" s="21" customFormat="1" ht="19.149999999999999" customHeight="1" x14ac:dyDescent="0.3">
      <c r="A268" s="16">
        <v>1714061981</v>
      </c>
      <c r="B268" s="16" t="s">
        <v>116</v>
      </c>
      <c r="C268" s="16">
        <v>1</v>
      </c>
      <c r="D268" s="16" t="s">
        <v>764</v>
      </c>
      <c r="E268" s="16" t="s">
        <v>687</v>
      </c>
      <c r="F268" s="23">
        <v>46039</v>
      </c>
      <c r="G268" s="24">
        <v>20</v>
      </c>
      <c r="H268" s="24" t="s">
        <v>18</v>
      </c>
      <c r="I268" s="25">
        <v>30012902</v>
      </c>
      <c r="J268" s="47">
        <v>984254895</v>
      </c>
      <c r="K268" s="5" t="s">
        <v>419</v>
      </c>
      <c r="L268" s="54"/>
      <c r="M268" s="62" t="s">
        <v>12</v>
      </c>
    </row>
    <row r="269" spans="1:13" ht="19.149999999999999" customHeight="1" x14ac:dyDescent="0.3">
      <c r="A269" s="16" t="s">
        <v>658</v>
      </c>
      <c r="B269" s="16" t="s">
        <v>119</v>
      </c>
      <c r="C269" s="16">
        <v>1</v>
      </c>
      <c r="D269" s="16" t="s">
        <v>940</v>
      </c>
      <c r="E269" s="16" t="s">
        <v>687</v>
      </c>
      <c r="F269" s="23">
        <v>46039</v>
      </c>
      <c r="G269" s="24">
        <v>25</v>
      </c>
      <c r="H269" s="24" t="s">
        <v>18</v>
      </c>
      <c r="I269" s="25">
        <v>39549110</v>
      </c>
      <c r="J269" s="47">
        <v>983040513</v>
      </c>
      <c r="K269" s="16"/>
      <c r="L269" s="45"/>
      <c r="M269" s="15" t="s">
        <v>12</v>
      </c>
    </row>
    <row r="270" spans="1:13" ht="19.149999999999999" customHeight="1" x14ac:dyDescent="0.3">
      <c r="A270" s="16">
        <v>1721946067</v>
      </c>
      <c r="B270" s="16" t="s">
        <v>31</v>
      </c>
      <c r="C270" s="16">
        <v>1</v>
      </c>
      <c r="D270" s="16" t="s">
        <v>842</v>
      </c>
      <c r="E270" s="16" t="s">
        <v>687</v>
      </c>
      <c r="F270" s="23">
        <v>46039</v>
      </c>
      <c r="G270" s="24">
        <v>16</v>
      </c>
      <c r="H270" s="24" t="s">
        <v>18</v>
      </c>
      <c r="I270" s="25"/>
      <c r="J270" s="47">
        <v>997562221</v>
      </c>
      <c r="K270" s="5" t="s">
        <v>433</v>
      </c>
      <c r="L270" s="64">
        <v>46322</v>
      </c>
      <c r="M270" s="15" t="s">
        <v>12</v>
      </c>
    </row>
    <row r="271" spans="1:13" ht="19.149999999999999" customHeight="1" x14ac:dyDescent="0.3">
      <c r="A271" s="16" t="s">
        <v>658</v>
      </c>
      <c r="B271" s="16" t="s">
        <v>125</v>
      </c>
      <c r="C271" s="16">
        <v>1</v>
      </c>
      <c r="D271" s="16" t="s">
        <v>126</v>
      </c>
      <c r="E271" s="16" t="s">
        <v>50</v>
      </c>
      <c r="F271" s="23">
        <v>46040</v>
      </c>
      <c r="G271" s="24">
        <v>32</v>
      </c>
      <c r="H271" s="24" t="s">
        <v>18</v>
      </c>
      <c r="I271" s="25">
        <v>91461525</v>
      </c>
      <c r="J271" s="74">
        <v>982734868</v>
      </c>
      <c r="K271" s="20"/>
      <c r="L271" s="56"/>
      <c r="M271" s="15" t="s">
        <v>12</v>
      </c>
    </row>
    <row r="272" spans="1:13" ht="19.149999999999999" customHeight="1" x14ac:dyDescent="0.3">
      <c r="A272" s="16">
        <v>1718017302</v>
      </c>
      <c r="B272" s="16" t="s">
        <v>127</v>
      </c>
      <c r="C272" s="16">
        <v>1</v>
      </c>
      <c r="D272" s="16" t="s">
        <v>128</v>
      </c>
      <c r="E272" s="16" t="s">
        <v>687</v>
      </c>
      <c r="F272" s="23">
        <v>46040</v>
      </c>
      <c r="G272" s="24">
        <v>39</v>
      </c>
      <c r="H272" s="24" t="s">
        <v>18</v>
      </c>
      <c r="I272" s="25">
        <v>105098809</v>
      </c>
      <c r="J272" s="74">
        <v>984043562</v>
      </c>
      <c r="K272" s="7" t="s">
        <v>417</v>
      </c>
      <c r="L272" s="57"/>
      <c r="M272" s="15" t="s">
        <v>12</v>
      </c>
    </row>
    <row r="273" spans="1:13" ht="19.149999999999999" customHeight="1" x14ac:dyDescent="0.3">
      <c r="A273" s="16">
        <v>1719118695</v>
      </c>
      <c r="B273" s="16" t="s">
        <v>148</v>
      </c>
      <c r="C273" s="16">
        <v>1</v>
      </c>
      <c r="D273" s="16" t="s">
        <v>832</v>
      </c>
      <c r="E273" s="16" t="s">
        <v>50</v>
      </c>
      <c r="F273" s="23">
        <v>46041</v>
      </c>
      <c r="G273" s="24">
        <v>17</v>
      </c>
      <c r="H273" s="24" t="s">
        <v>144</v>
      </c>
      <c r="I273" s="25"/>
      <c r="J273" s="47">
        <v>984163500</v>
      </c>
      <c r="K273" s="5" t="s">
        <v>416</v>
      </c>
      <c r="L273" s="54"/>
      <c r="M273" s="15" t="s">
        <v>12</v>
      </c>
    </row>
    <row r="274" spans="1:13" ht="19.149999999999999" customHeight="1" x14ac:dyDescent="0.3">
      <c r="A274" s="16">
        <v>106143837</v>
      </c>
      <c r="B274" s="16" t="s">
        <v>56</v>
      </c>
      <c r="C274" s="16">
        <v>1</v>
      </c>
      <c r="D274" s="16" t="s">
        <v>124</v>
      </c>
      <c r="E274" s="16" t="s">
        <v>687</v>
      </c>
      <c r="F274" s="23">
        <v>46041</v>
      </c>
      <c r="G274" s="24">
        <v>10</v>
      </c>
      <c r="H274" s="24" t="s">
        <v>18</v>
      </c>
      <c r="I274" s="25">
        <v>55350816</v>
      </c>
      <c r="J274" s="49">
        <v>959814387</v>
      </c>
      <c r="K274" s="2" t="s">
        <v>402</v>
      </c>
      <c r="L274" s="52"/>
      <c r="M274" s="15" t="s">
        <v>12</v>
      </c>
    </row>
    <row r="275" spans="1:13" ht="19.149999999999999" customHeight="1" x14ac:dyDescent="0.3">
      <c r="A275" s="16">
        <v>401094149</v>
      </c>
      <c r="B275" s="16" t="s">
        <v>348</v>
      </c>
      <c r="C275" s="16">
        <v>1</v>
      </c>
      <c r="D275" s="16" t="s">
        <v>102</v>
      </c>
      <c r="E275" s="16" t="s">
        <v>50</v>
      </c>
      <c r="F275" s="23">
        <v>46042</v>
      </c>
      <c r="G275" s="24">
        <v>10</v>
      </c>
      <c r="H275" s="24" t="s">
        <v>270</v>
      </c>
      <c r="I275" s="24"/>
      <c r="J275" s="47">
        <v>997235655</v>
      </c>
      <c r="K275" s="5"/>
      <c r="L275" s="54"/>
      <c r="M275" s="15" t="s">
        <v>12</v>
      </c>
    </row>
    <row r="276" spans="1:13" ht="19.149999999999999" customHeight="1" x14ac:dyDescent="0.3">
      <c r="A276" s="16" t="s">
        <v>658</v>
      </c>
      <c r="B276" s="16" t="s">
        <v>658</v>
      </c>
      <c r="C276" s="16">
        <v>1</v>
      </c>
      <c r="D276" s="16" t="s">
        <v>688</v>
      </c>
      <c r="E276" s="16" t="s">
        <v>50</v>
      </c>
      <c r="F276" s="23">
        <v>46042</v>
      </c>
      <c r="G276" s="24">
        <v>18</v>
      </c>
      <c r="H276" s="24" t="s">
        <v>17</v>
      </c>
      <c r="I276" s="24"/>
      <c r="J276" s="87"/>
    </row>
    <row r="277" spans="1:13" ht="19.149999999999999" customHeight="1" x14ac:dyDescent="0.3">
      <c r="A277" s="16">
        <v>901787903</v>
      </c>
      <c r="B277" s="16" t="s">
        <v>217</v>
      </c>
      <c r="C277" s="16">
        <v>1</v>
      </c>
      <c r="D277" s="16" t="s">
        <v>699</v>
      </c>
      <c r="E277" s="16" t="s">
        <v>294</v>
      </c>
      <c r="F277" s="23">
        <v>46043</v>
      </c>
      <c r="G277" s="28">
        <v>22</v>
      </c>
      <c r="H277" s="28" t="s">
        <v>144</v>
      </c>
      <c r="I277" s="27">
        <v>187</v>
      </c>
      <c r="J277" s="47">
        <v>995635866</v>
      </c>
      <c r="K277" s="5" t="s">
        <v>510</v>
      </c>
      <c r="L277" s="54"/>
      <c r="M277" s="15" t="s">
        <v>12</v>
      </c>
    </row>
    <row r="278" spans="1:13" ht="19.149999999999999" customHeight="1" x14ac:dyDescent="0.3">
      <c r="A278" s="16" t="s">
        <v>658</v>
      </c>
      <c r="B278" s="16" t="s">
        <v>658</v>
      </c>
      <c r="C278" s="16">
        <v>1</v>
      </c>
      <c r="D278" s="16" t="s">
        <v>869</v>
      </c>
      <c r="E278" s="16" t="s">
        <v>50</v>
      </c>
      <c r="F278" s="23">
        <v>46043</v>
      </c>
      <c r="G278" s="24">
        <v>4</v>
      </c>
      <c r="H278" s="24" t="s">
        <v>17</v>
      </c>
      <c r="I278" s="24"/>
      <c r="J278" s="87"/>
    </row>
    <row r="279" spans="1:13" ht="19.149999999999999" customHeight="1" x14ac:dyDescent="0.3">
      <c r="A279" s="16" t="s">
        <v>658</v>
      </c>
      <c r="B279" s="16" t="s">
        <v>658</v>
      </c>
      <c r="C279" s="16">
        <v>1</v>
      </c>
      <c r="D279" s="16" t="s">
        <v>52</v>
      </c>
      <c r="E279" s="16" t="s">
        <v>50</v>
      </c>
      <c r="F279" s="23">
        <v>46043</v>
      </c>
      <c r="G279" s="24">
        <v>16</v>
      </c>
      <c r="H279" s="24" t="s">
        <v>270</v>
      </c>
      <c r="I279" s="24"/>
      <c r="J279" s="87"/>
    </row>
    <row r="280" spans="1:13" ht="19.149999999999999" customHeight="1" x14ac:dyDescent="0.3">
      <c r="A280" s="16" t="s">
        <v>658</v>
      </c>
      <c r="B280" s="16" t="s">
        <v>658</v>
      </c>
      <c r="C280" s="16">
        <v>1</v>
      </c>
      <c r="D280" s="16" t="s">
        <v>764</v>
      </c>
      <c r="E280" s="16" t="s">
        <v>50</v>
      </c>
      <c r="F280" s="23">
        <v>46043</v>
      </c>
      <c r="G280" s="24">
        <v>20</v>
      </c>
      <c r="H280" s="24" t="s">
        <v>270</v>
      </c>
      <c r="I280" s="24"/>
      <c r="J280" s="87"/>
    </row>
    <row r="281" spans="1:13" ht="19.149999999999999" customHeight="1" x14ac:dyDescent="0.3">
      <c r="A281" s="16" t="s">
        <v>658</v>
      </c>
      <c r="B281" s="16" t="s">
        <v>658</v>
      </c>
      <c r="C281" s="16">
        <v>1</v>
      </c>
      <c r="D281" s="16" t="s">
        <v>774</v>
      </c>
      <c r="E281" s="16" t="s">
        <v>50</v>
      </c>
      <c r="F281" s="23">
        <v>46043</v>
      </c>
      <c r="G281" s="24">
        <v>23</v>
      </c>
      <c r="H281" s="24" t="s">
        <v>144</v>
      </c>
      <c r="I281" s="24"/>
      <c r="J281" s="87"/>
    </row>
    <row r="282" spans="1:13" ht="19.149999999999999" customHeight="1" x14ac:dyDescent="0.3">
      <c r="A282" s="16" t="s">
        <v>658</v>
      </c>
      <c r="B282" s="16" t="s">
        <v>658</v>
      </c>
      <c r="C282" s="16">
        <v>1</v>
      </c>
      <c r="D282" s="16" t="s">
        <v>28</v>
      </c>
      <c r="E282" s="16" t="s">
        <v>50</v>
      </c>
      <c r="F282" s="23">
        <v>46043</v>
      </c>
      <c r="G282" s="24">
        <v>15</v>
      </c>
      <c r="H282" s="24" t="s">
        <v>270</v>
      </c>
      <c r="I282" s="24"/>
      <c r="J282" s="87"/>
    </row>
    <row r="283" spans="1:13" ht="19.149999999999999" customHeight="1" x14ac:dyDescent="0.3">
      <c r="A283" s="16" t="s">
        <v>658</v>
      </c>
      <c r="B283" s="16" t="s">
        <v>658</v>
      </c>
      <c r="C283" s="16">
        <v>1</v>
      </c>
      <c r="D283" s="16" t="s">
        <v>28</v>
      </c>
      <c r="E283" s="16" t="s">
        <v>50</v>
      </c>
      <c r="F283" s="23">
        <v>46043</v>
      </c>
      <c r="G283" s="24">
        <v>15</v>
      </c>
      <c r="H283" s="24" t="s">
        <v>270</v>
      </c>
      <c r="I283" s="24"/>
      <c r="J283" s="87"/>
    </row>
    <row r="284" spans="1:13" ht="19.149999999999999" customHeight="1" x14ac:dyDescent="0.3">
      <c r="A284" s="16" t="s">
        <v>658</v>
      </c>
      <c r="B284" s="16" t="s">
        <v>658</v>
      </c>
      <c r="C284" s="16">
        <v>1</v>
      </c>
      <c r="D284" s="16" t="s">
        <v>129</v>
      </c>
      <c r="E284" s="16" t="s">
        <v>50</v>
      </c>
      <c r="F284" s="23">
        <v>46043</v>
      </c>
      <c r="G284" s="24">
        <v>6</v>
      </c>
      <c r="H284" s="24" t="s">
        <v>17</v>
      </c>
      <c r="I284" s="24"/>
      <c r="J284" s="87"/>
    </row>
    <row r="285" spans="1:13" ht="19.149999999999999" customHeight="1" x14ac:dyDescent="0.3">
      <c r="A285" s="16" t="s">
        <v>658</v>
      </c>
      <c r="B285" s="16" t="s">
        <v>93</v>
      </c>
      <c r="C285" s="16">
        <v>1</v>
      </c>
      <c r="D285" s="16" t="s">
        <v>706</v>
      </c>
      <c r="E285" s="16" t="s">
        <v>50</v>
      </c>
      <c r="F285" s="23">
        <v>46044</v>
      </c>
      <c r="G285" s="24">
        <v>5</v>
      </c>
      <c r="H285" s="24" t="s">
        <v>270</v>
      </c>
      <c r="I285" s="24"/>
      <c r="J285" s="87"/>
    </row>
    <row r="286" spans="1:13" ht="19.149999999999999" customHeight="1" x14ac:dyDescent="0.3">
      <c r="A286" s="16" t="s">
        <v>658</v>
      </c>
      <c r="B286" s="16" t="s">
        <v>675</v>
      </c>
      <c r="C286" s="16">
        <v>1</v>
      </c>
      <c r="D286" s="16" t="s">
        <v>28</v>
      </c>
      <c r="E286" s="16" t="s">
        <v>50</v>
      </c>
      <c r="F286" s="23">
        <v>46045</v>
      </c>
      <c r="G286" s="24">
        <v>15</v>
      </c>
      <c r="H286" s="24" t="s">
        <v>270</v>
      </c>
      <c r="I286" s="24"/>
      <c r="J286" s="87"/>
    </row>
    <row r="287" spans="1:13" ht="19.149999999999999" customHeight="1" x14ac:dyDescent="0.3">
      <c r="A287" s="16" t="s">
        <v>658</v>
      </c>
      <c r="B287" s="16" t="s">
        <v>130</v>
      </c>
      <c r="C287" s="16">
        <v>1</v>
      </c>
      <c r="D287" s="16" t="s">
        <v>102</v>
      </c>
      <c r="E287" s="16" t="s">
        <v>50</v>
      </c>
      <c r="F287" s="23">
        <v>46045</v>
      </c>
      <c r="G287" s="24">
        <v>10</v>
      </c>
      <c r="H287" s="24" t="s">
        <v>270</v>
      </c>
      <c r="I287" s="24"/>
      <c r="J287" s="87"/>
    </row>
    <row r="288" spans="1:13" ht="19.149999999999999" customHeight="1" x14ac:dyDescent="0.3">
      <c r="A288" s="16" t="s">
        <v>658</v>
      </c>
      <c r="B288" s="16" t="s">
        <v>130</v>
      </c>
      <c r="C288" s="16">
        <v>1</v>
      </c>
      <c r="D288" s="16" t="s">
        <v>721</v>
      </c>
      <c r="E288" s="16" t="s">
        <v>50</v>
      </c>
      <c r="F288" s="23">
        <v>46045</v>
      </c>
      <c r="G288" s="24">
        <v>6</v>
      </c>
      <c r="H288" s="24" t="s">
        <v>270</v>
      </c>
      <c r="I288" s="24"/>
      <c r="J288" s="87"/>
    </row>
    <row r="289" spans="1:13" ht="19.149999999999999" customHeight="1" x14ac:dyDescent="0.3">
      <c r="A289" s="16" t="s">
        <v>658</v>
      </c>
      <c r="B289" s="16" t="s">
        <v>658</v>
      </c>
      <c r="C289" s="16">
        <v>1</v>
      </c>
      <c r="D289" s="16" t="s">
        <v>28</v>
      </c>
      <c r="E289" s="16" t="s">
        <v>50</v>
      </c>
      <c r="F289" s="23">
        <v>46045</v>
      </c>
      <c r="G289" s="24">
        <v>15</v>
      </c>
      <c r="H289" s="24" t="s">
        <v>270</v>
      </c>
      <c r="I289" s="24"/>
      <c r="J289" s="87"/>
    </row>
    <row r="290" spans="1:13" ht="19.149999999999999" customHeight="1" x14ac:dyDescent="0.3">
      <c r="A290" s="16" t="s">
        <v>658</v>
      </c>
      <c r="B290" s="16" t="s">
        <v>658</v>
      </c>
      <c r="C290" s="16">
        <v>1</v>
      </c>
      <c r="D290" s="16" t="s">
        <v>775</v>
      </c>
      <c r="E290" s="16" t="s">
        <v>50</v>
      </c>
      <c r="F290" s="23">
        <v>46045</v>
      </c>
      <c r="G290" s="24">
        <v>15</v>
      </c>
      <c r="H290" s="24" t="s">
        <v>144</v>
      </c>
      <c r="I290" s="24"/>
      <c r="J290" s="87"/>
    </row>
    <row r="291" spans="1:13" ht="19.149999999999999" customHeight="1" x14ac:dyDescent="0.3">
      <c r="A291" s="16" t="s">
        <v>658</v>
      </c>
      <c r="B291" s="16" t="s">
        <v>658</v>
      </c>
      <c r="C291" s="16">
        <v>1</v>
      </c>
      <c r="D291" s="16" t="s">
        <v>688</v>
      </c>
      <c r="E291" s="16" t="s">
        <v>50</v>
      </c>
      <c r="F291" s="23">
        <v>46045</v>
      </c>
      <c r="G291" s="24">
        <v>18</v>
      </c>
      <c r="H291" s="24" t="s">
        <v>270</v>
      </c>
      <c r="I291" s="24"/>
      <c r="J291" s="87"/>
    </row>
    <row r="292" spans="1:13" ht="19.149999999999999" customHeight="1" x14ac:dyDescent="0.3">
      <c r="A292" s="16">
        <v>1701432229</v>
      </c>
      <c r="B292" s="16" t="s">
        <v>58</v>
      </c>
      <c r="C292" s="16">
        <v>1</v>
      </c>
      <c r="D292" s="16" t="s">
        <v>752</v>
      </c>
      <c r="E292" s="16" t="s">
        <v>50</v>
      </c>
      <c r="F292" s="23">
        <v>46046</v>
      </c>
      <c r="G292" s="24">
        <v>10</v>
      </c>
      <c r="H292" s="24" t="s">
        <v>18</v>
      </c>
      <c r="I292" s="24"/>
      <c r="J292" s="47">
        <v>962842721</v>
      </c>
      <c r="K292" s="5" t="s">
        <v>1192</v>
      </c>
      <c r="L292" s="64">
        <v>46033</v>
      </c>
      <c r="M292" s="62" t="s">
        <v>12</v>
      </c>
    </row>
    <row r="293" spans="1:13" ht="19.149999999999999" customHeight="1" x14ac:dyDescent="0.3">
      <c r="A293" s="16">
        <v>1759725292</v>
      </c>
      <c r="B293" s="16" t="s">
        <v>131</v>
      </c>
      <c r="C293" s="16">
        <v>1</v>
      </c>
      <c r="D293" s="16" t="s">
        <v>907</v>
      </c>
      <c r="E293" s="16" t="s">
        <v>687</v>
      </c>
      <c r="F293" s="23">
        <v>46046</v>
      </c>
      <c r="G293" s="24">
        <f>15+5</f>
        <v>20</v>
      </c>
      <c r="H293" s="24" t="s">
        <v>18</v>
      </c>
      <c r="I293" s="25">
        <v>30827046</v>
      </c>
      <c r="J293" s="74">
        <v>967923554</v>
      </c>
      <c r="K293" s="20"/>
      <c r="L293" s="56"/>
      <c r="M293" s="15" t="s">
        <v>12</v>
      </c>
    </row>
    <row r="294" spans="1:13" ht="19.149999999999999" customHeight="1" x14ac:dyDescent="0.3">
      <c r="A294" s="16">
        <v>1759725292</v>
      </c>
      <c r="B294" s="16" t="s">
        <v>131</v>
      </c>
      <c r="C294" s="16">
        <v>1</v>
      </c>
      <c r="D294" s="16" t="s">
        <v>891</v>
      </c>
      <c r="E294" s="16" t="s">
        <v>50</v>
      </c>
      <c r="F294" s="23">
        <v>46046</v>
      </c>
      <c r="G294" s="24">
        <f>16+5</f>
        <v>21</v>
      </c>
      <c r="H294" s="24" t="s">
        <v>18</v>
      </c>
      <c r="I294" s="25">
        <v>30827046</v>
      </c>
      <c r="J294" s="74">
        <v>967923554</v>
      </c>
      <c r="K294" s="20"/>
      <c r="L294" s="56"/>
      <c r="M294" s="15" t="s">
        <v>12</v>
      </c>
    </row>
    <row r="295" spans="1:13" ht="19.149999999999999" customHeight="1" x14ac:dyDescent="0.3">
      <c r="A295" s="16" t="s">
        <v>658</v>
      </c>
      <c r="B295" s="16" t="s">
        <v>132</v>
      </c>
      <c r="C295" s="16">
        <v>1</v>
      </c>
      <c r="D295" s="16" t="s">
        <v>133</v>
      </c>
      <c r="E295" s="16" t="s">
        <v>50</v>
      </c>
      <c r="F295" s="23">
        <v>46046</v>
      </c>
      <c r="G295" s="24">
        <v>18</v>
      </c>
      <c r="H295" s="24" t="s">
        <v>18</v>
      </c>
      <c r="I295" s="25">
        <v>34897605</v>
      </c>
      <c r="J295" s="87"/>
    </row>
    <row r="296" spans="1:13" ht="19.149999999999999" customHeight="1" x14ac:dyDescent="0.3">
      <c r="A296" s="16" t="s">
        <v>658</v>
      </c>
      <c r="B296" s="16" t="s">
        <v>132</v>
      </c>
      <c r="C296" s="16">
        <v>1</v>
      </c>
      <c r="D296" s="16" t="s">
        <v>134</v>
      </c>
      <c r="E296" s="16" t="s">
        <v>687</v>
      </c>
      <c r="F296" s="23">
        <v>46046</v>
      </c>
      <c r="G296" s="24">
        <f>12+1</f>
        <v>13</v>
      </c>
      <c r="H296" s="24" t="s">
        <v>18</v>
      </c>
      <c r="I296" s="25">
        <v>34897605</v>
      </c>
      <c r="J296" s="87"/>
    </row>
    <row r="297" spans="1:13" ht="19.149999999999999" customHeight="1" x14ac:dyDescent="0.3">
      <c r="A297" s="16">
        <v>1714063292</v>
      </c>
      <c r="B297" s="16" t="s">
        <v>29</v>
      </c>
      <c r="C297" s="16">
        <v>1</v>
      </c>
      <c r="D297" s="16" t="s">
        <v>102</v>
      </c>
      <c r="E297" s="16" t="s">
        <v>687</v>
      </c>
      <c r="F297" s="23">
        <v>46046</v>
      </c>
      <c r="G297" s="24">
        <v>10</v>
      </c>
      <c r="H297" s="24" t="s">
        <v>18</v>
      </c>
      <c r="I297" s="24" t="s">
        <v>135</v>
      </c>
      <c r="J297" s="47">
        <v>995674830</v>
      </c>
      <c r="K297" s="5" t="s">
        <v>430</v>
      </c>
      <c r="L297" s="54"/>
      <c r="M297" s="15" t="s">
        <v>12</v>
      </c>
    </row>
    <row r="298" spans="1:13" ht="19.149999999999999" customHeight="1" x14ac:dyDescent="0.3">
      <c r="A298" s="16">
        <v>1712514031</v>
      </c>
      <c r="B298" s="16" t="s">
        <v>972</v>
      </c>
      <c r="C298" s="16">
        <v>1</v>
      </c>
      <c r="D298" s="16" t="s">
        <v>102</v>
      </c>
      <c r="E298" s="16" t="s">
        <v>50</v>
      </c>
      <c r="F298" s="23">
        <v>46047</v>
      </c>
      <c r="G298" s="24">
        <v>10</v>
      </c>
      <c r="H298" s="24" t="s">
        <v>18</v>
      </c>
      <c r="I298" s="25">
        <v>84678920</v>
      </c>
      <c r="J298" s="47">
        <v>990220801</v>
      </c>
      <c r="K298" s="5" t="s">
        <v>418</v>
      </c>
      <c r="L298" s="54"/>
      <c r="M298" s="15" t="s">
        <v>12</v>
      </c>
    </row>
    <row r="299" spans="1:13" ht="19.149999999999999" customHeight="1" x14ac:dyDescent="0.3">
      <c r="A299" s="16">
        <v>1718346016</v>
      </c>
      <c r="B299" s="16" t="s">
        <v>282</v>
      </c>
      <c r="C299" s="16">
        <v>1</v>
      </c>
      <c r="D299" s="16" t="s">
        <v>743</v>
      </c>
      <c r="E299" s="16" t="s">
        <v>50</v>
      </c>
      <c r="F299" s="23">
        <v>46047</v>
      </c>
      <c r="G299" s="24">
        <f>10+15+16+10</f>
        <v>51</v>
      </c>
      <c r="H299" s="24" t="s">
        <v>18</v>
      </c>
      <c r="I299" s="25">
        <v>95218687</v>
      </c>
      <c r="J299" s="47">
        <v>998578703</v>
      </c>
      <c r="K299" s="5" t="s">
        <v>496</v>
      </c>
      <c r="L299" s="54"/>
      <c r="M299" s="15" t="s">
        <v>12</v>
      </c>
    </row>
    <row r="300" spans="1:13" ht="19.149999999999999" customHeight="1" x14ac:dyDescent="0.3">
      <c r="A300" s="16">
        <v>1714061981</v>
      </c>
      <c r="B300" s="16" t="s">
        <v>116</v>
      </c>
      <c r="C300" s="16">
        <v>1</v>
      </c>
      <c r="D300" s="16" t="s">
        <v>705</v>
      </c>
      <c r="E300" s="16" t="s">
        <v>50</v>
      </c>
      <c r="F300" s="23">
        <v>46047</v>
      </c>
      <c r="G300" s="24">
        <v>15</v>
      </c>
      <c r="H300" s="24" t="s">
        <v>18</v>
      </c>
      <c r="I300" s="25">
        <v>97248733</v>
      </c>
      <c r="J300" s="47">
        <v>984254895</v>
      </c>
      <c r="K300" s="5" t="s">
        <v>419</v>
      </c>
      <c r="L300" s="54"/>
      <c r="M300" s="15" t="s">
        <v>12</v>
      </c>
    </row>
    <row r="301" spans="1:13" ht="19.149999999999999" customHeight="1" x14ac:dyDescent="0.3">
      <c r="A301" s="16" t="s">
        <v>658</v>
      </c>
      <c r="B301" s="16" t="s">
        <v>136</v>
      </c>
      <c r="C301" s="16">
        <v>1</v>
      </c>
      <c r="D301" s="16" t="s">
        <v>137</v>
      </c>
      <c r="E301" s="16" t="s">
        <v>50</v>
      </c>
      <c r="F301" s="23">
        <v>46047</v>
      </c>
      <c r="G301" s="24">
        <f>10+10+8</f>
        <v>28</v>
      </c>
      <c r="H301" s="24" t="s">
        <v>18</v>
      </c>
      <c r="I301" s="25">
        <v>80989720</v>
      </c>
      <c r="J301" s="87"/>
    </row>
    <row r="302" spans="1:13" ht="19.149999999999999" customHeight="1" x14ac:dyDescent="0.3">
      <c r="A302" s="16">
        <v>1721946067</v>
      </c>
      <c r="B302" s="16" t="s">
        <v>31</v>
      </c>
      <c r="C302" s="16">
        <v>1</v>
      </c>
      <c r="D302" s="16" t="s">
        <v>102</v>
      </c>
      <c r="E302" s="16" t="s">
        <v>50</v>
      </c>
      <c r="F302" s="23">
        <v>46047</v>
      </c>
      <c r="G302" s="24">
        <v>10</v>
      </c>
      <c r="H302" s="24" t="s">
        <v>40</v>
      </c>
      <c r="I302" s="24" t="s">
        <v>138</v>
      </c>
      <c r="J302" s="47">
        <v>997562221</v>
      </c>
      <c r="K302" s="5" t="s">
        <v>433</v>
      </c>
      <c r="L302" s="64">
        <v>46322</v>
      </c>
      <c r="M302" s="15" t="s">
        <v>12</v>
      </c>
    </row>
    <row r="303" spans="1:13" ht="19.149999999999999" customHeight="1" x14ac:dyDescent="0.3">
      <c r="A303" s="16">
        <v>1707963227</v>
      </c>
      <c r="B303" s="16" t="s">
        <v>33</v>
      </c>
      <c r="C303" s="16">
        <v>1</v>
      </c>
      <c r="D303" s="16" t="s">
        <v>28</v>
      </c>
      <c r="E303" s="16" t="s">
        <v>50</v>
      </c>
      <c r="F303" s="23">
        <v>46048</v>
      </c>
      <c r="G303" s="24">
        <v>15</v>
      </c>
      <c r="H303" s="24" t="s">
        <v>270</v>
      </c>
      <c r="I303" s="24"/>
      <c r="J303" s="74">
        <v>962842721</v>
      </c>
      <c r="K303" s="7" t="s">
        <v>399</v>
      </c>
      <c r="L303" s="64">
        <v>46242</v>
      </c>
      <c r="M303" s="15" t="s">
        <v>12</v>
      </c>
    </row>
    <row r="304" spans="1:13" ht="19.149999999999999" customHeight="1" x14ac:dyDescent="0.3">
      <c r="A304" s="16">
        <v>1707963227</v>
      </c>
      <c r="B304" s="16" t="s">
        <v>33</v>
      </c>
      <c r="C304" s="16">
        <v>1</v>
      </c>
      <c r="D304" s="16" t="s">
        <v>798</v>
      </c>
      <c r="E304" s="16" t="s">
        <v>50</v>
      </c>
      <c r="F304" s="23">
        <v>46048</v>
      </c>
      <c r="G304" s="24">
        <v>10</v>
      </c>
      <c r="H304" s="24" t="s">
        <v>270</v>
      </c>
      <c r="I304" s="24"/>
      <c r="J304" s="74">
        <v>962842721</v>
      </c>
      <c r="K304" s="7" t="s">
        <v>399</v>
      </c>
      <c r="L304" s="64">
        <v>46242</v>
      </c>
      <c r="M304" s="15" t="s">
        <v>12</v>
      </c>
    </row>
    <row r="305" spans="1:13" ht="19.149999999999999" customHeight="1" x14ac:dyDescent="0.3">
      <c r="A305" s="16">
        <v>1724785462</v>
      </c>
      <c r="B305" s="16" t="s">
        <v>140</v>
      </c>
      <c r="C305" s="16">
        <v>1</v>
      </c>
      <c r="D305" s="16" t="s">
        <v>862</v>
      </c>
      <c r="E305" s="16" t="s">
        <v>50</v>
      </c>
      <c r="F305" s="23">
        <v>46049</v>
      </c>
      <c r="G305" s="24">
        <v>30</v>
      </c>
      <c r="H305" s="24" t="s">
        <v>40</v>
      </c>
      <c r="I305" s="24"/>
      <c r="J305" s="87"/>
    </row>
    <row r="306" spans="1:13" ht="19.149999999999999" customHeight="1" x14ac:dyDescent="0.3">
      <c r="A306" s="16">
        <v>1724785462</v>
      </c>
      <c r="B306" s="16" t="s">
        <v>140</v>
      </c>
      <c r="C306" s="16">
        <v>1</v>
      </c>
      <c r="D306" s="16" t="s">
        <v>722</v>
      </c>
      <c r="E306" s="16" t="s">
        <v>50</v>
      </c>
      <c r="F306" s="23">
        <v>46049</v>
      </c>
      <c r="G306" s="24">
        <v>15</v>
      </c>
      <c r="H306" s="24" t="s">
        <v>40</v>
      </c>
      <c r="I306" s="24"/>
      <c r="J306" s="87"/>
    </row>
    <row r="307" spans="1:13" ht="19.149999999999999" customHeight="1" x14ac:dyDescent="0.3">
      <c r="A307" s="16">
        <v>1724785462</v>
      </c>
      <c r="B307" s="16" t="s">
        <v>140</v>
      </c>
      <c r="C307" s="16">
        <v>1</v>
      </c>
      <c r="D307" s="16" t="s">
        <v>242</v>
      </c>
      <c r="E307" s="16" t="s">
        <v>50</v>
      </c>
      <c r="F307" s="23">
        <v>46049</v>
      </c>
      <c r="G307" s="24">
        <v>6</v>
      </c>
      <c r="H307" s="24" t="s">
        <v>40</v>
      </c>
      <c r="I307" s="24"/>
      <c r="J307" s="87"/>
    </row>
    <row r="308" spans="1:13" ht="19.149999999999999" customHeight="1" x14ac:dyDescent="0.3">
      <c r="A308" s="16">
        <v>1724785462</v>
      </c>
      <c r="B308" s="16" t="s">
        <v>140</v>
      </c>
      <c r="C308" s="16">
        <v>1</v>
      </c>
      <c r="D308" s="16" t="s">
        <v>798</v>
      </c>
      <c r="E308" s="16" t="s">
        <v>50</v>
      </c>
      <c r="F308" s="23">
        <v>46049</v>
      </c>
      <c r="G308" s="24">
        <v>10</v>
      </c>
      <c r="H308" s="24" t="s">
        <v>40</v>
      </c>
      <c r="I308" s="24"/>
      <c r="J308" s="87"/>
    </row>
    <row r="309" spans="1:13" ht="19.149999999999999" customHeight="1" x14ac:dyDescent="0.3">
      <c r="A309" s="16">
        <v>1724785462</v>
      </c>
      <c r="B309" s="16" t="s">
        <v>140</v>
      </c>
      <c r="C309" s="16">
        <v>1</v>
      </c>
      <c r="D309" s="16" t="s">
        <v>52</v>
      </c>
      <c r="E309" s="16" t="s">
        <v>50</v>
      </c>
      <c r="F309" s="23">
        <v>46049</v>
      </c>
      <c r="G309" s="24">
        <v>16</v>
      </c>
      <c r="H309" s="24" t="s">
        <v>40</v>
      </c>
      <c r="I309" s="24"/>
      <c r="J309" s="87"/>
    </row>
    <row r="310" spans="1:13" ht="19.149999999999999" customHeight="1" x14ac:dyDescent="0.3">
      <c r="A310" s="16">
        <v>1724785462</v>
      </c>
      <c r="B310" s="16" t="s">
        <v>140</v>
      </c>
      <c r="C310" s="16">
        <v>1</v>
      </c>
      <c r="D310" s="16" t="s">
        <v>754</v>
      </c>
      <c r="E310" s="16" t="s">
        <v>50</v>
      </c>
      <c r="F310" s="23">
        <v>46049</v>
      </c>
      <c r="G310" s="24">
        <v>10</v>
      </c>
      <c r="H310" s="24" t="s">
        <v>40</v>
      </c>
      <c r="I310" s="24"/>
      <c r="J310" s="87"/>
    </row>
    <row r="311" spans="1:13" ht="19.149999999999999" customHeight="1" x14ac:dyDescent="0.3">
      <c r="A311" s="16" t="s">
        <v>658</v>
      </c>
      <c r="B311" s="16" t="s">
        <v>139</v>
      </c>
      <c r="C311" s="16">
        <v>1</v>
      </c>
      <c r="D311" s="16" t="s">
        <v>764</v>
      </c>
      <c r="E311" s="16" t="s">
        <v>50</v>
      </c>
      <c r="F311" s="23">
        <v>46049</v>
      </c>
      <c r="G311" s="24">
        <v>20</v>
      </c>
      <c r="H311" s="24" t="s">
        <v>270</v>
      </c>
      <c r="I311" s="24"/>
      <c r="J311" s="87"/>
    </row>
    <row r="312" spans="1:13" ht="19.149999999999999" customHeight="1" x14ac:dyDescent="0.3">
      <c r="A312" s="16">
        <v>1725577504</v>
      </c>
      <c r="B312" s="16" t="s">
        <v>106</v>
      </c>
      <c r="C312" s="16">
        <v>1</v>
      </c>
      <c r="D312" s="16" t="s">
        <v>914</v>
      </c>
      <c r="E312" s="16" t="s">
        <v>50</v>
      </c>
      <c r="F312" s="23">
        <v>46050</v>
      </c>
      <c r="G312" s="24">
        <v>18</v>
      </c>
      <c r="H312" s="24" t="s">
        <v>270</v>
      </c>
      <c r="I312" s="24"/>
      <c r="J312" s="74">
        <v>987789055</v>
      </c>
      <c r="K312" s="7" t="s">
        <v>409</v>
      </c>
      <c r="L312" s="57"/>
      <c r="M312" s="15" t="s">
        <v>12</v>
      </c>
    </row>
    <row r="313" spans="1:13" ht="19.149999999999999" customHeight="1" x14ac:dyDescent="0.3">
      <c r="A313" s="16" t="s">
        <v>658</v>
      </c>
      <c r="B313" s="16" t="s">
        <v>107</v>
      </c>
      <c r="C313" s="16">
        <v>1</v>
      </c>
      <c r="D313" s="16" t="s">
        <v>915</v>
      </c>
      <c r="E313" s="16" t="s">
        <v>687</v>
      </c>
      <c r="F313" s="23">
        <v>46052</v>
      </c>
      <c r="G313" s="24">
        <v>28</v>
      </c>
      <c r="H313" s="24" t="s">
        <v>270</v>
      </c>
      <c r="I313" s="24"/>
      <c r="J313" s="87"/>
    </row>
    <row r="314" spans="1:13" ht="19.149999999999999" customHeight="1" x14ac:dyDescent="0.3">
      <c r="A314" s="16" t="s">
        <v>658</v>
      </c>
      <c r="B314" s="16" t="s">
        <v>141</v>
      </c>
      <c r="C314" s="16">
        <v>1</v>
      </c>
      <c r="D314" s="16" t="s">
        <v>28</v>
      </c>
      <c r="E314" s="16" t="s">
        <v>50</v>
      </c>
      <c r="F314" s="23">
        <v>46053</v>
      </c>
      <c r="G314" s="24">
        <v>18</v>
      </c>
      <c r="H314" s="24" t="s">
        <v>144</v>
      </c>
      <c r="I314" s="24"/>
      <c r="J314" s="87"/>
    </row>
    <row r="315" spans="1:13" ht="19.149999999999999" customHeight="1" x14ac:dyDescent="0.3">
      <c r="A315" s="72" t="s">
        <v>658</v>
      </c>
      <c r="B315" s="72" t="s">
        <v>75</v>
      </c>
      <c r="C315" s="16">
        <v>1</v>
      </c>
      <c r="D315" s="16" t="s">
        <v>102</v>
      </c>
      <c r="E315" s="16" t="s">
        <v>50</v>
      </c>
      <c r="F315" s="23">
        <v>46053</v>
      </c>
      <c r="G315" s="24">
        <v>10</v>
      </c>
      <c r="H315" s="24" t="s">
        <v>18</v>
      </c>
      <c r="I315" s="25">
        <v>47794581</v>
      </c>
      <c r="J315" s="87"/>
    </row>
    <row r="316" spans="1:13" ht="19.149999999999999" customHeight="1" x14ac:dyDescent="0.3">
      <c r="A316" s="16" t="s">
        <v>658</v>
      </c>
      <c r="B316" s="16" t="s">
        <v>142</v>
      </c>
      <c r="C316" s="16">
        <v>1</v>
      </c>
      <c r="D316" s="16" t="s">
        <v>723</v>
      </c>
      <c r="E316" s="16" t="s">
        <v>687</v>
      </c>
      <c r="F316" s="23">
        <v>46053</v>
      </c>
      <c r="G316" s="24">
        <v>20</v>
      </c>
      <c r="H316" s="24" t="s">
        <v>144</v>
      </c>
      <c r="I316" s="24"/>
      <c r="J316" s="87"/>
      <c r="K316" s="5" t="s">
        <v>422</v>
      </c>
    </row>
    <row r="317" spans="1:13" ht="19.149999999999999" customHeight="1" x14ac:dyDescent="0.3">
      <c r="A317" s="16">
        <v>1713919163</v>
      </c>
      <c r="B317" s="16" t="s">
        <v>143</v>
      </c>
      <c r="C317" s="16">
        <v>1</v>
      </c>
      <c r="D317" s="16" t="s">
        <v>860</v>
      </c>
      <c r="E317" s="16" t="s">
        <v>687</v>
      </c>
      <c r="F317" s="23">
        <v>46053</v>
      </c>
      <c r="G317" s="24">
        <v>21</v>
      </c>
      <c r="H317" s="24" t="s">
        <v>144</v>
      </c>
      <c r="I317" s="24"/>
      <c r="J317" s="47">
        <v>992725974</v>
      </c>
      <c r="K317" s="5" t="s">
        <v>421</v>
      </c>
      <c r="L317" s="54"/>
      <c r="M317" s="15" t="s">
        <v>12</v>
      </c>
    </row>
    <row r="318" spans="1:13" ht="19.149999999999999" customHeight="1" x14ac:dyDescent="0.3">
      <c r="A318" s="16">
        <v>1714063292</v>
      </c>
      <c r="B318" s="16" t="s">
        <v>29</v>
      </c>
      <c r="C318" s="16">
        <v>1</v>
      </c>
      <c r="D318" s="16" t="s">
        <v>892</v>
      </c>
      <c r="E318" s="16" t="s">
        <v>687</v>
      </c>
      <c r="F318" s="23">
        <v>46053</v>
      </c>
      <c r="G318" s="24">
        <f>10+8+3+15</f>
        <v>36</v>
      </c>
      <c r="H318" s="24" t="s">
        <v>18</v>
      </c>
      <c r="I318" s="24"/>
      <c r="J318" s="47">
        <v>995674830</v>
      </c>
      <c r="K318" s="5" t="s">
        <v>430</v>
      </c>
      <c r="L318" s="54"/>
      <c r="M318" s="15" t="s">
        <v>12</v>
      </c>
    </row>
    <row r="319" spans="1:13" ht="19.149999999999999" customHeight="1" x14ac:dyDescent="0.3">
      <c r="A319" s="16" t="s">
        <v>658</v>
      </c>
      <c r="B319" s="16" t="s">
        <v>147</v>
      </c>
      <c r="C319" s="16">
        <v>1</v>
      </c>
      <c r="D319" s="16" t="s">
        <v>854</v>
      </c>
      <c r="E319" s="16" t="s">
        <v>687</v>
      </c>
      <c r="F319" s="23">
        <v>46054</v>
      </c>
      <c r="G319" s="24">
        <v>20</v>
      </c>
      <c r="H319" s="24" t="s">
        <v>37</v>
      </c>
      <c r="I319" s="27">
        <v>2205715366</v>
      </c>
      <c r="J319" s="47">
        <v>995014798</v>
      </c>
      <c r="K319" s="16"/>
      <c r="L319" s="45"/>
      <c r="M319" s="15" t="s">
        <v>12</v>
      </c>
    </row>
    <row r="320" spans="1:13" ht="19.149999999999999" customHeight="1" x14ac:dyDescent="0.3">
      <c r="A320" s="16">
        <v>1719118695</v>
      </c>
      <c r="B320" s="16" t="s">
        <v>148</v>
      </c>
      <c r="C320" s="16">
        <v>1</v>
      </c>
      <c r="D320" s="16" t="s">
        <v>811</v>
      </c>
      <c r="E320" s="16" t="s">
        <v>50</v>
      </c>
      <c r="F320" s="23">
        <v>46054</v>
      </c>
      <c r="G320" s="24">
        <v>20</v>
      </c>
      <c r="H320" s="24" t="s">
        <v>144</v>
      </c>
      <c r="I320" s="27"/>
      <c r="J320" s="47">
        <v>984163500</v>
      </c>
      <c r="K320" s="5" t="s">
        <v>416</v>
      </c>
      <c r="L320" s="54"/>
      <c r="M320" s="15" t="s">
        <v>12</v>
      </c>
    </row>
    <row r="321" spans="1:13" ht="19.149999999999999" customHeight="1" x14ac:dyDescent="0.3">
      <c r="A321" s="16">
        <v>1713919163</v>
      </c>
      <c r="B321" s="16" t="s">
        <v>143</v>
      </c>
      <c r="C321" s="16">
        <v>1</v>
      </c>
      <c r="D321" s="16" t="s">
        <v>6</v>
      </c>
      <c r="E321" s="16" t="s">
        <v>50</v>
      </c>
      <c r="F321" s="23">
        <v>46054</v>
      </c>
      <c r="G321" s="24">
        <v>12</v>
      </c>
      <c r="H321" s="24" t="s">
        <v>144</v>
      </c>
      <c r="I321" s="26"/>
      <c r="J321" s="47">
        <v>992725974</v>
      </c>
      <c r="K321" s="5" t="s">
        <v>421</v>
      </c>
      <c r="L321" s="54"/>
      <c r="M321" s="15" t="s">
        <v>12</v>
      </c>
    </row>
    <row r="322" spans="1:13" ht="19.149999999999999" customHeight="1" x14ac:dyDescent="0.3">
      <c r="A322" s="16">
        <v>1713919163</v>
      </c>
      <c r="B322" s="16" t="s">
        <v>143</v>
      </c>
      <c r="C322" s="16">
        <v>1</v>
      </c>
      <c r="D322" s="16" t="s">
        <v>145</v>
      </c>
      <c r="E322" s="16" t="s">
        <v>146</v>
      </c>
      <c r="F322" s="23">
        <v>46054</v>
      </c>
      <c r="G322" s="24">
        <v>1</v>
      </c>
      <c r="H322" s="24" t="s">
        <v>144</v>
      </c>
      <c r="I322" s="27"/>
      <c r="J322" s="47">
        <v>992725974</v>
      </c>
      <c r="K322" s="5" t="s">
        <v>421</v>
      </c>
      <c r="L322" s="54"/>
      <c r="M322" s="15" t="s">
        <v>12</v>
      </c>
    </row>
    <row r="323" spans="1:13" ht="19.149999999999999" customHeight="1" x14ac:dyDescent="0.3">
      <c r="A323" s="16">
        <v>106143837</v>
      </c>
      <c r="B323" s="16" t="s">
        <v>56</v>
      </c>
      <c r="C323" s="16">
        <v>1</v>
      </c>
      <c r="D323" s="16" t="s">
        <v>870</v>
      </c>
      <c r="E323" s="16" t="s">
        <v>50</v>
      </c>
      <c r="F323" s="23">
        <v>46054</v>
      </c>
      <c r="G323" s="24">
        <v>22</v>
      </c>
      <c r="H323" s="24" t="s">
        <v>37</v>
      </c>
      <c r="I323" s="27">
        <v>125116914</v>
      </c>
      <c r="J323" s="49">
        <v>959814387</v>
      </c>
      <c r="K323" s="2" t="s">
        <v>402</v>
      </c>
      <c r="L323" s="52"/>
      <c r="M323" s="15" t="s">
        <v>12</v>
      </c>
    </row>
    <row r="324" spans="1:13" ht="19.149999999999999" customHeight="1" x14ac:dyDescent="0.3">
      <c r="A324" s="16" t="s">
        <v>658</v>
      </c>
      <c r="B324" s="16" t="s">
        <v>149</v>
      </c>
      <c r="C324" s="16">
        <v>1</v>
      </c>
      <c r="D324" s="16" t="s">
        <v>935</v>
      </c>
      <c r="E324" s="16" t="s">
        <v>687</v>
      </c>
      <c r="F324" s="23">
        <v>46054</v>
      </c>
      <c r="G324" s="24">
        <f>20+6</f>
        <v>26</v>
      </c>
      <c r="H324" s="24" t="s">
        <v>37</v>
      </c>
      <c r="I324" s="27">
        <v>108846153</v>
      </c>
      <c r="J324" s="47">
        <v>999268768</v>
      </c>
      <c r="K324" s="5" t="s">
        <v>423</v>
      </c>
      <c r="L324" s="54"/>
      <c r="M324" s="15" t="s">
        <v>12</v>
      </c>
    </row>
    <row r="325" spans="1:13" ht="19.149999999999999" customHeight="1" x14ac:dyDescent="0.3">
      <c r="A325" s="16">
        <v>1707565337</v>
      </c>
      <c r="B325" s="16" t="s">
        <v>150</v>
      </c>
      <c r="C325" s="16">
        <v>1</v>
      </c>
      <c r="D325" s="16" t="s">
        <v>776</v>
      </c>
      <c r="E325" s="16" t="s">
        <v>50</v>
      </c>
      <c r="F325" s="23">
        <v>46055</v>
      </c>
      <c r="G325" s="24">
        <v>5</v>
      </c>
      <c r="H325" s="24" t="s">
        <v>18</v>
      </c>
      <c r="I325" s="27">
        <v>494311</v>
      </c>
      <c r="J325" s="49">
        <v>994743934</v>
      </c>
      <c r="K325" s="18"/>
      <c r="L325" s="46"/>
      <c r="M325" s="15" t="s">
        <v>12</v>
      </c>
    </row>
    <row r="326" spans="1:13" ht="19.149999999999999" customHeight="1" x14ac:dyDescent="0.3">
      <c r="A326" s="16" t="s">
        <v>658</v>
      </c>
      <c r="B326" s="16" t="s">
        <v>151</v>
      </c>
      <c r="C326" s="16">
        <v>1</v>
      </c>
      <c r="D326" s="16" t="s">
        <v>903</v>
      </c>
      <c r="E326" s="16" t="s">
        <v>50</v>
      </c>
      <c r="F326" s="23">
        <v>46055</v>
      </c>
      <c r="G326" s="24">
        <v>8</v>
      </c>
      <c r="H326" s="24" t="s">
        <v>37</v>
      </c>
      <c r="I326" s="27">
        <v>213351439</v>
      </c>
      <c r="J326" s="87"/>
    </row>
    <row r="327" spans="1:13" ht="19.149999999999999" customHeight="1" x14ac:dyDescent="0.3">
      <c r="A327" s="16">
        <v>1722544226</v>
      </c>
      <c r="B327" s="16" t="s">
        <v>71</v>
      </c>
      <c r="C327" s="16">
        <v>1</v>
      </c>
      <c r="D327" s="16" t="s">
        <v>777</v>
      </c>
      <c r="E327" s="16" t="s">
        <v>50</v>
      </c>
      <c r="F327" s="23">
        <v>46055</v>
      </c>
      <c r="G327" s="24">
        <v>26</v>
      </c>
      <c r="H327" s="24" t="s">
        <v>37</v>
      </c>
      <c r="I327" s="27">
        <v>192470523</v>
      </c>
      <c r="J327" s="49">
        <v>992792740</v>
      </c>
      <c r="K327" s="2" t="s">
        <v>424</v>
      </c>
      <c r="L327" s="52"/>
      <c r="M327" s="15" t="s">
        <v>12</v>
      </c>
    </row>
    <row r="328" spans="1:13" ht="19.149999999999999" customHeight="1" x14ac:dyDescent="0.3">
      <c r="A328" s="16">
        <v>200896496</v>
      </c>
      <c r="B328" s="16" t="s">
        <v>154</v>
      </c>
      <c r="C328" s="16">
        <v>1</v>
      </c>
      <c r="D328" s="16" t="s">
        <v>155</v>
      </c>
      <c r="E328" s="16" t="s">
        <v>687</v>
      </c>
      <c r="F328" s="23">
        <v>46056</v>
      </c>
      <c r="G328" s="24">
        <v>32</v>
      </c>
      <c r="H328" s="24" t="s">
        <v>17</v>
      </c>
      <c r="I328" s="27"/>
      <c r="J328" s="47">
        <v>999203840</v>
      </c>
      <c r="K328" s="5" t="s">
        <v>425</v>
      </c>
      <c r="L328" s="54"/>
      <c r="M328" s="15" t="s">
        <v>12</v>
      </c>
    </row>
    <row r="329" spans="1:13" ht="19.149999999999999" customHeight="1" x14ac:dyDescent="0.3">
      <c r="A329" s="16">
        <v>1713479150</v>
      </c>
      <c r="B329" s="16" t="s">
        <v>153</v>
      </c>
      <c r="C329" s="16">
        <v>1</v>
      </c>
      <c r="D329" s="16" t="s">
        <v>6</v>
      </c>
      <c r="E329" s="16" t="s">
        <v>50</v>
      </c>
      <c r="F329" s="23">
        <v>46056</v>
      </c>
      <c r="G329" s="24">
        <v>12</v>
      </c>
      <c r="H329" s="24" t="s">
        <v>144</v>
      </c>
      <c r="I329" s="27"/>
      <c r="J329" s="47">
        <v>995729601</v>
      </c>
      <c r="K329" s="16"/>
      <c r="L329" s="45"/>
      <c r="M329" s="15" t="s">
        <v>12</v>
      </c>
    </row>
    <row r="330" spans="1:13" ht="19.149999999999999" customHeight="1" x14ac:dyDescent="0.3">
      <c r="A330" s="16">
        <v>1713479150</v>
      </c>
      <c r="B330" s="16" t="s">
        <v>153</v>
      </c>
      <c r="C330" s="16">
        <v>1</v>
      </c>
      <c r="D330" s="16" t="s">
        <v>28</v>
      </c>
      <c r="E330" s="16" t="s">
        <v>687</v>
      </c>
      <c r="F330" s="23">
        <v>46056</v>
      </c>
      <c r="G330" s="24">
        <v>18</v>
      </c>
      <c r="H330" s="24" t="s">
        <v>144</v>
      </c>
      <c r="I330" s="27"/>
      <c r="J330" s="47">
        <v>995729601</v>
      </c>
      <c r="K330" s="16"/>
      <c r="L330" s="45"/>
      <c r="M330" s="15" t="s">
        <v>12</v>
      </c>
    </row>
    <row r="331" spans="1:13" ht="19.149999999999999" customHeight="1" x14ac:dyDescent="0.3">
      <c r="A331" s="16">
        <v>1721675153</v>
      </c>
      <c r="B331" s="16" t="s">
        <v>156</v>
      </c>
      <c r="C331" s="16">
        <v>1</v>
      </c>
      <c r="D331" s="16" t="s">
        <v>157</v>
      </c>
      <c r="E331" s="16" t="s">
        <v>103</v>
      </c>
      <c r="F331" s="23">
        <v>46056</v>
      </c>
      <c r="G331" s="24">
        <v>40</v>
      </c>
      <c r="H331" s="24" t="s">
        <v>37</v>
      </c>
      <c r="I331" s="27">
        <v>79475363</v>
      </c>
      <c r="J331" s="47">
        <v>992877753</v>
      </c>
      <c r="K331" s="5" t="s">
        <v>464</v>
      </c>
      <c r="L331" s="54"/>
      <c r="M331" s="15" t="s">
        <v>12</v>
      </c>
    </row>
    <row r="332" spans="1:13" ht="19.149999999999999" customHeight="1" x14ac:dyDescent="0.3">
      <c r="A332" s="16">
        <v>1707963227</v>
      </c>
      <c r="B332" s="16" t="s">
        <v>33</v>
      </c>
      <c r="C332" s="16">
        <v>1</v>
      </c>
      <c r="D332" s="16" t="s">
        <v>28</v>
      </c>
      <c r="E332" s="16" t="s">
        <v>50</v>
      </c>
      <c r="F332" s="23">
        <v>46056</v>
      </c>
      <c r="G332" s="24">
        <v>18</v>
      </c>
      <c r="H332" s="24" t="s">
        <v>37</v>
      </c>
      <c r="I332" s="27">
        <v>20766486</v>
      </c>
      <c r="J332" s="47">
        <v>962842721</v>
      </c>
      <c r="K332" s="5" t="s">
        <v>399</v>
      </c>
      <c r="L332" s="64">
        <v>46242</v>
      </c>
      <c r="M332" s="62" t="s">
        <v>12</v>
      </c>
    </row>
    <row r="333" spans="1:13" ht="19.149999999999999" customHeight="1" x14ac:dyDescent="0.3">
      <c r="A333" s="16">
        <v>200896496</v>
      </c>
      <c r="B333" s="16" t="s">
        <v>154</v>
      </c>
      <c r="C333" s="16">
        <v>1</v>
      </c>
      <c r="D333" s="16" t="s">
        <v>52</v>
      </c>
      <c r="E333" s="16" t="s">
        <v>687</v>
      </c>
      <c r="F333" s="23">
        <v>46057</v>
      </c>
      <c r="G333" s="24">
        <v>19</v>
      </c>
      <c r="H333" s="24" t="s">
        <v>160</v>
      </c>
      <c r="I333" s="27">
        <v>92</v>
      </c>
      <c r="J333" s="47">
        <v>999203840</v>
      </c>
      <c r="K333" s="5" t="s">
        <v>425</v>
      </c>
      <c r="L333" s="54"/>
      <c r="M333" s="15" t="s">
        <v>12</v>
      </c>
    </row>
    <row r="334" spans="1:13" ht="19.149999999999999" customHeight="1" x14ac:dyDescent="0.3">
      <c r="A334" s="16">
        <v>1727215566</v>
      </c>
      <c r="B334" s="16" t="s">
        <v>159</v>
      </c>
      <c r="C334" s="16">
        <v>1</v>
      </c>
      <c r="D334" s="16" t="s">
        <v>865</v>
      </c>
      <c r="E334" s="16" t="s">
        <v>687</v>
      </c>
      <c r="F334" s="23">
        <v>46057</v>
      </c>
      <c r="G334" s="24">
        <v>28</v>
      </c>
      <c r="H334" s="24" t="s">
        <v>37</v>
      </c>
      <c r="I334" s="27">
        <v>39587241</v>
      </c>
      <c r="J334" s="49">
        <v>982618217</v>
      </c>
      <c r="K334" s="2" t="s">
        <v>426</v>
      </c>
      <c r="L334" s="52"/>
      <c r="M334" s="15" t="s">
        <v>12</v>
      </c>
    </row>
    <row r="335" spans="1:13" ht="19.149999999999999" customHeight="1" x14ac:dyDescent="0.3">
      <c r="A335" s="16" t="s">
        <v>658</v>
      </c>
      <c r="B335" s="16" t="s">
        <v>658</v>
      </c>
      <c r="C335" s="16">
        <v>1</v>
      </c>
      <c r="D335" s="16" t="s">
        <v>871</v>
      </c>
      <c r="E335" s="16" t="s">
        <v>687</v>
      </c>
      <c r="F335" s="23">
        <v>46057</v>
      </c>
      <c r="G335" s="24">
        <v>3</v>
      </c>
      <c r="H335" s="24" t="s">
        <v>17</v>
      </c>
      <c r="I335" s="27"/>
      <c r="J335" s="87"/>
    </row>
    <row r="336" spans="1:13" ht="19.149999999999999" customHeight="1" x14ac:dyDescent="0.3">
      <c r="A336" s="16" t="s">
        <v>658</v>
      </c>
      <c r="B336" s="16" t="s">
        <v>658</v>
      </c>
      <c r="C336" s="16">
        <v>1</v>
      </c>
      <c r="D336" s="16" t="s">
        <v>855</v>
      </c>
      <c r="E336" s="16" t="s">
        <v>103</v>
      </c>
      <c r="F336" s="23">
        <v>46057</v>
      </c>
      <c r="G336" s="24">
        <v>10</v>
      </c>
      <c r="H336" s="24" t="s">
        <v>37</v>
      </c>
      <c r="I336" s="27">
        <v>43098585</v>
      </c>
      <c r="J336" s="87"/>
    </row>
    <row r="337" spans="1:13" ht="19.149999999999999" customHeight="1" x14ac:dyDescent="0.3">
      <c r="A337" s="16" t="s">
        <v>658</v>
      </c>
      <c r="B337" s="16" t="s">
        <v>158</v>
      </c>
      <c r="C337" s="16">
        <v>1</v>
      </c>
      <c r="D337" s="16" t="s">
        <v>860</v>
      </c>
      <c r="E337" s="16" t="s">
        <v>687</v>
      </c>
      <c r="F337" s="23">
        <v>46057</v>
      </c>
      <c r="G337" s="24">
        <v>21</v>
      </c>
      <c r="H337" s="24" t="s">
        <v>37</v>
      </c>
      <c r="I337" s="27">
        <v>24585723</v>
      </c>
      <c r="J337" s="49">
        <v>996115459</v>
      </c>
      <c r="K337" s="18"/>
      <c r="L337" s="46"/>
      <c r="M337" s="15" t="s">
        <v>12</v>
      </c>
    </row>
    <row r="338" spans="1:13" ht="19.149999999999999" customHeight="1" x14ac:dyDescent="0.3">
      <c r="A338" s="16" t="s">
        <v>658</v>
      </c>
      <c r="B338" s="16" t="s">
        <v>163</v>
      </c>
      <c r="C338" s="16">
        <v>1</v>
      </c>
      <c r="D338" s="16" t="s">
        <v>843</v>
      </c>
      <c r="E338" s="16" t="s">
        <v>687</v>
      </c>
      <c r="F338" s="23">
        <v>46058</v>
      </c>
      <c r="G338" s="24">
        <v>6</v>
      </c>
      <c r="H338" s="24" t="s">
        <v>37</v>
      </c>
      <c r="I338" s="16">
        <v>42529476</v>
      </c>
      <c r="J338" s="87"/>
    </row>
    <row r="339" spans="1:13" ht="19.149999999999999" customHeight="1" x14ac:dyDescent="0.3">
      <c r="A339" s="16">
        <v>1723424790</v>
      </c>
      <c r="B339" s="16" t="s">
        <v>162</v>
      </c>
      <c r="C339" s="16">
        <v>1</v>
      </c>
      <c r="D339" s="16" t="s">
        <v>28</v>
      </c>
      <c r="E339" s="16" t="s">
        <v>687</v>
      </c>
      <c r="F339" s="23">
        <v>46058</v>
      </c>
      <c r="G339" s="24">
        <v>18</v>
      </c>
      <c r="H339" s="24" t="s">
        <v>37</v>
      </c>
      <c r="I339" s="27">
        <v>41948814</v>
      </c>
      <c r="J339" s="77">
        <v>998142119</v>
      </c>
      <c r="K339" s="8" t="s">
        <v>427</v>
      </c>
      <c r="L339" s="54"/>
      <c r="M339" s="15" t="s">
        <v>12</v>
      </c>
    </row>
    <row r="340" spans="1:13" ht="19.149999999999999" customHeight="1" x14ac:dyDescent="0.3">
      <c r="A340" s="16" t="s">
        <v>658</v>
      </c>
      <c r="B340" s="16" t="s">
        <v>161</v>
      </c>
      <c r="C340" s="16">
        <v>1</v>
      </c>
      <c r="D340" s="16" t="s">
        <v>872</v>
      </c>
      <c r="E340" s="16" t="s">
        <v>50</v>
      </c>
      <c r="F340" s="23">
        <v>46058</v>
      </c>
      <c r="G340" s="24">
        <v>28</v>
      </c>
      <c r="H340" s="24" t="s">
        <v>144</v>
      </c>
      <c r="I340" s="27"/>
      <c r="J340" s="87"/>
    </row>
    <row r="341" spans="1:13" ht="19.149999999999999" customHeight="1" x14ac:dyDescent="0.3">
      <c r="A341" s="16">
        <v>1716489586</v>
      </c>
      <c r="B341" s="16" t="s">
        <v>166</v>
      </c>
      <c r="C341" s="16">
        <v>1</v>
      </c>
      <c r="D341" s="16" t="s">
        <v>856</v>
      </c>
      <c r="E341" s="16" t="s">
        <v>50</v>
      </c>
      <c r="F341" s="23">
        <v>46059</v>
      </c>
      <c r="G341" s="24">
        <v>37</v>
      </c>
      <c r="H341" s="24" t="s">
        <v>17</v>
      </c>
      <c r="I341" s="27"/>
      <c r="J341" s="49">
        <v>986330466</v>
      </c>
      <c r="K341" s="2" t="s">
        <v>429</v>
      </c>
      <c r="L341" s="52"/>
      <c r="M341" s="15" t="s">
        <v>12</v>
      </c>
    </row>
    <row r="342" spans="1:13" ht="19.149999999999999" customHeight="1" x14ac:dyDescent="0.3">
      <c r="A342" s="16">
        <v>1721008744</v>
      </c>
      <c r="B342" s="16" t="s">
        <v>164</v>
      </c>
      <c r="C342" s="16">
        <v>1</v>
      </c>
      <c r="D342" s="16" t="s">
        <v>28</v>
      </c>
      <c r="E342" s="16" t="s">
        <v>687</v>
      </c>
      <c r="F342" s="23">
        <v>46059</v>
      </c>
      <c r="G342" s="24">
        <v>18</v>
      </c>
      <c r="H342" s="24" t="s">
        <v>37</v>
      </c>
      <c r="I342" s="27">
        <v>28602579</v>
      </c>
      <c r="J342" s="49">
        <v>987839775</v>
      </c>
      <c r="K342" s="2" t="s">
        <v>468</v>
      </c>
      <c r="L342" s="52"/>
      <c r="M342" s="15" t="s">
        <v>12</v>
      </c>
    </row>
    <row r="343" spans="1:13" ht="19.149999999999999" customHeight="1" x14ac:dyDescent="0.3">
      <c r="A343" s="16" t="s">
        <v>658</v>
      </c>
      <c r="B343" s="16" t="s">
        <v>75</v>
      </c>
      <c r="C343" s="16">
        <v>1</v>
      </c>
      <c r="D343" s="16" t="s">
        <v>102</v>
      </c>
      <c r="E343" s="16" t="s">
        <v>50</v>
      </c>
      <c r="F343" s="23">
        <v>46059</v>
      </c>
      <c r="G343" s="24">
        <v>10</v>
      </c>
      <c r="H343" s="24" t="s">
        <v>37</v>
      </c>
      <c r="I343" s="27">
        <v>21570922</v>
      </c>
      <c r="J343" s="87"/>
    </row>
    <row r="344" spans="1:13" ht="19.149999999999999" customHeight="1" x14ac:dyDescent="0.3">
      <c r="A344" s="16">
        <v>1727520643</v>
      </c>
      <c r="B344" s="16" t="s">
        <v>165</v>
      </c>
      <c r="C344" s="16">
        <v>1</v>
      </c>
      <c r="D344" s="16" t="s">
        <v>873</v>
      </c>
      <c r="E344" s="16" t="s">
        <v>50</v>
      </c>
      <c r="F344" s="23">
        <v>46059</v>
      </c>
      <c r="G344" s="24">
        <v>16</v>
      </c>
      <c r="H344" s="24" t="s">
        <v>160</v>
      </c>
      <c r="I344" s="27">
        <v>98</v>
      </c>
      <c r="J344" s="49">
        <v>999821911</v>
      </c>
      <c r="K344" s="2" t="s">
        <v>428</v>
      </c>
      <c r="L344" s="52"/>
      <c r="M344" s="15" t="s">
        <v>12</v>
      </c>
    </row>
    <row r="345" spans="1:13" ht="19.149999999999999" customHeight="1" x14ac:dyDescent="0.3">
      <c r="A345" s="16" t="s">
        <v>658</v>
      </c>
      <c r="B345" s="16" t="s">
        <v>659</v>
      </c>
      <c r="C345" s="16">
        <v>1</v>
      </c>
      <c r="D345" s="16" t="s">
        <v>52</v>
      </c>
      <c r="E345" s="16" t="s">
        <v>687</v>
      </c>
      <c r="F345" s="23">
        <v>46059</v>
      </c>
      <c r="G345" s="24">
        <v>19</v>
      </c>
      <c r="H345" s="24" t="s">
        <v>160</v>
      </c>
      <c r="I345" s="27">
        <v>99</v>
      </c>
      <c r="J345" s="49">
        <v>961549780</v>
      </c>
      <c r="K345" s="18"/>
      <c r="L345" s="46"/>
      <c r="M345" s="15" t="s">
        <v>12</v>
      </c>
    </row>
    <row r="346" spans="1:13" x14ac:dyDescent="0.3">
      <c r="A346" s="16">
        <v>1717933798</v>
      </c>
      <c r="B346" s="16" t="s">
        <v>332</v>
      </c>
      <c r="C346" s="16">
        <v>1</v>
      </c>
      <c r="D346" s="16" t="s">
        <v>102</v>
      </c>
      <c r="E346" s="16" t="s">
        <v>50</v>
      </c>
      <c r="F346" s="23">
        <v>46060</v>
      </c>
      <c r="G346" s="24">
        <v>10</v>
      </c>
      <c r="H346" s="24" t="s">
        <v>37</v>
      </c>
      <c r="I346" s="27">
        <v>34920935</v>
      </c>
      <c r="J346" s="47">
        <v>984700274</v>
      </c>
      <c r="K346" s="5" t="s">
        <v>431</v>
      </c>
      <c r="L346" s="54"/>
      <c r="M346" s="15" t="s">
        <v>12</v>
      </c>
    </row>
    <row r="347" spans="1:13" ht="19.149999999999999" customHeight="1" x14ac:dyDescent="0.3">
      <c r="A347" s="16" t="s">
        <v>658</v>
      </c>
      <c r="B347" s="16" t="s">
        <v>167</v>
      </c>
      <c r="C347" s="16">
        <v>1</v>
      </c>
      <c r="D347" s="16" t="s">
        <v>786</v>
      </c>
      <c r="E347" s="16" t="s">
        <v>50</v>
      </c>
      <c r="F347" s="23">
        <v>46060</v>
      </c>
      <c r="G347" s="24">
        <f>18+8</f>
        <v>26</v>
      </c>
      <c r="H347" s="24" t="s">
        <v>144</v>
      </c>
      <c r="I347" s="27"/>
      <c r="J347" s="47">
        <v>984700274</v>
      </c>
      <c r="K347" s="5" t="s">
        <v>431</v>
      </c>
      <c r="L347" s="54"/>
      <c r="M347" s="15" t="s">
        <v>12</v>
      </c>
    </row>
    <row r="348" spans="1:13" ht="19.149999999999999" customHeight="1" x14ac:dyDescent="0.3">
      <c r="A348" s="16">
        <v>1707565337</v>
      </c>
      <c r="B348" s="16" t="s">
        <v>176</v>
      </c>
      <c r="C348" s="16">
        <v>1</v>
      </c>
      <c r="D348" s="16" t="s">
        <v>857</v>
      </c>
      <c r="E348" s="16" t="s">
        <v>687</v>
      </c>
      <c r="F348" s="23">
        <v>46060</v>
      </c>
      <c r="G348" s="24">
        <f>18+5</f>
        <v>23</v>
      </c>
      <c r="H348" s="24" t="s">
        <v>144</v>
      </c>
      <c r="I348" s="27"/>
      <c r="J348" s="49">
        <v>994743934</v>
      </c>
      <c r="K348" s="18"/>
      <c r="L348" s="46"/>
      <c r="M348" s="15" t="s">
        <v>12</v>
      </c>
    </row>
    <row r="349" spans="1:13" ht="19.149999999999999" customHeight="1" x14ac:dyDescent="0.3">
      <c r="A349" s="16">
        <v>1718245812</v>
      </c>
      <c r="B349" s="16" t="s">
        <v>99</v>
      </c>
      <c r="C349" s="16">
        <v>1</v>
      </c>
      <c r="D349" s="16" t="s">
        <v>858</v>
      </c>
      <c r="E349" s="16" t="s">
        <v>687</v>
      </c>
      <c r="F349" s="23">
        <v>46060</v>
      </c>
      <c r="G349" s="24">
        <f>18+4+2</f>
        <v>24</v>
      </c>
      <c r="H349" s="24" t="s">
        <v>37</v>
      </c>
      <c r="I349" s="27">
        <v>34920935</v>
      </c>
      <c r="J349" s="49">
        <v>998770121</v>
      </c>
      <c r="K349" s="2" t="s">
        <v>432</v>
      </c>
      <c r="L349" s="52"/>
      <c r="M349" s="15" t="s">
        <v>12</v>
      </c>
    </row>
    <row r="350" spans="1:13" ht="19.149999999999999" customHeight="1" x14ac:dyDescent="0.3">
      <c r="A350" s="16">
        <v>1721946067</v>
      </c>
      <c r="B350" s="16" t="s">
        <v>31</v>
      </c>
      <c r="C350" s="16">
        <v>1</v>
      </c>
      <c r="D350" s="16" t="s">
        <v>859</v>
      </c>
      <c r="E350" s="16" t="s">
        <v>50</v>
      </c>
      <c r="F350" s="23">
        <v>46060</v>
      </c>
      <c r="G350" s="24">
        <f>18+8</f>
        <v>26</v>
      </c>
      <c r="H350" s="24" t="s">
        <v>17</v>
      </c>
      <c r="I350" s="27"/>
      <c r="J350" s="47">
        <v>997562221</v>
      </c>
      <c r="K350" s="5" t="s">
        <v>433</v>
      </c>
      <c r="L350" s="64">
        <v>46322</v>
      </c>
      <c r="M350" s="15" t="s">
        <v>12</v>
      </c>
    </row>
    <row r="351" spans="1:13" ht="19.149999999999999" customHeight="1" x14ac:dyDescent="0.3">
      <c r="A351" s="16">
        <v>1714063292</v>
      </c>
      <c r="B351" s="16" t="s">
        <v>29</v>
      </c>
      <c r="C351" s="16">
        <v>1</v>
      </c>
      <c r="D351" s="16" t="s">
        <v>102</v>
      </c>
      <c r="E351" s="16" t="s">
        <v>687</v>
      </c>
      <c r="F351" s="23">
        <v>46060</v>
      </c>
      <c r="G351" s="24">
        <v>10</v>
      </c>
      <c r="H351" s="24" t="s">
        <v>17</v>
      </c>
      <c r="I351" s="27"/>
      <c r="J351" s="47">
        <v>995674830</v>
      </c>
      <c r="K351" s="5" t="s">
        <v>430</v>
      </c>
      <c r="L351" s="54"/>
      <c r="M351" s="15" t="s">
        <v>12</v>
      </c>
    </row>
    <row r="352" spans="1:13" ht="19.149999999999999" customHeight="1" x14ac:dyDescent="0.3">
      <c r="A352" s="16">
        <v>1714650379</v>
      </c>
      <c r="B352" s="16" t="s">
        <v>664</v>
      </c>
      <c r="C352" s="16">
        <v>1</v>
      </c>
      <c r="D352" s="16" t="s">
        <v>695</v>
      </c>
      <c r="E352" s="16" t="s">
        <v>50</v>
      </c>
      <c r="F352" s="23">
        <v>46061</v>
      </c>
      <c r="G352" s="24">
        <v>22</v>
      </c>
      <c r="H352" s="24" t="s">
        <v>160</v>
      </c>
      <c r="I352" s="27"/>
      <c r="J352" s="49">
        <v>982663163</v>
      </c>
      <c r="K352" s="2" t="s">
        <v>475</v>
      </c>
      <c r="L352" s="52"/>
      <c r="M352" s="15" t="s">
        <v>12</v>
      </c>
    </row>
    <row r="353" spans="1:13" ht="19.149999999999999" customHeight="1" x14ac:dyDescent="0.3">
      <c r="A353" s="16" t="s">
        <v>658</v>
      </c>
      <c r="B353" s="16" t="s">
        <v>169</v>
      </c>
      <c r="C353" s="16">
        <v>1</v>
      </c>
      <c r="D353" s="16" t="s">
        <v>893</v>
      </c>
      <c r="E353" s="16" t="s">
        <v>687</v>
      </c>
      <c r="F353" s="23">
        <v>46061</v>
      </c>
      <c r="G353" s="24">
        <v>22</v>
      </c>
      <c r="H353" s="24" t="s">
        <v>160</v>
      </c>
      <c r="I353" s="27"/>
      <c r="J353" s="87">
        <v>982663163</v>
      </c>
      <c r="K353" s="2" t="s">
        <v>434</v>
      </c>
      <c r="L353" s="12"/>
      <c r="M353" s="15" t="s">
        <v>12</v>
      </c>
    </row>
    <row r="354" spans="1:13" ht="19.149999999999999" customHeight="1" x14ac:dyDescent="0.3">
      <c r="A354" s="16" t="s">
        <v>658</v>
      </c>
      <c r="B354" s="16" t="s">
        <v>149</v>
      </c>
      <c r="C354" s="16">
        <v>1</v>
      </c>
      <c r="D354" s="16" t="s">
        <v>916</v>
      </c>
      <c r="E354" s="16" t="s">
        <v>687</v>
      </c>
      <c r="F354" s="23">
        <v>46061</v>
      </c>
      <c r="G354" s="24">
        <v>6</v>
      </c>
      <c r="H354" s="24" t="s">
        <v>37</v>
      </c>
      <c r="I354" s="27">
        <v>83629624</v>
      </c>
      <c r="J354" s="47">
        <v>999268768</v>
      </c>
      <c r="K354" s="5" t="s">
        <v>423</v>
      </c>
      <c r="L354" s="54"/>
      <c r="M354" s="15" t="s">
        <v>12</v>
      </c>
    </row>
    <row r="355" spans="1:13" ht="19.149999999999999" customHeight="1" x14ac:dyDescent="0.3">
      <c r="A355" s="16">
        <v>1302508179</v>
      </c>
      <c r="B355" s="16" t="s">
        <v>170</v>
      </c>
      <c r="C355" s="16">
        <v>1</v>
      </c>
      <c r="D355" s="16" t="s">
        <v>5</v>
      </c>
      <c r="E355" s="16" t="s">
        <v>50</v>
      </c>
      <c r="F355" s="23">
        <v>46061</v>
      </c>
      <c r="G355" s="24">
        <v>20</v>
      </c>
      <c r="H355" s="24" t="s">
        <v>17</v>
      </c>
      <c r="I355" s="27"/>
      <c r="J355" s="49">
        <v>983590873</v>
      </c>
      <c r="K355" s="2" t="s">
        <v>442</v>
      </c>
      <c r="L355" s="52"/>
      <c r="M355" s="15" t="s">
        <v>12</v>
      </c>
    </row>
    <row r="356" spans="1:13" ht="19.149999999999999" customHeight="1" x14ac:dyDescent="0.3">
      <c r="A356" s="16" t="s">
        <v>658</v>
      </c>
      <c r="B356" s="16" t="s">
        <v>168</v>
      </c>
      <c r="C356" s="16">
        <v>1</v>
      </c>
      <c r="D356" s="16" t="s">
        <v>755</v>
      </c>
      <c r="E356" s="16" t="s">
        <v>687</v>
      </c>
      <c r="F356" s="23">
        <v>46061</v>
      </c>
      <c r="G356" s="24">
        <v>15</v>
      </c>
      <c r="H356" s="24" t="s">
        <v>37</v>
      </c>
      <c r="I356" s="27">
        <v>86195918</v>
      </c>
      <c r="J356" s="87"/>
    </row>
    <row r="357" spans="1:13" ht="19.149999999999999" customHeight="1" x14ac:dyDescent="0.3">
      <c r="A357" s="16">
        <v>1312423450</v>
      </c>
      <c r="B357" s="16" t="s">
        <v>171</v>
      </c>
      <c r="C357" s="16">
        <v>1</v>
      </c>
      <c r="D357" s="16" t="s">
        <v>917</v>
      </c>
      <c r="E357" s="16" t="s">
        <v>687</v>
      </c>
      <c r="F357" s="23">
        <v>46061</v>
      </c>
      <c r="G357" s="24">
        <v>32</v>
      </c>
      <c r="H357" s="24" t="s">
        <v>160</v>
      </c>
      <c r="I357" s="27"/>
      <c r="J357" s="47">
        <v>969090094</v>
      </c>
      <c r="K357" s="5" t="s">
        <v>435</v>
      </c>
      <c r="L357" s="54"/>
      <c r="M357" s="15" t="s">
        <v>12</v>
      </c>
    </row>
    <row r="358" spans="1:13" ht="19.149999999999999" customHeight="1" x14ac:dyDescent="0.3">
      <c r="A358" s="16" t="s">
        <v>658</v>
      </c>
      <c r="B358" s="16" t="s">
        <v>1173</v>
      </c>
      <c r="C358" s="16">
        <v>1</v>
      </c>
      <c r="D358" s="16" t="s">
        <v>863</v>
      </c>
      <c r="E358" s="16" t="s">
        <v>50</v>
      </c>
      <c r="F358" s="23">
        <v>46061</v>
      </c>
      <c r="G358" s="24">
        <v>40</v>
      </c>
      <c r="H358" s="24" t="s">
        <v>37</v>
      </c>
      <c r="I358" s="27">
        <v>92970013</v>
      </c>
      <c r="J358" s="87"/>
    </row>
    <row r="359" spans="1:13" ht="19.149999999999999" customHeight="1" x14ac:dyDescent="0.3">
      <c r="A359" s="16">
        <v>1701898031</v>
      </c>
      <c r="B359" s="16" t="s">
        <v>172</v>
      </c>
      <c r="C359" s="16">
        <v>1</v>
      </c>
      <c r="D359" s="16" t="s">
        <v>744</v>
      </c>
      <c r="E359" s="16" t="s">
        <v>50</v>
      </c>
      <c r="F359" s="23">
        <v>46062</v>
      </c>
      <c r="G359" s="24">
        <v>23</v>
      </c>
      <c r="H359" s="24" t="s">
        <v>144</v>
      </c>
      <c r="I359" s="27">
        <v>106</v>
      </c>
      <c r="J359" s="47">
        <v>991478149</v>
      </c>
      <c r="K359" s="16"/>
      <c r="L359" s="45"/>
      <c r="M359" s="15" t="s">
        <v>12</v>
      </c>
    </row>
    <row r="360" spans="1:13" ht="19.149999999999999" customHeight="1" x14ac:dyDescent="0.3">
      <c r="A360" s="16" t="s">
        <v>658</v>
      </c>
      <c r="B360" s="16" t="s">
        <v>1219</v>
      </c>
      <c r="C360" s="16">
        <v>1</v>
      </c>
      <c r="D360" s="16" t="s">
        <v>706</v>
      </c>
      <c r="E360" s="16" t="s">
        <v>50</v>
      </c>
      <c r="F360" s="23">
        <v>46062</v>
      </c>
      <c r="G360" s="24">
        <v>5</v>
      </c>
      <c r="H360" s="24" t="s">
        <v>37</v>
      </c>
      <c r="I360" s="27">
        <v>190915346</v>
      </c>
      <c r="J360" s="87"/>
    </row>
    <row r="361" spans="1:13" ht="19.149999999999999" customHeight="1" x14ac:dyDescent="0.3">
      <c r="A361" s="16" t="s">
        <v>658</v>
      </c>
      <c r="B361" s="16" t="s">
        <v>173</v>
      </c>
      <c r="C361" s="16">
        <v>1</v>
      </c>
      <c r="D361" s="16" t="s">
        <v>844</v>
      </c>
      <c r="E361" s="16" t="s">
        <v>687</v>
      </c>
      <c r="F361" s="23">
        <v>46063</v>
      </c>
      <c r="G361" s="24">
        <v>6</v>
      </c>
      <c r="H361" s="24" t="s">
        <v>160</v>
      </c>
      <c r="I361" s="27"/>
      <c r="J361" s="87"/>
    </row>
    <row r="362" spans="1:13" ht="19.149999999999999" customHeight="1" x14ac:dyDescent="0.3">
      <c r="A362" s="16">
        <v>1721946067</v>
      </c>
      <c r="B362" s="16" t="s">
        <v>31</v>
      </c>
      <c r="C362" s="16">
        <v>1</v>
      </c>
      <c r="D362" s="16" t="s">
        <v>845</v>
      </c>
      <c r="E362" s="16" t="s">
        <v>687</v>
      </c>
      <c r="F362" s="23">
        <v>46063</v>
      </c>
      <c r="G362" s="24">
        <v>16</v>
      </c>
      <c r="H362" s="24" t="s">
        <v>17</v>
      </c>
      <c r="I362" s="27"/>
      <c r="J362" s="47">
        <v>997562221</v>
      </c>
      <c r="K362" s="5" t="s">
        <v>433</v>
      </c>
      <c r="L362" s="64">
        <v>46322</v>
      </c>
      <c r="M362" s="15" t="s">
        <v>12</v>
      </c>
    </row>
    <row r="363" spans="1:13" ht="19.149999999999999" customHeight="1" x14ac:dyDescent="0.3">
      <c r="A363" s="16">
        <v>1712991023</v>
      </c>
      <c r="B363" s="16" t="s">
        <v>250</v>
      </c>
      <c r="C363" s="16">
        <v>1</v>
      </c>
      <c r="D363" s="16" t="s">
        <v>817</v>
      </c>
      <c r="E363" s="16" t="s">
        <v>687</v>
      </c>
      <c r="F363" s="23">
        <v>46064</v>
      </c>
      <c r="G363" s="24">
        <v>22</v>
      </c>
      <c r="H363" s="24" t="s">
        <v>17</v>
      </c>
      <c r="I363" s="27"/>
      <c r="J363" s="49">
        <v>958970192</v>
      </c>
      <c r="K363" s="2" t="s">
        <v>474</v>
      </c>
      <c r="L363" s="52"/>
      <c r="M363" s="15" t="s">
        <v>12</v>
      </c>
    </row>
    <row r="364" spans="1:13" ht="19.149999999999999" customHeight="1" x14ac:dyDescent="0.3">
      <c r="A364" s="16" t="s">
        <v>658</v>
      </c>
      <c r="B364" s="16" t="s">
        <v>175</v>
      </c>
      <c r="C364" s="16">
        <v>1</v>
      </c>
      <c r="D364" s="16" t="s">
        <v>918</v>
      </c>
      <c r="E364" s="16" t="s">
        <v>50</v>
      </c>
      <c r="F364" s="23">
        <v>46064</v>
      </c>
      <c r="G364" s="24">
        <v>24</v>
      </c>
      <c r="H364" s="24" t="s">
        <v>144</v>
      </c>
      <c r="I364" s="27"/>
      <c r="J364" s="87">
        <v>958970192</v>
      </c>
      <c r="K364" s="12" t="s">
        <v>474</v>
      </c>
      <c r="L364" s="12"/>
      <c r="M364" s="15" t="s">
        <v>12</v>
      </c>
    </row>
    <row r="365" spans="1:13" ht="19.149999999999999" customHeight="1" x14ac:dyDescent="0.3">
      <c r="A365" s="16">
        <v>1721675153</v>
      </c>
      <c r="B365" s="16" t="s">
        <v>98</v>
      </c>
      <c r="C365" s="16">
        <v>1</v>
      </c>
      <c r="D365" s="16" t="s">
        <v>908</v>
      </c>
      <c r="E365" s="16" t="s">
        <v>50</v>
      </c>
      <c r="F365" s="23">
        <v>46064</v>
      </c>
      <c r="G365" s="24">
        <v>20</v>
      </c>
      <c r="H365" s="24" t="s">
        <v>37</v>
      </c>
      <c r="I365" s="27">
        <v>76485666</v>
      </c>
      <c r="J365" s="75">
        <v>981111032</v>
      </c>
      <c r="K365" s="6" t="s">
        <v>408</v>
      </c>
      <c r="L365" s="55"/>
      <c r="M365" s="15" t="s">
        <v>12</v>
      </c>
    </row>
    <row r="366" spans="1:13" ht="19.149999999999999" customHeight="1" x14ac:dyDescent="0.3">
      <c r="A366" s="16">
        <v>1707565337</v>
      </c>
      <c r="B366" s="16" t="s">
        <v>176</v>
      </c>
      <c r="C366" s="16">
        <v>1</v>
      </c>
      <c r="D366" s="16" t="s">
        <v>28</v>
      </c>
      <c r="E366" s="16" t="s">
        <v>687</v>
      </c>
      <c r="F366" s="23">
        <v>46064</v>
      </c>
      <c r="G366" s="24">
        <v>18</v>
      </c>
      <c r="H366" s="24" t="s">
        <v>18</v>
      </c>
      <c r="I366" s="27"/>
      <c r="J366" s="49">
        <v>994743934</v>
      </c>
      <c r="K366" s="18"/>
      <c r="L366" s="46"/>
      <c r="M366" s="15" t="s">
        <v>12</v>
      </c>
    </row>
    <row r="367" spans="1:13" ht="19.149999999999999" customHeight="1" x14ac:dyDescent="0.3">
      <c r="A367" s="16">
        <v>40099587</v>
      </c>
      <c r="B367" s="16" t="s">
        <v>174</v>
      </c>
      <c r="C367" s="16">
        <v>1</v>
      </c>
      <c r="D367" s="16" t="s">
        <v>919</v>
      </c>
      <c r="E367" s="16" t="s">
        <v>50</v>
      </c>
      <c r="F367" s="23">
        <v>46064</v>
      </c>
      <c r="G367" s="24">
        <v>29</v>
      </c>
      <c r="H367" s="24" t="s">
        <v>17</v>
      </c>
      <c r="I367" s="27"/>
      <c r="J367" s="47">
        <v>981396657</v>
      </c>
      <c r="K367" s="16"/>
      <c r="L367" s="45"/>
      <c r="M367" s="15" t="s">
        <v>12</v>
      </c>
    </row>
    <row r="368" spans="1:13" ht="19.149999999999999" customHeight="1" x14ac:dyDescent="0.3">
      <c r="A368" s="16" t="s">
        <v>658</v>
      </c>
      <c r="B368" s="16" t="s">
        <v>1206</v>
      </c>
      <c r="C368" s="16">
        <v>1</v>
      </c>
      <c r="D368" s="16" t="s">
        <v>941</v>
      </c>
      <c r="E368" s="16" t="s">
        <v>50</v>
      </c>
      <c r="F368" s="23">
        <v>46064</v>
      </c>
      <c r="G368" s="24">
        <v>16</v>
      </c>
      <c r="H368" s="24" t="s">
        <v>144</v>
      </c>
      <c r="I368" s="27"/>
      <c r="J368" s="47">
        <v>981396657</v>
      </c>
      <c r="K368" s="5"/>
      <c r="L368" s="54"/>
      <c r="M368" s="15" t="s">
        <v>12</v>
      </c>
    </row>
    <row r="369" spans="1:13" ht="19.149999999999999" customHeight="1" x14ac:dyDescent="0.3">
      <c r="A369" s="16">
        <v>1721675153</v>
      </c>
      <c r="B369" s="16" t="s">
        <v>156</v>
      </c>
      <c r="C369" s="16">
        <v>1</v>
      </c>
      <c r="D369" s="16" t="s">
        <v>864</v>
      </c>
      <c r="E369" s="16" t="s">
        <v>687</v>
      </c>
      <c r="F369" s="23">
        <v>46064</v>
      </c>
      <c r="G369" s="24">
        <v>26</v>
      </c>
      <c r="H369" s="24" t="s">
        <v>37</v>
      </c>
      <c r="I369" s="27">
        <v>76485666</v>
      </c>
      <c r="J369" s="47">
        <v>992877753</v>
      </c>
      <c r="K369" s="5" t="s">
        <v>464</v>
      </c>
      <c r="L369" s="54"/>
      <c r="M369" s="15" t="s">
        <v>12</v>
      </c>
    </row>
    <row r="370" spans="1:13" ht="19.149999999999999" customHeight="1" x14ac:dyDescent="0.3">
      <c r="A370" s="16" t="s">
        <v>658</v>
      </c>
      <c r="B370" s="16" t="s">
        <v>175</v>
      </c>
      <c r="C370" s="16">
        <v>1</v>
      </c>
      <c r="D370" s="16" t="s">
        <v>6</v>
      </c>
      <c r="E370" s="16" t="s">
        <v>50</v>
      </c>
      <c r="F370" s="23">
        <v>46065</v>
      </c>
      <c r="G370" s="24">
        <v>12</v>
      </c>
      <c r="H370" s="24" t="s">
        <v>160</v>
      </c>
      <c r="I370" s="27">
        <v>115</v>
      </c>
      <c r="J370" s="47">
        <v>981396657</v>
      </c>
      <c r="K370" s="5"/>
      <c r="L370" s="54"/>
      <c r="M370" s="15" t="s">
        <v>12</v>
      </c>
    </row>
    <row r="371" spans="1:13" ht="19.149999999999999" customHeight="1" x14ac:dyDescent="0.3">
      <c r="A371" s="16">
        <v>1718093238</v>
      </c>
      <c r="B371" s="16" t="s">
        <v>177</v>
      </c>
      <c r="C371" s="16">
        <v>1</v>
      </c>
      <c r="D371" s="16" t="s">
        <v>920</v>
      </c>
      <c r="E371" s="16" t="s">
        <v>687</v>
      </c>
      <c r="F371" s="23">
        <v>46065</v>
      </c>
      <c r="G371" s="24">
        <v>20</v>
      </c>
      <c r="H371" s="24" t="s">
        <v>37</v>
      </c>
      <c r="I371" s="27">
        <v>46818477</v>
      </c>
      <c r="J371" s="49">
        <v>959997754</v>
      </c>
      <c r="K371" s="2" t="s">
        <v>436</v>
      </c>
      <c r="L371" s="52"/>
      <c r="M371" s="15" t="s">
        <v>12</v>
      </c>
    </row>
    <row r="372" spans="1:13" ht="19.149999999999999" customHeight="1" x14ac:dyDescent="0.3">
      <c r="A372" s="16" t="s">
        <v>658</v>
      </c>
      <c r="B372" s="16" t="s">
        <v>178</v>
      </c>
      <c r="C372" s="16">
        <v>1</v>
      </c>
      <c r="D372" s="16" t="s">
        <v>5</v>
      </c>
      <c r="E372" s="16" t="s">
        <v>50</v>
      </c>
      <c r="F372" s="23">
        <v>46065</v>
      </c>
      <c r="G372" s="24">
        <v>20</v>
      </c>
      <c r="H372" s="24" t="s">
        <v>37</v>
      </c>
      <c r="I372" s="27">
        <v>26054762</v>
      </c>
      <c r="J372" s="87"/>
    </row>
    <row r="373" spans="1:13" ht="19.149999999999999" customHeight="1" x14ac:dyDescent="0.3">
      <c r="A373" s="16">
        <v>1713441408</v>
      </c>
      <c r="B373" s="16" t="s">
        <v>179</v>
      </c>
      <c r="C373" s="16">
        <v>1</v>
      </c>
      <c r="D373" s="16" t="s">
        <v>846</v>
      </c>
      <c r="E373" s="16" t="s">
        <v>687</v>
      </c>
      <c r="F373" s="23">
        <v>46065</v>
      </c>
      <c r="G373" s="24">
        <v>28</v>
      </c>
      <c r="H373" s="24" t="s">
        <v>37</v>
      </c>
      <c r="I373" s="27">
        <v>64529117</v>
      </c>
      <c r="J373" s="49">
        <v>995026048</v>
      </c>
      <c r="K373" s="2" t="s">
        <v>437</v>
      </c>
      <c r="L373" s="52"/>
      <c r="M373" s="15" t="s">
        <v>12</v>
      </c>
    </row>
    <row r="374" spans="1:13" ht="19.149999999999999" customHeight="1" x14ac:dyDescent="0.3">
      <c r="A374" s="16">
        <v>1722742911</v>
      </c>
      <c r="B374" s="16" t="s">
        <v>180</v>
      </c>
      <c r="C374" s="16">
        <v>1</v>
      </c>
      <c r="D374" s="16" t="s">
        <v>866</v>
      </c>
      <c r="E374" s="16" t="s">
        <v>687</v>
      </c>
      <c r="F374" s="23">
        <v>46066</v>
      </c>
      <c r="G374" s="24">
        <v>37</v>
      </c>
      <c r="H374" s="24" t="s">
        <v>18</v>
      </c>
      <c r="I374" s="27">
        <v>880876568</v>
      </c>
      <c r="J374" s="47">
        <v>998923277</v>
      </c>
      <c r="K374" s="5" t="s">
        <v>438</v>
      </c>
      <c r="L374" s="54"/>
      <c r="M374" s="15" t="s">
        <v>12</v>
      </c>
    </row>
    <row r="375" spans="1:13" ht="19.149999999999999" customHeight="1" x14ac:dyDescent="0.3">
      <c r="A375" s="16">
        <v>1722742911</v>
      </c>
      <c r="B375" s="16" t="s">
        <v>180</v>
      </c>
      <c r="C375" s="16">
        <v>1</v>
      </c>
      <c r="D375" s="16" t="s">
        <v>859</v>
      </c>
      <c r="E375" s="16" t="s">
        <v>50</v>
      </c>
      <c r="F375" s="23">
        <v>46066</v>
      </c>
      <c r="G375" s="24">
        <v>19</v>
      </c>
      <c r="H375" s="24" t="s">
        <v>18</v>
      </c>
      <c r="I375" s="27">
        <v>880876568</v>
      </c>
      <c r="J375" s="47">
        <v>998923277</v>
      </c>
      <c r="K375" s="5" t="s">
        <v>438</v>
      </c>
      <c r="L375" s="54"/>
      <c r="M375" s="15" t="s">
        <v>12</v>
      </c>
    </row>
    <row r="376" spans="1:13" ht="19.149999999999999" customHeight="1" x14ac:dyDescent="0.3">
      <c r="A376" s="16">
        <v>1722742911</v>
      </c>
      <c r="B376" s="16" t="s">
        <v>1196</v>
      </c>
      <c r="C376" s="16">
        <v>1</v>
      </c>
      <c r="D376" s="16" t="s">
        <v>28</v>
      </c>
      <c r="E376" s="16" t="s">
        <v>50</v>
      </c>
      <c r="F376" s="23">
        <v>46066</v>
      </c>
      <c r="G376" s="24">
        <v>18</v>
      </c>
      <c r="H376" s="24" t="s">
        <v>17</v>
      </c>
      <c r="I376" s="27"/>
      <c r="J376" s="87"/>
    </row>
    <row r="377" spans="1:13" ht="19.149999999999999" customHeight="1" x14ac:dyDescent="0.3">
      <c r="A377" s="16">
        <v>1701432229</v>
      </c>
      <c r="B377" s="16" t="s">
        <v>58</v>
      </c>
      <c r="C377" s="16">
        <v>1</v>
      </c>
      <c r="D377" s="16" t="s">
        <v>28</v>
      </c>
      <c r="E377" s="16" t="s">
        <v>687</v>
      </c>
      <c r="F377" s="23">
        <v>46067</v>
      </c>
      <c r="G377" s="24">
        <v>18</v>
      </c>
      <c r="H377" s="24" t="s">
        <v>37</v>
      </c>
      <c r="I377" s="27"/>
      <c r="J377" s="47">
        <v>962842721</v>
      </c>
      <c r="K377" s="5" t="s">
        <v>1192</v>
      </c>
      <c r="L377" s="64">
        <v>46033</v>
      </c>
      <c r="M377" s="62" t="s">
        <v>12</v>
      </c>
    </row>
    <row r="378" spans="1:13" ht="19.149999999999999" customHeight="1" x14ac:dyDescent="0.3">
      <c r="A378" s="16">
        <v>1753312725</v>
      </c>
      <c r="B378" s="16" t="s">
        <v>665</v>
      </c>
      <c r="C378" s="16">
        <v>1</v>
      </c>
      <c r="D378" s="16" t="s">
        <v>182</v>
      </c>
      <c r="E378" s="16" t="s">
        <v>103</v>
      </c>
      <c r="F378" s="23">
        <v>46067</v>
      </c>
      <c r="G378" s="24">
        <v>50</v>
      </c>
      <c r="H378" s="24" t="s">
        <v>160</v>
      </c>
      <c r="I378" s="27"/>
      <c r="J378" s="87"/>
    </row>
    <row r="379" spans="1:13" ht="19.149999999999999" customHeight="1" x14ac:dyDescent="0.3">
      <c r="A379" s="16">
        <v>1718590746</v>
      </c>
      <c r="B379" s="16" t="s">
        <v>181</v>
      </c>
      <c r="C379" s="16">
        <v>1</v>
      </c>
      <c r="D379" s="16" t="s">
        <v>867</v>
      </c>
      <c r="E379" s="16" t="s">
        <v>103</v>
      </c>
      <c r="F379" s="23">
        <v>46067</v>
      </c>
      <c r="G379" s="24">
        <v>25</v>
      </c>
      <c r="H379" s="24" t="s">
        <v>17</v>
      </c>
      <c r="I379" s="27"/>
      <c r="J379" s="87"/>
    </row>
    <row r="380" spans="1:13" ht="19.149999999999999" customHeight="1" x14ac:dyDescent="0.3">
      <c r="A380" s="16">
        <v>1707963227</v>
      </c>
      <c r="B380" s="16" t="s">
        <v>33</v>
      </c>
      <c r="C380" s="16">
        <v>1</v>
      </c>
      <c r="D380" s="16" t="s">
        <v>5</v>
      </c>
      <c r="E380" s="16" t="s">
        <v>50</v>
      </c>
      <c r="F380" s="23">
        <v>46067</v>
      </c>
      <c r="G380" s="24">
        <v>20</v>
      </c>
      <c r="H380" s="24" t="s">
        <v>37</v>
      </c>
      <c r="I380" s="27">
        <v>20766486</v>
      </c>
      <c r="J380" s="47">
        <v>962842721</v>
      </c>
      <c r="K380" s="5" t="s">
        <v>399</v>
      </c>
      <c r="L380" s="64">
        <v>46242</v>
      </c>
      <c r="M380" s="62" t="s">
        <v>12</v>
      </c>
    </row>
    <row r="381" spans="1:13" ht="19.149999999999999" customHeight="1" x14ac:dyDescent="0.3">
      <c r="A381" s="16">
        <v>1707963227</v>
      </c>
      <c r="B381" s="16" t="s">
        <v>33</v>
      </c>
      <c r="C381" s="16">
        <v>1</v>
      </c>
      <c r="D381" s="16" t="s">
        <v>868</v>
      </c>
      <c r="E381" s="16" t="s">
        <v>687</v>
      </c>
      <c r="F381" s="23">
        <v>46067</v>
      </c>
      <c r="G381" s="24">
        <v>16</v>
      </c>
      <c r="H381" s="24" t="s">
        <v>37</v>
      </c>
      <c r="I381" s="27">
        <v>56899799</v>
      </c>
      <c r="J381" s="47">
        <v>962842721</v>
      </c>
      <c r="K381" s="5" t="s">
        <v>399</v>
      </c>
      <c r="L381" s="64">
        <v>46242</v>
      </c>
      <c r="M381" s="62" t="s">
        <v>12</v>
      </c>
    </row>
    <row r="382" spans="1:13" ht="19.149999999999999" customHeight="1" x14ac:dyDescent="0.3">
      <c r="A382" s="16">
        <v>1714063292</v>
      </c>
      <c r="B382" s="16" t="s">
        <v>29</v>
      </c>
      <c r="C382" s="16">
        <v>1</v>
      </c>
      <c r="D382" s="16" t="s">
        <v>695</v>
      </c>
      <c r="E382" s="16" t="s">
        <v>687</v>
      </c>
      <c r="F382" s="23">
        <v>46067</v>
      </c>
      <c r="G382" s="24">
        <v>22</v>
      </c>
      <c r="H382" s="24" t="s">
        <v>17</v>
      </c>
      <c r="I382" s="27"/>
      <c r="J382" s="47">
        <v>995674830</v>
      </c>
      <c r="K382" s="5" t="s">
        <v>430</v>
      </c>
      <c r="L382" s="54"/>
      <c r="M382" s="15" t="s">
        <v>12</v>
      </c>
    </row>
    <row r="383" spans="1:13" ht="19.149999999999999" customHeight="1" x14ac:dyDescent="0.3">
      <c r="A383" s="16">
        <v>1703341808</v>
      </c>
      <c r="B383" s="16" t="s">
        <v>185</v>
      </c>
      <c r="C383" s="16">
        <v>1</v>
      </c>
      <c r="D383" s="16" t="s">
        <v>102</v>
      </c>
      <c r="E383" s="16" t="s">
        <v>50</v>
      </c>
      <c r="F383" s="23">
        <v>46069</v>
      </c>
      <c r="G383" s="24">
        <v>10</v>
      </c>
      <c r="H383" s="24" t="s">
        <v>17</v>
      </c>
      <c r="I383" s="27"/>
      <c r="J383" s="47">
        <v>984578810</v>
      </c>
      <c r="K383" s="5" t="s">
        <v>440</v>
      </c>
      <c r="L383" s="54"/>
      <c r="M383" s="15" t="s">
        <v>12</v>
      </c>
    </row>
    <row r="384" spans="1:13" ht="19.149999999999999" customHeight="1" x14ac:dyDescent="0.3">
      <c r="A384" s="16">
        <v>1204569139</v>
      </c>
      <c r="B384" s="16" t="s">
        <v>184</v>
      </c>
      <c r="C384" s="16">
        <v>1</v>
      </c>
      <c r="D384" s="16" t="s">
        <v>6</v>
      </c>
      <c r="E384" s="16" t="s">
        <v>50</v>
      </c>
      <c r="F384" s="23">
        <v>46069</v>
      </c>
      <c r="G384" s="24">
        <v>12</v>
      </c>
      <c r="H384" s="24" t="s">
        <v>17</v>
      </c>
      <c r="I384" s="27"/>
      <c r="J384" s="47">
        <v>958610348</v>
      </c>
      <c r="K384" s="5" t="s">
        <v>439</v>
      </c>
      <c r="L384" s="54"/>
      <c r="M384" s="15" t="s">
        <v>12</v>
      </c>
    </row>
    <row r="385" spans="1:13" ht="19.149999999999999" customHeight="1" x14ac:dyDescent="0.3">
      <c r="A385" s="16">
        <v>1712323961001</v>
      </c>
      <c r="B385" s="16" t="s">
        <v>183</v>
      </c>
      <c r="C385" s="16">
        <v>1</v>
      </c>
      <c r="D385" s="16" t="s">
        <v>28</v>
      </c>
      <c r="E385" s="16" t="s">
        <v>50</v>
      </c>
      <c r="F385" s="23">
        <v>46069</v>
      </c>
      <c r="G385" s="24">
        <v>18</v>
      </c>
      <c r="H385" s="24" t="s">
        <v>17</v>
      </c>
      <c r="I385" s="27"/>
      <c r="J385" s="47">
        <v>988538691</v>
      </c>
      <c r="K385" s="16"/>
      <c r="L385" s="45"/>
      <c r="M385" s="15" t="s">
        <v>12</v>
      </c>
    </row>
    <row r="386" spans="1:13" ht="19.149999999999999" customHeight="1" x14ac:dyDescent="0.3">
      <c r="A386" s="16" t="s">
        <v>658</v>
      </c>
      <c r="B386" s="16" t="s">
        <v>149</v>
      </c>
      <c r="C386" s="16">
        <v>1</v>
      </c>
      <c r="D386" s="16" t="s">
        <v>921</v>
      </c>
      <c r="E386" s="16" t="s">
        <v>50</v>
      </c>
      <c r="F386" s="23">
        <v>46070</v>
      </c>
      <c r="G386" s="24">
        <v>24</v>
      </c>
      <c r="H386" s="24" t="s">
        <v>17</v>
      </c>
      <c r="I386" s="27"/>
      <c r="J386" s="47">
        <v>999268768</v>
      </c>
      <c r="K386" s="5" t="s">
        <v>423</v>
      </c>
      <c r="L386" s="54"/>
      <c r="M386" s="15" t="s">
        <v>12</v>
      </c>
    </row>
    <row r="387" spans="1:13" ht="19.149999999999999" customHeight="1" x14ac:dyDescent="0.3">
      <c r="A387" s="16">
        <v>1750373639</v>
      </c>
      <c r="B387" s="16" t="s">
        <v>186</v>
      </c>
      <c r="C387" s="16">
        <v>1</v>
      </c>
      <c r="D387" s="16" t="s">
        <v>723</v>
      </c>
      <c r="E387" s="16" t="s">
        <v>687</v>
      </c>
      <c r="F387" s="23">
        <v>46070</v>
      </c>
      <c r="G387" s="24">
        <v>20</v>
      </c>
      <c r="H387" s="24" t="s">
        <v>17</v>
      </c>
      <c r="I387" s="27"/>
      <c r="J387" s="49">
        <v>995111474</v>
      </c>
      <c r="K387" s="2" t="s">
        <v>441</v>
      </c>
      <c r="L387" s="52"/>
      <c r="M387" s="15" t="s">
        <v>12</v>
      </c>
    </row>
    <row r="388" spans="1:13" ht="19.149999999999999" customHeight="1" x14ac:dyDescent="0.3">
      <c r="A388" s="16">
        <v>1725577504</v>
      </c>
      <c r="B388" s="16" t="s">
        <v>106</v>
      </c>
      <c r="C388" s="16">
        <v>1</v>
      </c>
      <c r="D388" s="16" t="s">
        <v>794</v>
      </c>
      <c r="E388" s="16" t="s">
        <v>50</v>
      </c>
      <c r="F388" s="23">
        <v>46071</v>
      </c>
      <c r="G388" s="24">
        <v>37</v>
      </c>
      <c r="H388" s="24" t="s">
        <v>37</v>
      </c>
      <c r="I388" s="27">
        <v>251608263</v>
      </c>
      <c r="J388" s="74">
        <v>987789055</v>
      </c>
      <c r="K388" s="7" t="s">
        <v>409</v>
      </c>
      <c r="L388" s="57"/>
      <c r="M388" s="15" t="s">
        <v>12</v>
      </c>
    </row>
    <row r="389" spans="1:13" ht="19.149999999999999" customHeight="1" x14ac:dyDescent="0.3">
      <c r="A389" s="16">
        <v>1712323961001</v>
      </c>
      <c r="B389" s="16" t="s">
        <v>183</v>
      </c>
      <c r="C389" s="16">
        <v>1</v>
      </c>
      <c r="D389" s="16" t="s">
        <v>52</v>
      </c>
      <c r="E389" s="16" t="s">
        <v>687</v>
      </c>
      <c r="F389" s="23">
        <v>46071</v>
      </c>
      <c r="G389" s="24">
        <v>19</v>
      </c>
      <c r="H389" s="24" t="s">
        <v>37</v>
      </c>
      <c r="I389" s="27">
        <v>237401689</v>
      </c>
      <c r="J389" s="47">
        <v>988538691</v>
      </c>
      <c r="K389" s="16"/>
      <c r="L389" s="45"/>
      <c r="M389" s="15" t="s">
        <v>12</v>
      </c>
    </row>
    <row r="390" spans="1:13" ht="19.149999999999999" customHeight="1" x14ac:dyDescent="0.3">
      <c r="A390" s="16">
        <v>1725800971</v>
      </c>
      <c r="B390" s="16" t="s">
        <v>187</v>
      </c>
      <c r="C390" s="16">
        <v>1</v>
      </c>
      <c r="D390" s="16" t="s">
        <v>52</v>
      </c>
      <c r="E390" s="16" t="s">
        <v>687</v>
      </c>
      <c r="F390" s="23">
        <v>46071</v>
      </c>
      <c r="G390" s="24">
        <v>19</v>
      </c>
      <c r="H390" s="24" t="s">
        <v>18</v>
      </c>
      <c r="I390" s="27">
        <v>854099020900</v>
      </c>
      <c r="J390" s="47">
        <v>988538691</v>
      </c>
      <c r="K390" s="16"/>
      <c r="L390" s="45"/>
      <c r="M390" s="15" t="s">
        <v>12</v>
      </c>
    </row>
    <row r="391" spans="1:13" ht="19.149999999999999" customHeight="1" x14ac:dyDescent="0.3">
      <c r="A391" s="16">
        <v>1718764119</v>
      </c>
      <c r="B391" s="16" t="s">
        <v>1212</v>
      </c>
      <c r="C391" s="16">
        <v>1</v>
      </c>
      <c r="D391" s="16" t="s">
        <v>706</v>
      </c>
      <c r="E391" s="16" t="s">
        <v>50</v>
      </c>
      <c r="F391" s="23">
        <v>46071</v>
      </c>
      <c r="G391" s="24">
        <v>5</v>
      </c>
      <c r="H391" s="24" t="s">
        <v>37</v>
      </c>
      <c r="I391" s="27">
        <v>227757077</v>
      </c>
      <c r="J391" s="75">
        <v>999380328</v>
      </c>
      <c r="K391" s="3" t="s">
        <v>400</v>
      </c>
      <c r="L391" s="53"/>
      <c r="M391" s="15" t="s">
        <v>12</v>
      </c>
    </row>
    <row r="392" spans="1:13" ht="19.149999999999999" customHeight="1" x14ac:dyDescent="0.3">
      <c r="A392" s="16">
        <v>1302508179</v>
      </c>
      <c r="B392" s="16" t="s">
        <v>170</v>
      </c>
      <c r="C392" s="16">
        <v>1</v>
      </c>
      <c r="D392" s="16" t="s">
        <v>922</v>
      </c>
      <c r="E392" s="16" t="s">
        <v>687</v>
      </c>
      <c r="F392" s="23">
        <v>46072</v>
      </c>
      <c r="G392" s="24">
        <v>40</v>
      </c>
      <c r="H392" s="24" t="s">
        <v>18</v>
      </c>
      <c r="I392" s="27">
        <v>7691</v>
      </c>
      <c r="J392" s="49">
        <v>983590873</v>
      </c>
      <c r="K392" s="2" t="s">
        <v>442</v>
      </c>
      <c r="L392" s="52"/>
      <c r="M392" s="15" t="s">
        <v>12</v>
      </c>
    </row>
    <row r="393" spans="1:13" ht="19.149999999999999" customHeight="1" x14ac:dyDescent="0.3">
      <c r="A393" s="16">
        <v>1750481671</v>
      </c>
      <c r="B393" s="16" t="s">
        <v>285</v>
      </c>
      <c r="C393" s="16">
        <v>1</v>
      </c>
      <c r="D393" s="16" t="s">
        <v>102</v>
      </c>
      <c r="E393" s="16" t="s">
        <v>50</v>
      </c>
      <c r="F393" s="23">
        <v>46072</v>
      </c>
      <c r="G393" s="24">
        <v>10</v>
      </c>
      <c r="H393" s="24" t="s">
        <v>160</v>
      </c>
      <c r="I393" s="27">
        <v>126</v>
      </c>
      <c r="J393" s="49">
        <v>987934072</v>
      </c>
      <c r="K393" s="2" t="s">
        <v>971</v>
      </c>
      <c r="L393" s="52"/>
      <c r="M393" s="15" t="s">
        <v>12</v>
      </c>
    </row>
    <row r="394" spans="1:13" ht="19.149999999999999" customHeight="1" x14ac:dyDescent="0.3">
      <c r="A394" s="16">
        <v>1753450904</v>
      </c>
      <c r="B394" s="16" t="s">
        <v>188</v>
      </c>
      <c r="C394" s="16">
        <v>1</v>
      </c>
      <c r="D394" s="16" t="s">
        <v>847</v>
      </c>
      <c r="E394" s="16" t="s">
        <v>687</v>
      </c>
      <c r="F394" s="23">
        <v>46073</v>
      </c>
      <c r="G394" s="24">
        <v>16</v>
      </c>
      <c r="H394" s="24" t="s">
        <v>144</v>
      </c>
      <c r="I394" s="27">
        <v>127</v>
      </c>
      <c r="J394" s="47">
        <v>964233053</v>
      </c>
      <c r="K394" s="16"/>
      <c r="L394" s="45"/>
      <c r="M394" s="15" t="s">
        <v>12</v>
      </c>
    </row>
    <row r="395" spans="1:13" ht="19.149999999999999" customHeight="1" x14ac:dyDescent="0.3">
      <c r="A395" s="16">
        <v>1725800971</v>
      </c>
      <c r="B395" s="16" t="s">
        <v>187</v>
      </c>
      <c r="C395" s="16">
        <v>1</v>
      </c>
      <c r="D395" s="16" t="s">
        <v>28</v>
      </c>
      <c r="E395" s="16" t="s">
        <v>50</v>
      </c>
      <c r="F395" s="23">
        <v>46073</v>
      </c>
      <c r="G395" s="24">
        <v>18</v>
      </c>
      <c r="H395" s="24" t="s">
        <v>18</v>
      </c>
      <c r="I395" s="27">
        <v>444191020900</v>
      </c>
      <c r="J395" s="47">
        <v>983858484</v>
      </c>
      <c r="K395" s="16"/>
      <c r="L395" s="45"/>
      <c r="M395" s="15" t="s">
        <v>12</v>
      </c>
    </row>
    <row r="396" spans="1:13" ht="19.149999999999999" customHeight="1" x14ac:dyDescent="0.3">
      <c r="A396" s="16" t="s">
        <v>658</v>
      </c>
      <c r="B396" s="16" t="s">
        <v>66</v>
      </c>
      <c r="C396" s="16">
        <v>1</v>
      </c>
      <c r="D396" s="16" t="s">
        <v>719</v>
      </c>
      <c r="E396" s="16" t="s">
        <v>687</v>
      </c>
      <c r="F396" s="23">
        <v>46073</v>
      </c>
      <c r="G396" s="24">
        <v>10</v>
      </c>
      <c r="H396" s="24" t="s">
        <v>18</v>
      </c>
      <c r="I396" s="27"/>
      <c r="J396" s="87"/>
    </row>
    <row r="397" spans="1:13" ht="19.149999999999999" customHeight="1" x14ac:dyDescent="0.3">
      <c r="A397" s="16" t="s">
        <v>658</v>
      </c>
      <c r="B397" s="16" t="s">
        <v>191</v>
      </c>
      <c r="C397" s="16">
        <v>1</v>
      </c>
      <c r="D397" s="16" t="s">
        <v>6</v>
      </c>
      <c r="E397" s="16" t="s">
        <v>687</v>
      </c>
      <c r="F397" s="23">
        <v>46074</v>
      </c>
      <c r="G397" s="24">
        <v>12</v>
      </c>
      <c r="H397" s="24" t="s">
        <v>160</v>
      </c>
      <c r="I397" s="27"/>
      <c r="J397" s="87"/>
    </row>
    <row r="398" spans="1:13" ht="19.149999999999999" customHeight="1" x14ac:dyDescent="0.3">
      <c r="A398" s="16" t="s">
        <v>658</v>
      </c>
      <c r="B398" s="16" t="s">
        <v>189</v>
      </c>
      <c r="C398" s="16">
        <v>1</v>
      </c>
      <c r="D398" s="16" t="s">
        <v>28</v>
      </c>
      <c r="E398" s="16" t="s">
        <v>687</v>
      </c>
      <c r="F398" s="23">
        <v>46074</v>
      </c>
      <c r="G398" s="24">
        <v>18</v>
      </c>
      <c r="H398" s="24" t="s">
        <v>17</v>
      </c>
      <c r="I398" s="27"/>
      <c r="J398" s="87"/>
    </row>
    <row r="399" spans="1:13" ht="19.149999999999999" customHeight="1" x14ac:dyDescent="0.3">
      <c r="A399" s="16">
        <v>1721674099</v>
      </c>
      <c r="B399" s="16" t="s">
        <v>190</v>
      </c>
      <c r="C399" s="16">
        <v>1</v>
      </c>
      <c r="D399" s="16" t="s">
        <v>28</v>
      </c>
      <c r="E399" s="16" t="s">
        <v>50</v>
      </c>
      <c r="F399" s="23">
        <v>46074</v>
      </c>
      <c r="G399" s="24">
        <v>18</v>
      </c>
      <c r="H399" s="24" t="s">
        <v>160</v>
      </c>
      <c r="I399" s="27"/>
      <c r="J399" s="47">
        <v>963211333</v>
      </c>
      <c r="K399" s="5" t="s">
        <v>509</v>
      </c>
      <c r="L399" s="54"/>
      <c r="M399" s="15" t="s">
        <v>12</v>
      </c>
    </row>
    <row r="400" spans="1:13" ht="19.149999999999999" customHeight="1" x14ac:dyDescent="0.3">
      <c r="A400" s="16">
        <v>1721946067</v>
      </c>
      <c r="B400" s="16" t="s">
        <v>31</v>
      </c>
      <c r="C400" s="16">
        <v>1</v>
      </c>
      <c r="D400" s="16" t="s">
        <v>215</v>
      </c>
      <c r="E400" s="16" t="s">
        <v>50</v>
      </c>
      <c r="F400" s="23">
        <v>46074</v>
      </c>
      <c r="G400" s="24">
        <v>3</v>
      </c>
      <c r="H400" s="24" t="s">
        <v>17</v>
      </c>
      <c r="I400" s="27"/>
      <c r="J400" s="47">
        <v>997562221</v>
      </c>
      <c r="K400" s="5" t="s">
        <v>433</v>
      </c>
      <c r="L400" s="64">
        <v>46322</v>
      </c>
      <c r="M400" s="15" t="s">
        <v>12</v>
      </c>
    </row>
    <row r="401" spans="1:13" ht="19.149999999999999" customHeight="1" x14ac:dyDescent="0.3">
      <c r="A401" s="16">
        <v>1721946067</v>
      </c>
      <c r="B401" s="16" t="s">
        <v>192</v>
      </c>
      <c r="C401" s="16">
        <v>1</v>
      </c>
      <c r="D401" s="16" t="s">
        <v>844</v>
      </c>
      <c r="E401" s="16" t="s">
        <v>687</v>
      </c>
      <c r="F401" s="23">
        <v>46074</v>
      </c>
      <c r="G401" s="24">
        <v>6</v>
      </c>
      <c r="H401" s="24" t="s">
        <v>17</v>
      </c>
      <c r="I401" s="27"/>
      <c r="J401" s="47">
        <v>997562221</v>
      </c>
      <c r="K401" s="5" t="s">
        <v>433</v>
      </c>
      <c r="L401" s="64">
        <v>46322</v>
      </c>
      <c r="M401" s="15" t="s">
        <v>12</v>
      </c>
    </row>
    <row r="402" spans="1:13" ht="19.149999999999999" customHeight="1" x14ac:dyDescent="0.3">
      <c r="A402" s="16">
        <v>1714063292</v>
      </c>
      <c r="B402" s="16" t="s">
        <v>29</v>
      </c>
      <c r="C402" s="16">
        <v>1</v>
      </c>
      <c r="D402" s="16" t="s">
        <v>719</v>
      </c>
      <c r="E402" s="16" t="s">
        <v>687</v>
      </c>
      <c r="F402" s="23">
        <v>46074</v>
      </c>
      <c r="G402" s="24">
        <v>10</v>
      </c>
      <c r="H402" s="24" t="s">
        <v>17</v>
      </c>
      <c r="I402" s="27"/>
      <c r="J402" s="47">
        <v>995674830</v>
      </c>
      <c r="K402" s="5" t="s">
        <v>430</v>
      </c>
      <c r="L402" s="54"/>
      <c r="M402" s="15" t="s">
        <v>12</v>
      </c>
    </row>
    <row r="403" spans="1:13" ht="19.149999999999999" customHeight="1" x14ac:dyDescent="0.3">
      <c r="A403" s="16">
        <v>1711000362</v>
      </c>
      <c r="B403" s="16" t="s">
        <v>193</v>
      </c>
      <c r="C403" s="16">
        <v>1</v>
      </c>
      <c r="D403" s="16" t="s">
        <v>812</v>
      </c>
      <c r="E403" s="16" t="s">
        <v>687</v>
      </c>
      <c r="F403" s="23">
        <v>46075</v>
      </c>
      <c r="G403" s="24">
        <f>18+30</f>
        <v>48</v>
      </c>
      <c r="H403" s="24" t="s">
        <v>17</v>
      </c>
      <c r="I403" s="27"/>
      <c r="J403" s="47">
        <v>996504858</v>
      </c>
      <c r="K403" s="5" t="s">
        <v>978</v>
      </c>
      <c r="L403" s="45"/>
      <c r="M403" s="15" t="s">
        <v>12</v>
      </c>
    </row>
    <row r="404" spans="1:13" ht="19.149999999999999" customHeight="1" x14ac:dyDescent="0.3">
      <c r="A404" s="16">
        <v>1711000362</v>
      </c>
      <c r="B404" s="16" t="s">
        <v>193</v>
      </c>
      <c r="C404" s="16">
        <v>1</v>
      </c>
      <c r="D404" s="16" t="s">
        <v>53</v>
      </c>
      <c r="E404" s="16" t="s">
        <v>50</v>
      </c>
      <c r="F404" s="23">
        <v>46075</v>
      </c>
      <c r="G404" s="24">
        <v>12</v>
      </c>
      <c r="H404" s="24" t="s">
        <v>17</v>
      </c>
      <c r="I404" s="27"/>
      <c r="J404" s="47">
        <v>996504858</v>
      </c>
      <c r="K404" s="5" t="s">
        <v>978</v>
      </c>
      <c r="L404" s="45"/>
      <c r="M404" s="15" t="s">
        <v>12</v>
      </c>
    </row>
    <row r="405" spans="1:13" ht="19.149999999999999" customHeight="1" x14ac:dyDescent="0.3">
      <c r="A405" s="16">
        <v>106143837</v>
      </c>
      <c r="B405" s="16" t="s">
        <v>56</v>
      </c>
      <c r="C405" s="16">
        <v>1</v>
      </c>
      <c r="D405" s="16" t="s">
        <v>194</v>
      </c>
      <c r="E405" s="16" t="s">
        <v>50</v>
      </c>
      <c r="F405" s="23">
        <v>46075</v>
      </c>
      <c r="G405" s="24">
        <v>18</v>
      </c>
      <c r="H405" s="24" t="s">
        <v>37</v>
      </c>
      <c r="I405" s="27">
        <v>83119589</v>
      </c>
      <c r="J405" s="49">
        <v>959814387</v>
      </c>
      <c r="K405" s="2" t="s">
        <v>402</v>
      </c>
      <c r="L405" s="52"/>
      <c r="M405" s="15" t="s">
        <v>12</v>
      </c>
    </row>
    <row r="406" spans="1:13" ht="19.149999999999999" customHeight="1" x14ac:dyDescent="0.3">
      <c r="A406" s="16">
        <v>1721946067</v>
      </c>
      <c r="B406" s="16" t="s">
        <v>31</v>
      </c>
      <c r="C406" s="16">
        <v>1</v>
      </c>
      <c r="D406" s="16" t="s">
        <v>195</v>
      </c>
      <c r="E406" s="16" t="s">
        <v>50</v>
      </c>
      <c r="F406" s="23">
        <v>46075</v>
      </c>
      <c r="G406" s="24">
        <f>18+6</f>
        <v>24</v>
      </c>
      <c r="H406" s="24" t="s">
        <v>17</v>
      </c>
      <c r="I406" s="27"/>
      <c r="J406" s="47">
        <v>997562221</v>
      </c>
      <c r="K406" s="5" t="s">
        <v>433</v>
      </c>
      <c r="L406" s="64">
        <v>46322</v>
      </c>
      <c r="M406" s="15" t="s">
        <v>12</v>
      </c>
    </row>
    <row r="407" spans="1:13" ht="19.149999999999999" customHeight="1" x14ac:dyDescent="0.3">
      <c r="A407" s="16" t="s">
        <v>658</v>
      </c>
      <c r="B407" s="16" t="s">
        <v>196</v>
      </c>
      <c r="C407" s="16">
        <v>1</v>
      </c>
      <c r="D407" s="16" t="s">
        <v>4</v>
      </c>
      <c r="E407" s="16" t="s">
        <v>50</v>
      </c>
      <c r="F407" s="23">
        <v>46076</v>
      </c>
      <c r="G407" s="24">
        <v>25</v>
      </c>
      <c r="H407" s="24" t="s">
        <v>37</v>
      </c>
      <c r="I407" s="27">
        <v>14726528</v>
      </c>
      <c r="J407" s="87"/>
    </row>
    <row r="408" spans="1:13" ht="19.149999999999999" customHeight="1" x14ac:dyDescent="0.3">
      <c r="A408" s="16">
        <v>1707970552</v>
      </c>
      <c r="B408" s="16" t="s">
        <v>198</v>
      </c>
      <c r="C408" s="16">
        <v>1</v>
      </c>
      <c r="D408" s="16" t="s">
        <v>695</v>
      </c>
      <c r="E408" s="16" t="s">
        <v>687</v>
      </c>
      <c r="F408" s="23">
        <v>46078</v>
      </c>
      <c r="G408" s="24">
        <v>22</v>
      </c>
      <c r="H408" s="24" t="s">
        <v>37</v>
      </c>
      <c r="I408" s="27">
        <v>65659794</v>
      </c>
      <c r="J408" s="49">
        <v>983427064</v>
      </c>
      <c r="K408" s="2" t="s">
        <v>443</v>
      </c>
      <c r="L408" s="52"/>
      <c r="M408" s="15" t="s">
        <v>12</v>
      </c>
    </row>
    <row r="409" spans="1:13" ht="19.149999999999999" customHeight="1" x14ac:dyDescent="0.3">
      <c r="A409" s="16">
        <v>104207725</v>
      </c>
      <c r="B409" s="16" t="s">
        <v>197</v>
      </c>
      <c r="C409" s="16">
        <v>1</v>
      </c>
      <c r="D409" s="16" t="s">
        <v>719</v>
      </c>
      <c r="E409" s="16" t="s">
        <v>687</v>
      </c>
      <c r="F409" s="23">
        <v>46078</v>
      </c>
      <c r="G409" s="24">
        <v>10</v>
      </c>
      <c r="H409" s="24" t="s">
        <v>17</v>
      </c>
      <c r="I409" s="27"/>
      <c r="J409" s="87"/>
    </row>
    <row r="410" spans="1:13" ht="19.149999999999999" customHeight="1" x14ac:dyDescent="0.3">
      <c r="A410" s="16">
        <v>1707565337</v>
      </c>
      <c r="B410" s="16" t="s">
        <v>176</v>
      </c>
      <c r="C410" s="16">
        <v>1</v>
      </c>
      <c r="D410" s="16" t="s">
        <v>28</v>
      </c>
      <c r="E410" s="16" t="s">
        <v>687</v>
      </c>
      <c r="F410" s="23">
        <v>46078</v>
      </c>
      <c r="G410" s="24">
        <v>18</v>
      </c>
      <c r="H410" s="24" t="s">
        <v>18</v>
      </c>
      <c r="I410" s="27">
        <v>154349</v>
      </c>
      <c r="J410" s="49">
        <v>994743934</v>
      </c>
      <c r="K410" s="18"/>
      <c r="L410" s="46"/>
      <c r="M410" s="15" t="s">
        <v>12</v>
      </c>
    </row>
    <row r="411" spans="1:13" ht="19.149999999999999" customHeight="1" x14ac:dyDescent="0.3">
      <c r="A411" s="16">
        <v>951334366</v>
      </c>
      <c r="B411" s="16" t="s">
        <v>201</v>
      </c>
      <c r="C411" s="16">
        <v>1</v>
      </c>
      <c r="D411" s="16" t="s">
        <v>779</v>
      </c>
      <c r="E411" s="16" t="s">
        <v>50</v>
      </c>
      <c r="F411" s="23">
        <v>46079</v>
      </c>
      <c r="G411" s="24">
        <v>37</v>
      </c>
      <c r="H411" s="24" t="s">
        <v>37</v>
      </c>
      <c r="I411" s="27">
        <v>54453606</v>
      </c>
      <c r="J411" s="47">
        <v>9849602</v>
      </c>
      <c r="K411" s="5" t="s">
        <v>445</v>
      </c>
      <c r="L411" s="54"/>
      <c r="M411" s="15" t="s">
        <v>12</v>
      </c>
    </row>
    <row r="412" spans="1:13" ht="19.149999999999999" customHeight="1" x14ac:dyDescent="0.3">
      <c r="A412" s="16">
        <v>1721946067</v>
      </c>
      <c r="B412" s="16" t="s">
        <v>31</v>
      </c>
      <c r="C412" s="16">
        <v>1</v>
      </c>
      <c r="D412" s="16" t="s">
        <v>28</v>
      </c>
      <c r="E412" s="16" t="s">
        <v>50</v>
      </c>
      <c r="F412" s="23">
        <v>46079</v>
      </c>
      <c r="G412" s="24">
        <v>18</v>
      </c>
      <c r="H412" s="24" t="s">
        <v>18</v>
      </c>
      <c r="I412" s="27">
        <v>19208936</v>
      </c>
      <c r="J412" s="87"/>
    </row>
    <row r="413" spans="1:13" ht="19.149999999999999" customHeight="1" x14ac:dyDescent="0.3">
      <c r="A413" s="16">
        <v>1718150517</v>
      </c>
      <c r="B413" s="16" t="s">
        <v>199</v>
      </c>
      <c r="C413" s="16">
        <v>1</v>
      </c>
      <c r="D413" s="16" t="s">
        <v>879</v>
      </c>
      <c r="E413" s="16" t="s">
        <v>50</v>
      </c>
      <c r="F413" s="23">
        <v>46079</v>
      </c>
      <c r="G413" s="24">
        <v>18</v>
      </c>
      <c r="H413" s="24" t="s">
        <v>144</v>
      </c>
      <c r="I413" s="27">
        <v>133</v>
      </c>
      <c r="J413" s="47">
        <v>984033854</v>
      </c>
      <c r="K413" s="5" t="s">
        <v>444</v>
      </c>
      <c r="L413" s="54"/>
      <c r="M413" s="15" t="s">
        <v>12</v>
      </c>
    </row>
    <row r="414" spans="1:13" ht="19.149999999999999" customHeight="1" x14ac:dyDescent="0.3">
      <c r="A414" s="16">
        <v>1718150517</v>
      </c>
      <c r="B414" s="16" t="s">
        <v>199</v>
      </c>
      <c r="C414" s="16">
        <v>1</v>
      </c>
      <c r="D414" s="16" t="s">
        <v>200</v>
      </c>
      <c r="E414" s="16" t="s">
        <v>146</v>
      </c>
      <c r="F414" s="23">
        <v>46079</v>
      </c>
      <c r="G414" s="24">
        <f>94-25-18</f>
        <v>51</v>
      </c>
      <c r="H414" s="24" t="s">
        <v>144</v>
      </c>
      <c r="I414" s="27"/>
      <c r="J414" s="47">
        <v>984033854</v>
      </c>
      <c r="K414" s="5" t="s">
        <v>444</v>
      </c>
      <c r="L414" s="54"/>
      <c r="M414" s="15" t="s">
        <v>12</v>
      </c>
    </row>
    <row r="415" spans="1:13" ht="19.149999999999999" customHeight="1" x14ac:dyDescent="0.3">
      <c r="A415" s="16">
        <v>1704254190</v>
      </c>
      <c r="B415" s="16" t="s">
        <v>203</v>
      </c>
      <c r="C415" s="16">
        <v>1</v>
      </c>
      <c r="D415" s="16" t="s">
        <v>719</v>
      </c>
      <c r="E415" s="16" t="s">
        <v>687</v>
      </c>
      <c r="F415" s="23">
        <v>46080</v>
      </c>
      <c r="G415" s="24">
        <v>10</v>
      </c>
      <c r="H415" s="24" t="s">
        <v>160</v>
      </c>
      <c r="I415" s="27">
        <v>137</v>
      </c>
      <c r="J415" s="87"/>
    </row>
    <row r="416" spans="1:13" ht="19.149999999999999" customHeight="1" x14ac:dyDescent="0.3">
      <c r="A416" s="16">
        <v>1725676991</v>
      </c>
      <c r="B416" s="16" t="s">
        <v>202</v>
      </c>
      <c r="C416" s="16">
        <v>1</v>
      </c>
      <c r="D416" s="16" t="s">
        <v>379</v>
      </c>
      <c r="E416" s="16" t="s">
        <v>687</v>
      </c>
      <c r="F416" s="23">
        <v>46080</v>
      </c>
      <c r="G416" s="24">
        <v>26</v>
      </c>
      <c r="H416" s="24" t="s">
        <v>160</v>
      </c>
      <c r="I416" s="27"/>
      <c r="J416" s="49">
        <v>984040369</v>
      </c>
      <c r="K416" s="2" t="s">
        <v>963</v>
      </c>
      <c r="L416" s="46"/>
      <c r="M416" s="15" t="s">
        <v>12</v>
      </c>
    </row>
    <row r="417" spans="1:13" ht="19.149999999999999" customHeight="1" x14ac:dyDescent="0.3">
      <c r="A417" s="16">
        <v>1724420235</v>
      </c>
      <c r="B417" s="16" t="s">
        <v>1197</v>
      </c>
      <c r="C417" s="16">
        <v>1</v>
      </c>
      <c r="D417" s="16" t="s">
        <v>714</v>
      </c>
      <c r="E417" s="16" t="s">
        <v>50</v>
      </c>
      <c r="F417" s="23">
        <v>46080</v>
      </c>
      <c r="G417" s="24">
        <v>18</v>
      </c>
      <c r="H417" s="24" t="s">
        <v>18</v>
      </c>
      <c r="I417" s="27">
        <v>3021193020900</v>
      </c>
      <c r="J417" s="49">
        <v>960113421</v>
      </c>
      <c r="K417" s="2" t="s">
        <v>446</v>
      </c>
      <c r="L417" s="52"/>
      <c r="M417" s="15" t="s">
        <v>12</v>
      </c>
    </row>
    <row r="418" spans="1:13" ht="19.149999999999999" customHeight="1" x14ac:dyDescent="0.3">
      <c r="A418" s="16">
        <v>1727054759</v>
      </c>
      <c r="B418" s="16" t="s">
        <v>1220</v>
      </c>
      <c r="C418" s="16">
        <v>1</v>
      </c>
      <c r="D418" s="16" t="s">
        <v>936</v>
      </c>
      <c r="E418" s="16" t="s">
        <v>50</v>
      </c>
      <c r="F418" s="23">
        <v>46081</v>
      </c>
      <c r="G418" s="24">
        <f>25+18</f>
        <v>43</v>
      </c>
      <c r="H418" s="24" t="s">
        <v>144</v>
      </c>
      <c r="I418" s="27"/>
      <c r="J418" s="47">
        <v>984605685</v>
      </c>
      <c r="K418" s="5" t="s">
        <v>1221</v>
      </c>
      <c r="L418" s="54"/>
      <c r="M418" s="15" t="s">
        <v>12</v>
      </c>
    </row>
    <row r="419" spans="1:13" ht="19.149999999999999" customHeight="1" x14ac:dyDescent="0.3">
      <c r="A419" s="16">
        <v>1704254190</v>
      </c>
      <c r="B419" s="16" t="s">
        <v>203</v>
      </c>
      <c r="C419" s="16">
        <v>1</v>
      </c>
      <c r="D419" s="16" t="s">
        <v>6</v>
      </c>
      <c r="E419" s="16" t="s">
        <v>687</v>
      </c>
      <c r="F419" s="23">
        <v>46081</v>
      </c>
      <c r="G419" s="24">
        <v>12</v>
      </c>
      <c r="H419" s="24" t="s">
        <v>144</v>
      </c>
      <c r="I419" s="27"/>
      <c r="J419" s="87"/>
    </row>
    <row r="420" spans="1:13" ht="19.149999999999999" customHeight="1" x14ac:dyDescent="0.3">
      <c r="A420" s="16">
        <v>1720193026</v>
      </c>
      <c r="B420" s="16" t="s">
        <v>206</v>
      </c>
      <c r="C420" s="16">
        <v>1</v>
      </c>
      <c r="D420" s="16" t="s">
        <v>707</v>
      </c>
      <c r="E420" s="16" t="s">
        <v>687</v>
      </c>
      <c r="F420" s="23">
        <v>46081</v>
      </c>
      <c r="G420" s="24">
        <v>17</v>
      </c>
      <c r="H420" s="24" t="s">
        <v>17</v>
      </c>
      <c r="I420" s="27"/>
      <c r="J420" s="47">
        <v>991969840</v>
      </c>
      <c r="K420" s="5" t="s">
        <v>447</v>
      </c>
      <c r="L420" s="54"/>
      <c r="M420" s="15" t="s">
        <v>12</v>
      </c>
    </row>
    <row r="421" spans="1:13" ht="19.149999999999999" customHeight="1" x14ac:dyDescent="0.3">
      <c r="A421" s="16">
        <v>1704594298</v>
      </c>
      <c r="B421" s="16" t="s">
        <v>207</v>
      </c>
      <c r="C421" s="16">
        <v>1</v>
      </c>
      <c r="D421" s="16" t="s">
        <v>102</v>
      </c>
      <c r="E421" s="16" t="s">
        <v>50</v>
      </c>
      <c r="F421" s="23">
        <v>46081</v>
      </c>
      <c r="G421" s="24">
        <v>10</v>
      </c>
      <c r="H421" s="24" t="s">
        <v>37</v>
      </c>
      <c r="I421" s="27"/>
      <c r="J421" s="47">
        <v>995133686</v>
      </c>
      <c r="K421" s="5" t="s">
        <v>448</v>
      </c>
      <c r="L421" s="54"/>
      <c r="M421" s="15" t="s">
        <v>12</v>
      </c>
    </row>
    <row r="422" spans="1:13" ht="19.149999999999999" customHeight="1" x14ac:dyDescent="0.3">
      <c r="A422" s="16">
        <v>1720226214</v>
      </c>
      <c r="B422" s="16" t="s">
        <v>205</v>
      </c>
      <c r="C422" s="16">
        <v>1</v>
      </c>
      <c r="D422" s="16" t="s">
        <v>780</v>
      </c>
      <c r="E422" s="16" t="s">
        <v>687</v>
      </c>
      <c r="F422" s="23">
        <v>46081</v>
      </c>
      <c r="G422" s="24">
        <v>19</v>
      </c>
      <c r="H422" s="24" t="s">
        <v>18</v>
      </c>
      <c r="I422" s="27"/>
      <c r="J422" s="47">
        <v>984342245</v>
      </c>
      <c r="K422" s="5" t="s">
        <v>521</v>
      </c>
      <c r="L422" s="54"/>
      <c r="M422" s="15" t="s">
        <v>12</v>
      </c>
    </row>
    <row r="423" spans="1:13" ht="19.149999999999999" customHeight="1" x14ac:dyDescent="0.3">
      <c r="A423" s="16" t="s">
        <v>658</v>
      </c>
      <c r="B423" s="16" t="s">
        <v>208</v>
      </c>
      <c r="C423" s="16">
        <v>1</v>
      </c>
      <c r="D423" s="16" t="s">
        <v>209</v>
      </c>
      <c r="E423" s="16" t="s">
        <v>687</v>
      </c>
      <c r="F423" s="23">
        <v>46081</v>
      </c>
      <c r="G423" s="24">
        <v>22</v>
      </c>
      <c r="H423" s="24" t="s">
        <v>37</v>
      </c>
      <c r="I423" s="27"/>
      <c r="J423" s="87"/>
    </row>
    <row r="424" spans="1:13" ht="19.149999999999999" customHeight="1" x14ac:dyDescent="0.3">
      <c r="A424" s="16">
        <v>1721946067</v>
      </c>
      <c r="B424" s="16" t="s">
        <v>31</v>
      </c>
      <c r="C424" s="16">
        <v>1</v>
      </c>
      <c r="D424" s="16" t="s">
        <v>204</v>
      </c>
      <c r="E424" s="16" t="s">
        <v>687</v>
      </c>
      <c r="F424" s="23">
        <v>46081</v>
      </c>
      <c r="G424" s="24">
        <v>10</v>
      </c>
      <c r="H424" s="24" t="s">
        <v>17</v>
      </c>
      <c r="I424" s="27"/>
      <c r="J424" s="47">
        <v>997562221</v>
      </c>
      <c r="K424" s="5" t="s">
        <v>433</v>
      </c>
      <c r="L424" s="64">
        <v>46322</v>
      </c>
      <c r="M424" s="15" t="s">
        <v>12</v>
      </c>
    </row>
    <row r="425" spans="1:13" ht="19.149999999999999" customHeight="1" x14ac:dyDescent="0.3">
      <c r="A425" s="16">
        <v>1714063292</v>
      </c>
      <c r="B425" s="16" t="s">
        <v>29</v>
      </c>
      <c r="C425" s="16">
        <v>1</v>
      </c>
      <c r="D425" s="16" t="s">
        <v>102</v>
      </c>
      <c r="E425" s="16" t="s">
        <v>50</v>
      </c>
      <c r="F425" s="23">
        <v>46081</v>
      </c>
      <c r="G425" s="24">
        <v>10</v>
      </c>
      <c r="H425" s="24" t="s">
        <v>17</v>
      </c>
      <c r="I425" s="27"/>
      <c r="J425" s="47">
        <v>995674830</v>
      </c>
      <c r="K425" s="5" t="s">
        <v>430</v>
      </c>
      <c r="L425" s="54"/>
      <c r="M425" s="15" t="s">
        <v>12</v>
      </c>
    </row>
    <row r="426" spans="1:13" ht="19.149999999999999" customHeight="1" x14ac:dyDescent="0.3">
      <c r="A426" s="16">
        <v>1722115738</v>
      </c>
      <c r="B426" s="16" t="s">
        <v>210</v>
      </c>
      <c r="C426" s="16">
        <v>1</v>
      </c>
      <c r="D426" s="16" t="s">
        <v>6</v>
      </c>
      <c r="E426" s="16" t="s">
        <v>687</v>
      </c>
      <c r="F426" s="23">
        <v>46082</v>
      </c>
      <c r="G426" s="24">
        <v>12</v>
      </c>
      <c r="H426" s="24" t="s">
        <v>37</v>
      </c>
      <c r="I426" s="26">
        <v>85631398</v>
      </c>
      <c r="J426" s="47">
        <v>984919299</v>
      </c>
      <c r="K426" s="5" t="s">
        <v>516</v>
      </c>
      <c r="L426" s="54"/>
      <c r="M426" s="15" t="s">
        <v>12</v>
      </c>
    </row>
    <row r="427" spans="1:13" ht="19.149999999999999" customHeight="1" x14ac:dyDescent="0.3">
      <c r="A427" s="16">
        <v>1722115738</v>
      </c>
      <c r="B427" s="16" t="s">
        <v>210</v>
      </c>
      <c r="C427" s="16">
        <v>1</v>
      </c>
      <c r="D427" s="16" t="s">
        <v>102</v>
      </c>
      <c r="E427" s="16" t="s">
        <v>50</v>
      </c>
      <c r="F427" s="23">
        <v>46082</v>
      </c>
      <c r="G427" s="24">
        <v>10</v>
      </c>
      <c r="H427" s="24" t="s">
        <v>37</v>
      </c>
      <c r="I427" s="26">
        <v>85631398</v>
      </c>
      <c r="J427" s="47">
        <v>984919299</v>
      </c>
      <c r="K427" s="5" t="s">
        <v>516</v>
      </c>
      <c r="L427" s="54"/>
      <c r="M427" s="15" t="s">
        <v>12</v>
      </c>
    </row>
    <row r="428" spans="1:13" ht="19.149999999999999" customHeight="1" x14ac:dyDescent="0.3">
      <c r="A428" s="16" t="s">
        <v>658</v>
      </c>
      <c r="B428" s="16" t="s">
        <v>211</v>
      </c>
      <c r="C428" s="16">
        <v>1</v>
      </c>
      <c r="D428" s="16" t="s">
        <v>102</v>
      </c>
      <c r="E428" s="16" t="s">
        <v>50</v>
      </c>
      <c r="F428" s="23">
        <v>46082</v>
      </c>
      <c r="G428" s="24">
        <v>10</v>
      </c>
      <c r="H428" s="24" t="s">
        <v>212</v>
      </c>
      <c r="I428" s="27"/>
      <c r="J428" s="87"/>
    </row>
    <row r="429" spans="1:13" ht="19.149999999999999" customHeight="1" x14ac:dyDescent="0.3">
      <c r="A429" s="16">
        <v>503901894001</v>
      </c>
      <c r="B429" s="16" t="s">
        <v>214</v>
      </c>
      <c r="C429" s="16">
        <v>1</v>
      </c>
      <c r="D429" s="16" t="s">
        <v>215</v>
      </c>
      <c r="E429" s="16" t="s">
        <v>687</v>
      </c>
      <c r="F429" s="23">
        <v>46082</v>
      </c>
      <c r="G429" s="24">
        <v>2</v>
      </c>
      <c r="H429" s="24" t="s">
        <v>17</v>
      </c>
      <c r="I429" s="27"/>
      <c r="J429" s="76">
        <v>987526967</v>
      </c>
      <c r="K429" s="9" t="s">
        <v>450</v>
      </c>
      <c r="L429" s="58"/>
      <c r="M429" s="15" t="s">
        <v>12</v>
      </c>
    </row>
    <row r="430" spans="1:13" ht="19.149999999999999" customHeight="1" x14ac:dyDescent="0.3">
      <c r="A430" s="16">
        <v>1711291383</v>
      </c>
      <c r="B430" s="16" t="s">
        <v>213</v>
      </c>
      <c r="C430" s="16">
        <v>1</v>
      </c>
      <c r="D430" s="16" t="s">
        <v>102</v>
      </c>
      <c r="E430" s="16" t="s">
        <v>687</v>
      </c>
      <c r="F430" s="23">
        <v>46082</v>
      </c>
      <c r="G430" s="24">
        <v>10</v>
      </c>
      <c r="H430" s="24" t="s">
        <v>37</v>
      </c>
      <c r="I430" s="27">
        <v>109771241</v>
      </c>
      <c r="J430" s="76">
        <v>998032717</v>
      </c>
      <c r="K430" s="9" t="s">
        <v>449</v>
      </c>
      <c r="L430" s="58"/>
      <c r="M430" s="15" t="s">
        <v>12</v>
      </c>
    </row>
    <row r="431" spans="1:13" ht="19.149999999999999" customHeight="1" x14ac:dyDescent="0.3">
      <c r="A431" s="16">
        <v>1711291383</v>
      </c>
      <c r="B431" s="16" t="s">
        <v>213</v>
      </c>
      <c r="C431" s="16">
        <v>1</v>
      </c>
      <c r="D431" s="16" t="s">
        <v>28</v>
      </c>
      <c r="E431" s="16" t="s">
        <v>50</v>
      </c>
      <c r="F431" s="23">
        <v>46082</v>
      </c>
      <c r="G431" s="24">
        <v>18</v>
      </c>
      <c r="H431" s="24" t="s">
        <v>37</v>
      </c>
      <c r="I431" s="27">
        <v>109771241</v>
      </c>
      <c r="J431" s="76">
        <v>998032717</v>
      </c>
      <c r="K431" s="9" t="s">
        <v>449</v>
      </c>
      <c r="L431" s="58"/>
      <c r="M431" s="15" t="s">
        <v>12</v>
      </c>
    </row>
    <row r="432" spans="1:13" ht="19.149999999999999" customHeight="1" x14ac:dyDescent="0.3">
      <c r="A432" s="16">
        <v>503901894001</v>
      </c>
      <c r="B432" s="16" t="s">
        <v>214</v>
      </c>
      <c r="C432" s="16">
        <v>1</v>
      </c>
      <c r="D432" s="16" t="s">
        <v>880</v>
      </c>
      <c r="E432" s="16" t="s">
        <v>50</v>
      </c>
      <c r="F432" s="23">
        <v>46083</v>
      </c>
      <c r="G432" s="24">
        <v>20</v>
      </c>
      <c r="H432" s="24" t="s">
        <v>17</v>
      </c>
      <c r="I432" s="27"/>
      <c r="J432" s="76">
        <v>987526967</v>
      </c>
      <c r="K432" s="9" t="s">
        <v>450</v>
      </c>
      <c r="L432" s="58"/>
      <c r="M432" s="15" t="s">
        <v>12</v>
      </c>
    </row>
    <row r="433" spans="1:13" ht="19.149999999999999" customHeight="1" x14ac:dyDescent="0.3">
      <c r="A433" s="16">
        <v>1707123897</v>
      </c>
      <c r="B433" s="16" t="s">
        <v>216</v>
      </c>
      <c r="C433" s="16">
        <v>1</v>
      </c>
      <c r="D433" s="16" t="s">
        <v>102</v>
      </c>
      <c r="E433" s="16" t="s">
        <v>687</v>
      </c>
      <c r="F433" s="23">
        <v>46084</v>
      </c>
      <c r="G433" s="24">
        <v>10</v>
      </c>
      <c r="H433" s="24" t="s">
        <v>212</v>
      </c>
      <c r="I433" s="27">
        <v>144</v>
      </c>
      <c r="J433" s="76">
        <v>987282698</v>
      </c>
      <c r="K433" s="9" t="s">
        <v>451</v>
      </c>
      <c r="L433" s="58"/>
      <c r="M433" s="15" t="s">
        <v>12</v>
      </c>
    </row>
    <row r="434" spans="1:13" ht="19.149999999999999" customHeight="1" x14ac:dyDescent="0.3">
      <c r="A434" s="16">
        <v>901787903</v>
      </c>
      <c r="B434" s="16" t="s">
        <v>217</v>
      </c>
      <c r="C434" s="16">
        <v>1</v>
      </c>
      <c r="D434" s="16" t="s">
        <v>6</v>
      </c>
      <c r="E434" s="16" t="s">
        <v>50</v>
      </c>
      <c r="F434" s="23">
        <v>46084</v>
      </c>
      <c r="G434" s="24">
        <v>12</v>
      </c>
      <c r="H434" s="24" t="s">
        <v>212</v>
      </c>
      <c r="I434" s="27">
        <v>144</v>
      </c>
      <c r="J434" s="47">
        <v>995635866</v>
      </c>
      <c r="K434" s="5" t="s">
        <v>510</v>
      </c>
      <c r="L434" s="54"/>
      <c r="M434" s="15" t="s">
        <v>12</v>
      </c>
    </row>
    <row r="435" spans="1:13" ht="19.149999999999999" customHeight="1" x14ac:dyDescent="0.3">
      <c r="A435" s="16">
        <v>1714650379</v>
      </c>
      <c r="B435" s="16" t="s">
        <v>664</v>
      </c>
      <c r="C435" s="16">
        <v>1</v>
      </c>
      <c r="D435" s="16" t="s">
        <v>6</v>
      </c>
      <c r="E435" s="16" t="s">
        <v>687</v>
      </c>
      <c r="F435" s="23">
        <v>46084</v>
      </c>
      <c r="G435" s="24">
        <v>12</v>
      </c>
      <c r="H435" s="24" t="s">
        <v>37</v>
      </c>
      <c r="I435" s="27">
        <v>71071745</v>
      </c>
      <c r="J435" s="49">
        <v>982663163</v>
      </c>
      <c r="K435" s="2" t="s">
        <v>475</v>
      </c>
      <c r="L435" s="52"/>
      <c r="M435" s="15" t="s">
        <v>12</v>
      </c>
    </row>
    <row r="436" spans="1:13" ht="19.149999999999999" customHeight="1" x14ac:dyDescent="0.3">
      <c r="A436" s="16">
        <v>1721675153</v>
      </c>
      <c r="B436" s="16" t="s">
        <v>156</v>
      </c>
      <c r="C436" s="16">
        <v>1</v>
      </c>
      <c r="D436" s="16" t="s">
        <v>28</v>
      </c>
      <c r="E436" s="16" t="s">
        <v>687</v>
      </c>
      <c r="F436" s="23">
        <v>46084</v>
      </c>
      <c r="G436" s="24">
        <v>15</v>
      </c>
      <c r="H436" s="24" t="s">
        <v>37</v>
      </c>
      <c r="I436" s="27">
        <v>29255252</v>
      </c>
      <c r="J436" s="47">
        <v>992877753</v>
      </c>
      <c r="K436" s="5" t="s">
        <v>464</v>
      </c>
      <c r="L436" s="54"/>
      <c r="M436" s="15" t="s">
        <v>12</v>
      </c>
    </row>
    <row r="437" spans="1:13" ht="19.149999999999999" customHeight="1" x14ac:dyDescent="0.3">
      <c r="A437" s="16" t="s">
        <v>658</v>
      </c>
      <c r="B437" s="16" t="s">
        <v>149</v>
      </c>
      <c r="C437" s="16">
        <v>1</v>
      </c>
      <c r="D437" s="16" t="s">
        <v>923</v>
      </c>
      <c r="E437" s="16" t="s">
        <v>687</v>
      </c>
      <c r="F437" s="23">
        <v>46085</v>
      </c>
      <c r="G437" s="24">
        <v>20</v>
      </c>
      <c r="H437" s="24" t="s">
        <v>17</v>
      </c>
      <c r="I437" s="27"/>
      <c r="J437" s="47">
        <v>999268768</v>
      </c>
      <c r="K437" s="5" t="s">
        <v>423</v>
      </c>
      <c r="L437" s="54"/>
      <c r="M437" s="15" t="s">
        <v>12</v>
      </c>
    </row>
    <row r="438" spans="1:13" ht="19.149999999999999" customHeight="1" x14ac:dyDescent="0.3">
      <c r="A438" s="16" t="s">
        <v>658</v>
      </c>
      <c r="B438" s="16" t="s">
        <v>218</v>
      </c>
      <c r="C438" s="16">
        <v>1</v>
      </c>
      <c r="D438" s="16" t="s">
        <v>719</v>
      </c>
      <c r="E438" s="16" t="s">
        <v>687</v>
      </c>
      <c r="F438" s="23">
        <v>46086</v>
      </c>
      <c r="G438" s="24">
        <v>10</v>
      </c>
      <c r="H438" s="24" t="s">
        <v>18</v>
      </c>
      <c r="I438" s="27">
        <v>51213836</v>
      </c>
      <c r="J438" s="76">
        <v>999657029</v>
      </c>
      <c r="K438" s="22"/>
      <c r="L438" s="59"/>
      <c r="M438" s="15" t="s">
        <v>12</v>
      </c>
    </row>
    <row r="439" spans="1:13" ht="19.149999999999999" customHeight="1" x14ac:dyDescent="0.3">
      <c r="A439" s="16">
        <v>1718093238</v>
      </c>
      <c r="B439" s="16" t="s">
        <v>177</v>
      </c>
      <c r="C439" s="16">
        <v>1</v>
      </c>
      <c r="D439" s="16" t="s">
        <v>920</v>
      </c>
      <c r="E439" s="16" t="s">
        <v>687</v>
      </c>
      <c r="F439" s="23">
        <v>46087</v>
      </c>
      <c r="G439" s="24">
        <v>20</v>
      </c>
      <c r="H439" s="24" t="s">
        <v>37</v>
      </c>
      <c r="I439" s="27">
        <v>45418634</v>
      </c>
      <c r="J439" s="49">
        <v>959997754</v>
      </c>
      <c r="K439" s="2" t="s">
        <v>436</v>
      </c>
      <c r="L439" s="52"/>
      <c r="M439" s="15" t="s">
        <v>12</v>
      </c>
    </row>
    <row r="440" spans="1:13" ht="19.149999999999999" customHeight="1" x14ac:dyDescent="0.3">
      <c r="A440" s="16">
        <v>1716903032</v>
      </c>
      <c r="B440" s="16" t="s">
        <v>221</v>
      </c>
      <c r="C440" s="16">
        <v>1</v>
      </c>
      <c r="D440" s="16" t="s">
        <v>893</v>
      </c>
      <c r="E440" s="16" t="s">
        <v>50</v>
      </c>
      <c r="F440" s="23">
        <v>46087</v>
      </c>
      <c r="G440" s="24">
        <f>10+12</f>
        <v>22</v>
      </c>
      <c r="H440" s="24" t="s">
        <v>212</v>
      </c>
      <c r="I440" s="27">
        <v>147</v>
      </c>
      <c r="J440" s="75">
        <v>991461406</v>
      </c>
      <c r="K440" s="3" t="s">
        <v>454</v>
      </c>
      <c r="L440" s="53"/>
      <c r="M440" s="15" t="s">
        <v>12</v>
      </c>
    </row>
    <row r="441" spans="1:13" ht="19.149999999999999" customHeight="1" x14ac:dyDescent="0.3">
      <c r="A441" s="16">
        <v>1705421095</v>
      </c>
      <c r="B441" s="16" t="s">
        <v>223</v>
      </c>
      <c r="C441" s="16">
        <v>1</v>
      </c>
      <c r="D441" s="16" t="s">
        <v>102</v>
      </c>
      <c r="E441" s="16" t="s">
        <v>687</v>
      </c>
      <c r="F441" s="23">
        <v>46087</v>
      </c>
      <c r="G441" s="24">
        <v>10</v>
      </c>
      <c r="H441" s="24" t="s">
        <v>37</v>
      </c>
      <c r="I441" s="27">
        <v>71171319</v>
      </c>
      <c r="J441" s="78">
        <v>984047914</v>
      </c>
      <c r="K441" s="10" t="s">
        <v>456</v>
      </c>
      <c r="L441" s="53"/>
      <c r="M441" s="15" t="s">
        <v>12</v>
      </c>
    </row>
    <row r="442" spans="1:13" ht="19.149999999999999" customHeight="1" x14ac:dyDescent="0.3">
      <c r="A442" s="16">
        <v>170795881</v>
      </c>
      <c r="B442" s="16" t="s">
        <v>219</v>
      </c>
      <c r="C442" s="16">
        <v>1</v>
      </c>
      <c r="D442" s="16" t="s">
        <v>752</v>
      </c>
      <c r="E442" s="16" t="s">
        <v>50</v>
      </c>
      <c r="F442" s="23">
        <v>46087</v>
      </c>
      <c r="G442" s="24">
        <v>10</v>
      </c>
      <c r="H442" s="24" t="s">
        <v>37</v>
      </c>
      <c r="I442" s="27">
        <v>633110127</v>
      </c>
      <c r="J442" s="75">
        <v>983501302</v>
      </c>
      <c r="K442" s="3" t="s">
        <v>452</v>
      </c>
      <c r="L442" s="53"/>
      <c r="M442" s="15" t="s">
        <v>12</v>
      </c>
    </row>
    <row r="443" spans="1:13" ht="19.149999999999999" customHeight="1" x14ac:dyDescent="0.3">
      <c r="A443" s="16">
        <v>170795881</v>
      </c>
      <c r="B443" s="16" t="s">
        <v>219</v>
      </c>
      <c r="C443" s="16">
        <v>1</v>
      </c>
      <c r="D443" s="16" t="s">
        <v>881</v>
      </c>
      <c r="E443" s="16" t="s">
        <v>146</v>
      </c>
      <c r="F443" s="23">
        <v>46087</v>
      </c>
      <c r="G443" s="24">
        <v>50</v>
      </c>
      <c r="H443" s="24" t="s">
        <v>37</v>
      </c>
      <c r="I443" s="27">
        <v>633110127</v>
      </c>
      <c r="J443" s="75">
        <v>983501302</v>
      </c>
      <c r="K443" s="3" t="s">
        <v>452</v>
      </c>
      <c r="L443" s="53"/>
      <c r="M443" s="15" t="s">
        <v>12</v>
      </c>
    </row>
    <row r="444" spans="1:13" ht="19.149999999999999" customHeight="1" x14ac:dyDescent="0.3">
      <c r="A444" s="16">
        <v>1722118344</v>
      </c>
      <c r="B444" s="16" t="s">
        <v>222</v>
      </c>
      <c r="C444" s="16">
        <v>1</v>
      </c>
      <c r="D444" s="16" t="s">
        <v>28</v>
      </c>
      <c r="E444" s="16" t="s">
        <v>50</v>
      </c>
      <c r="F444" s="23">
        <v>46087</v>
      </c>
      <c r="G444" s="24">
        <v>18</v>
      </c>
      <c r="H444" s="24" t="s">
        <v>37</v>
      </c>
      <c r="I444" s="27">
        <v>71171319</v>
      </c>
      <c r="J444" s="75">
        <v>984539697</v>
      </c>
      <c r="K444" s="3" t="s">
        <v>455</v>
      </c>
      <c r="L444" s="53"/>
      <c r="M444" s="15" t="s">
        <v>12</v>
      </c>
    </row>
    <row r="445" spans="1:13" ht="19.149999999999999" customHeight="1" x14ac:dyDescent="0.3">
      <c r="A445" s="16">
        <v>1716381999</v>
      </c>
      <c r="B445" s="16" t="s">
        <v>220</v>
      </c>
      <c r="C445" s="16">
        <v>1</v>
      </c>
      <c r="D445" s="16" t="s">
        <v>715</v>
      </c>
      <c r="E445" s="16" t="s">
        <v>687</v>
      </c>
      <c r="F445" s="23">
        <v>46087</v>
      </c>
      <c r="G445" s="24">
        <v>40</v>
      </c>
      <c r="H445" s="24" t="s">
        <v>37</v>
      </c>
      <c r="I445" s="27">
        <v>633110127</v>
      </c>
      <c r="J445" s="75">
        <v>983511676</v>
      </c>
      <c r="K445" s="3" t="s">
        <v>453</v>
      </c>
      <c r="L445" s="53"/>
      <c r="M445" s="15" t="s">
        <v>12</v>
      </c>
    </row>
    <row r="446" spans="1:13" ht="19.149999999999999" customHeight="1" x14ac:dyDescent="0.3">
      <c r="A446" s="16" t="s">
        <v>658</v>
      </c>
      <c r="B446" s="16" t="s">
        <v>120</v>
      </c>
      <c r="C446" s="16">
        <v>1</v>
      </c>
      <c r="D446" s="16" t="s">
        <v>28</v>
      </c>
      <c r="E446" s="16" t="s">
        <v>50</v>
      </c>
      <c r="F446" s="23">
        <v>46088</v>
      </c>
      <c r="G446" s="24">
        <v>18</v>
      </c>
      <c r="H446" s="27" t="s">
        <v>212</v>
      </c>
      <c r="I446" s="27" t="s">
        <v>212</v>
      </c>
      <c r="J446" s="87"/>
      <c r="K446" s="5" t="s">
        <v>415</v>
      </c>
    </row>
    <row r="447" spans="1:13" ht="19.149999999999999" customHeight="1" x14ac:dyDescent="0.3">
      <c r="A447" s="16">
        <v>1713919163</v>
      </c>
      <c r="B447" s="16" t="s">
        <v>143</v>
      </c>
      <c r="C447" s="16">
        <v>1</v>
      </c>
      <c r="D447" s="16" t="s">
        <v>225</v>
      </c>
      <c r="E447" s="16" t="s">
        <v>50</v>
      </c>
      <c r="F447" s="23">
        <v>46088</v>
      </c>
      <c r="G447" s="24"/>
      <c r="H447" s="24" t="s">
        <v>17</v>
      </c>
      <c r="I447" s="27"/>
      <c r="J447" s="47">
        <v>992725974</v>
      </c>
      <c r="K447" s="5" t="s">
        <v>421</v>
      </c>
      <c r="L447" s="54"/>
      <c r="M447" s="15" t="s">
        <v>12</v>
      </c>
    </row>
    <row r="448" spans="1:13" ht="19.149999999999999" customHeight="1" x14ac:dyDescent="0.3">
      <c r="A448" s="16">
        <v>1719231316</v>
      </c>
      <c r="B448" s="16" t="s">
        <v>232</v>
      </c>
      <c r="C448" s="16">
        <v>1</v>
      </c>
      <c r="D448" s="16" t="s">
        <v>28</v>
      </c>
      <c r="E448" s="16" t="s">
        <v>687</v>
      </c>
      <c r="F448" s="23">
        <v>46088</v>
      </c>
      <c r="G448" s="24">
        <v>18</v>
      </c>
      <c r="H448" s="27" t="s">
        <v>212</v>
      </c>
      <c r="I448" s="27" t="s">
        <v>212</v>
      </c>
      <c r="J448" s="76">
        <v>979324514</v>
      </c>
      <c r="K448" s="9" t="s">
        <v>460</v>
      </c>
      <c r="L448" s="58"/>
      <c r="M448" s="15" t="s">
        <v>12</v>
      </c>
    </row>
    <row r="449" spans="1:13" ht="19.149999999999999" customHeight="1" x14ac:dyDescent="0.3">
      <c r="A449" s="16">
        <v>1719231316</v>
      </c>
      <c r="B449" s="16" t="s">
        <v>232</v>
      </c>
      <c r="C449" s="16">
        <v>1</v>
      </c>
      <c r="D449" s="16" t="s">
        <v>6</v>
      </c>
      <c r="E449" s="16" t="s">
        <v>50</v>
      </c>
      <c r="F449" s="23">
        <v>46088</v>
      </c>
      <c r="G449" s="24">
        <v>12</v>
      </c>
      <c r="H449" s="27" t="s">
        <v>212</v>
      </c>
      <c r="I449" s="27" t="s">
        <v>212</v>
      </c>
      <c r="J449" s="76">
        <v>979324514</v>
      </c>
      <c r="K449" s="9" t="s">
        <v>460</v>
      </c>
      <c r="L449" s="58"/>
      <c r="M449" s="15" t="s">
        <v>12</v>
      </c>
    </row>
    <row r="450" spans="1:13" ht="19.149999999999999" customHeight="1" x14ac:dyDescent="0.3">
      <c r="A450" s="16" t="s">
        <v>658</v>
      </c>
      <c r="B450" s="16" t="s">
        <v>224</v>
      </c>
      <c r="C450" s="16">
        <v>1</v>
      </c>
      <c r="D450" s="16" t="s">
        <v>764</v>
      </c>
      <c r="E450" s="16" t="s">
        <v>687</v>
      </c>
      <c r="F450" s="23">
        <v>46088</v>
      </c>
      <c r="G450" s="24">
        <v>23</v>
      </c>
      <c r="H450" s="27" t="s">
        <v>212</v>
      </c>
      <c r="I450" s="27" t="s">
        <v>212</v>
      </c>
      <c r="J450" s="87"/>
    </row>
    <row r="451" spans="1:13" ht="19.149999999999999" customHeight="1" x14ac:dyDescent="0.3">
      <c r="A451" s="16" t="s">
        <v>658</v>
      </c>
      <c r="B451" s="16" t="s">
        <v>226</v>
      </c>
      <c r="C451" s="16">
        <v>1</v>
      </c>
      <c r="D451" s="16" t="s">
        <v>942</v>
      </c>
      <c r="E451" s="16" t="s">
        <v>687</v>
      </c>
      <c r="F451" s="23">
        <v>46089</v>
      </c>
      <c r="G451" s="24">
        <v>24</v>
      </c>
      <c r="H451" s="27" t="s">
        <v>144</v>
      </c>
      <c r="I451" s="16"/>
      <c r="J451" s="87"/>
    </row>
    <row r="452" spans="1:13" ht="19.149999999999999" customHeight="1" x14ac:dyDescent="0.3">
      <c r="A452" s="16">
        <v>1710644798</v>
      </c>
      <c r="B452" s="16" t="s">
        <v>229</v>
      </c>
      <c r="C452" s="16">
        <v>1</v>
      </c>
      <c r="D452" s="16" t="s">
        <v>719</v>
      </c>
      <c r="E452" s="16" t="s">
        <v>687</v>
      </c>
      <c r="F452" s="23">
        <v>46089</v>
      </c>
      <c r="G452" s="24">
        <v>10</v>
      </c>
      <c r="H452" s="16" t="s">
        <v>17</v>
      </c>
      <c r="I452" s="16"/>
      <c r="J452" s="47">
        <v>995620363</v>
      </c>
      <c r="K452" s="5" t="s">
        <v>458</v>
      </c>
      <c r="L452" s="54"/>
      <c r="M452" s="15" t="s">
        <v>12</v>
      </c>
    </row>
    <row r="453" spans="1:13" ht="19.149999999999999" customHeight="1" x14ac:dyDescent="0.3">
      <c r="A453" s="16">
        <v>1701432229</v>
      </c>
      <c r="B453" s="16" t="s">
        <v>58</v>
      </c>
      <c r="C453" s="16">
        <v>1</v>
      </c>
      <c r="D453" s="16" t="s">
        <v>764</v>
      </c>
      <c r="E453" s="16" t="s">
        <v>50</v>
      </c>
      <c r="F453" s="23">
        <v>46089</v>
      </c>
      <c r="G453" s="24">
        <v>18</v>
      </c>
      <c r="H453" s="24" t="s">
        <v>144</v>
      </c>
      <c r="I453" s="27"/>
      <c r="J453" s="47">
        <v>962842721</v>
      </c>
      <c r="K453" s="5" t="s">
        <v>1192</v>
      </c>
      <c r="L453" s="64">
        <v>46033</v>
      </c>
      <c r="M453" s="62" t="s">
        <v>12</v>
      </c>
    </row>
    <row r="454" spans="1:13" ht="19.149999999999999" customHeight="1" x14ac:dyDescent="0.3">
      <c r="A454" s="16">
        <v>1719051631</v>
      </c>
      <c r="B454" s="16" t="s">
        <v>227</v>
      </c>
      <c r="C454" s="16">
        <v>1</v>
      </c>
      <c r="D454" s="16" t="s">
        <v>53</v>
      </c>
      <c r="E454" s="16" t="s">
        <v>50</v>
      </c>
      <c r="F454" s="23">
        <v>46089</v>
      </c>
      <c r="G454" s="24">
        <v>12</v>
      </c>
      <c r="H454" s="24" t="s">
        <v>37</v>
      </c>
      <c r="I454" s="27">
        <v>91069075</v>
      </c>
      <c r="J454" s="47">
        <v>987066795</v>
      </c>
      <c r="K454" s="5" t="s">
        <v>457</v>
      </c>
      <c r="L454" s="54"/>
      <c r="M454" s="15" t="s">
        <v>12</v>
      </c>
    </row>
    <row r="455" spans="1:13" ht="19.149999999999999" customHeight="1" x14ac:dyDescent="0.3">
      <c r="A455" s="16">
        <v>1719051631</v>
      </c>
      <c r="B455" s="16" t="s">
        <v>227</v>
      </c>
      <c r="C455" s="16">
        <v>1</v>
      </c>
      <c r="D455" s="16" t="s">
        <v>228</v>
      </c>
      <c r="E455" s="16" t="s">
        <v>146</v>
      </c>
      <c r="F455" s="23">
        <v>46089</v>
      </c>
      <c r="G455" s="24">
        <v>1</v>
      </c>
      <c r="H455" s="24" t="s">
        <v>37</v>
      </c>
      <c r="I455" s="27">
        <v>91069075</v>
      </c>
      <c r="J455" s="47">
        <v>987066795</v>
      </c>
      <c r="K455" s="5" t="s">
        <v>457</v>
      </c>
      <c r="L455" s="54"/>
      <c r="M455" s="15" t="s">
        <v>12</v>
      </c>
    </row>
    <row r="456" spans="1:13" ht="19.149999999999999" customHeight="1" x14ac:dyDescent="0.3">
      <c r="A456" s="16">
        <v>1719051631</v>
      </c>
      <c r="B456" s="16" t="s">
        <v>227</v>
      </c>
      <c r="C456" s="16">
        <v>1</v>
      </c>
      <c r="D456" s="16" t="s">
        <v>28</v>
      </c>
      <c r="E456" s="16" t="s">
        <v>687</v>
      </c>
      <c r="F456" s="23">
        <v>46089</v>
      </c>
      <c r="G456" s="24">
        <v>18</v>
      </c>
      <c r="H456" s="24" t="s">
        <v>37</v>
      </c>
      <c r="I456" s="27">
        <v>91069075</v>
      </c>
      <c r="J456" s="47">
        <v>987066795</v>
      </c>
      <c r="K456" s="5" t="s">
        <v>457</v>
      </c>
      <c r="L456" s="54"/>
      <c r="M456" s="15" t="s">
        <v>12</v>
      </c>
    </row>
    <row r="457" spans="1:13" ht="19.149999999999999" customHeight="1" x14ac:dyDescent="0.3">
      <c r="A457" s="16" t="s">
        <v>658</v>
      </c>
      <c r="B457" s="16" t="s">
        <v>968</v>
      </c>
      <c r="C457" s="16">
        <v>1</v>
      </c>
      <c r="D457" s="16" t="s">
        <v>785</v>
      </c>
      <c r="E457" s="16" t="s">
        <v>50</v>
      </c>
      <c r="F457" s="23">
        <v>46090</v>
      </c>
      <c r="G457" s="24">
        <v>28</v>
      </c>
      <c r="H457" s="24" t="s">
        <v>37</v>
      </c>
      <c r="I457" s="27">
        <v>169315124</v>
      </c>
      <c r="J457" s="87"/>
    </row>
    <row r="458" spans="1:13" ht="19.149999999999999" customHeight="1" x14ac:dyDescent="0.3">
      <c r="A458" s="16" t="s">
        <v>658</v>
      </c>
      <c r="B458" s="16" t="s">
        <v>679</v>
      </c>
      <c r="C458" s="16">
        <v>1</v>
      </c>
      <c r="D458" s="16" t="s">
        <v>28</v>
      </c>
      <c r="E458" s="16" t="s">
        <v>687</v>
      </c>
      <c r="F458" s="23">
        <v>46091</v>
      </c>
      <c r="G458" s="24">
        <v>18</v>
      </c>
      <c r="H458" s="24" t="s">
        <v>37</v>
      </c>
      <c r="I458" s="27">
        <v>56458455</v>
      </c>
      <c r="J458" s="87"/>
    </row>
    <row r="459" spans="1:13" ht="19.149999999999999" customHeight="1" x14ac:dyDescent="0.3">
      <c r="A459" s="16" t="s">
        <v>658</v>
      </c>
      <c r="B459" s="16" t="s">
        <v>679</v>
      </c>
      <c r="C459" s="16">
        <v>1</v>
      </c>
      <c r="D459" s="16" t="s">
        <v>6</v>
      </c>
      <c r="E459" s="16" t="s">
        <v>50</v>
      </c>
      <c r="F459" s="23">
        <v>46091</v>
      </c>
      <c r="G459" s="24">
        <v>12</v>
      </c>
      <c r="H459" s="24" t="s">
        <v>37</v>
      </c>
      <c r="I459" s="27">
        <v>56458455</v>
      </c>
      <c r="J459" s="87"/>
    </row>
    <row r="460" spans="1:13" ht="19.149999999999999" customHeight="1" x14ac:dyDescent="0.3">
      <c r="A460" s="16" t="s">
        <v>658</v>
      </c>
      <c r="B460" s="16" t="s">
        <v>230</v>
      </c>
      <c r="C460" s="16">
        <v>1</v>
      </c>
      <c r="D460" s="16" t="s">
        <v>28</v>
      </c>
      <c r="E460" s="16" t="s">
        <v>50</v>
      </c>
      <c r="F460" s="23">
        <v>46091</v>
      </c>
      <c r="G460" s="24">
        <v>18</v>
      </c>
      <c r="H460" s="24" t="s">
        <v>37</v>
      </c>
      <c r="I460" s="27">
        <v>60088984</v>
      </c>
      <c r="J460" s="87"/>
    </row>
    <row r="461" spans="1:13" ht="19.149999999999999" customHeight="1" x14ac:dyDescent="0.3">
      <c r="A461" s="16">
        <v>1719231316</v>
      </c>
      <c r="B461" s="16" t="s">
        <v>232</v>
      </c>
      <c r="C461" s="16">
        <v>1</v>
      </c>
      <c r="D461" s="16" t="s">
        <v>233</v>
      </c>
      <c r="E461" s="16" t="s">
        <v>687</v>
      </c>
      <c r="F461" s="23">
        <v>46092</v>
      </c>
      <c r="G461" s="24">
        <v>38</v>
      </c>
      <c r="H461" s="24" t="s">
        <v>212</v>
      </c>
      <c r="I461" s="27">
        <v>157</v>
      </c>
      <c r="J461" s="76">
        <v>979324514</v>
      </c>
      <c r="K461" s="9" t="s">
        <v>460</v>
      </c>
      <c r="L461" s="58"/>
      <c r="M461" s="15" t="s">
        <v>12</v>
      </c>
    </row>
    <row r="462" spans="1:13" ht="19.149999999999999" customHeight="1" x14ac:dyDescent="0.3">
      <c r="A462" s="16">
        <v>1708380553</v>
      </c>
      <c r="B462" s="16" t="s">
        <v>234</v>
      </c>
      <c r="C462" s="16">
        <v>1</v>
      </c>
      <c r="D462" s="16" t="s">
        <v>874</v>
      </c>
      <c r="E462" s="16" t="s">
        <v>50</v>
      </c>
      <c r="F462" s="23">
        <v>46092</v>
      </c>
      <c r="G462" s="24">
        <v>32</v>
      </c>
      <c r="H462" s="24" t="s">
        <v>37</v>
      </c>
      <c r="I462" s="27">
        <v>47976611</v>
      </c>
      <c r="J462" s="76">
        <v>998386826</v>
      </c>
      <c r="K462" s="9" t="s">
        <v>461</v>
      </c>
      <c r="L462" s="58"/>
      <c r="M462" s="15" t="s">
        <v>12</v>
      </c>
    </row>
    <row r="463" spans="1:13" ht="19.149999999999999" customHeight="1" x14ac:dyDescent="0.3">
      <c r="A463" s="16">
        <v>1801685494</v>
      </c>
      <c r="B463" s="16" t="s">
        <v>1207</v>
      </c>
      <c r="C463" s="16">
        <v>1</v>
      </c>
      <c r="D463" s="16" t="s">
        <v>102</v>
      </c>
      <c r="E463" s="16" t="s">
        <v>687</v>
      </c>
      <c r="F463" s="23">
        <v>46092</v>
      </c>
      <c r="G463" s="24">
        <v>10</v>
      </c>
      <c r="H463" s="24" t="s">
        <v>17</v>
      </c>
      <c r="I463" s="27"/>
      <c r="J463" s="76">
        <v>971463417</v>
      </c>
      <c r="K463" s="9" t="s">
        <v>459</v>
      </c>
      <c r="L463" s="58"/>
      <c r="M463" s="15" t="s">
        <v>12</v>
      </c>
    </row>
    <row r="464" spans="1:13" s="21" customFormat="1" ht="19.149999999999999" customHeight="1" x14ac:dyDescent="0.3">
      <c r="A464" s="16">
        <v>1711508117</v>
      </c>
      <c r="B464" s="16" t="s">
        <v>682</v>
      </c>
      <c r="C464" s="16">
        <v>1</v>
      </c>
      <c r="D464" s="16" t="s">
        <v>909</v>
      </c>
      <c r="E464" s="16" t="s">
        <v>687</v>
      </c>
      <c r="F464" s="23">
        <v>46092</v>
      </c>
      <c r="G464" s="24">
        <v>34</v>
      </c>
      <c r="H464" s="24" t="s">
        <v>37</v>
      </c>
      <c r="I464" s="27">
        <v>58142449</v>
      </c>
      <c r="J464" s="47">
        <v>980552370</v>
      </c>
      <c r="K464" s="5" t="s">
        <v>462</v>
      </c>
      <c r="L464" s="54"/>
      <c r="M464" s="62" t="s">
        <v>12</v>
      </c>
    </row>
    <row r="465" spans="1:13" ht="19.149999999999999" customHeight="1" x14ac:dyDescent="0.3">
      <c r="A465" s="16">
        <v>1311894024</v>
      </c>
      <c r="B465" s="16" t="s">
        <v>235</v>
      </c>
      <c r="C465" s="16">
        <v>1</v>
      </c>
      <c r="D465" s="16" t="s">
        <v>813</v>
      </c>
      <c r="E465" s="16" t="s">
        <v>687</v>
      </c>
      <c r="F465" s="23">
        <v>46093</v>
      </c>
      <c r="G465" s="24">
        <v>65</v>
      </c>
      <c r="H465" s="24" t="s">
        <v>212</v>
      </c>
      <c r="I465" s="27">
        <v>159</v>
      </c>
      <c r="J465" s="47">
        <v>962708614</v>
      </c>
      <c r="K465" s="5" t="s">
        <v>1210</v>
      </c>
      <c r="L465" s="54"/>
      <c r="M465" s="15" t="s">
        <v>12</v>
      </c>
    </row>
    <row r="466" spans="1:13" ht="19.149999999999999" customHeight="1" x14ac:dyDescent="0.3">
      <c r="A466" s="16">
        <v>1723007686</v>
      </c>
      <c r="B466" s="16" t="s">
        <v>236</v>
      </c>
      <c r="C466" s="16">
        <v>1</v>
      </c>
      <c r="D466" s="16" t="s">
        <v>719</v>
      </c>
      <c r="E466" s="16" t="s">
        <v>687</v>
      </c>
      <c r="F466" s="23">
        <v>46093</v>
      </c>
      <c r="G466" s="24">
        <v>10</v>
      </c>
      <c r="H466" s="24" t="s">
        <v>40</v>
      </c>
      <c r="I466" s="27">
        <v>980004020900</v>
      </c>
      <c r="J466" s="47">
        <v>2341783</v>
      </c>
      <c r="K466" s="5" t="s">
        <v>558</v>
      </c>
      <c r="L466" s="54"/>
      <c r="M466" s="15" t="s">
        <v>12</v>
      </c>
    </row>
    <row r="467" spans="1:13" ht="19.149999999999999" customHeight="1" x14ac:dyDescent="0.3">
      <c r="A467" s="16">
        <v>1721675153</v>
      </c>
      <c r="B467" s="16" t="s">
        <v>156</v>
      </c>
      <c r="C467" s="16">
        <v>1</v>
      </c>
      <c r="D467" s="16" t="s">
        <v>28</v>
      </c>
      <c r="E467" s="16" t="s">
        <v>50</v>
      </c>
      <c r="F467" s="23">
        <v>46093</v>
      </c>
      <c r="G467" s="24">
        <v>18</v>
      </c>
      <c r="H467" s="24" t="s">
        <v>37</v>
      </c>
      <c r="I467" s="27">
        <v>55539817</v>
      </c>
      <c r="J467" s="47">
        <v>992877753</v>
      </c>
      <c r="K467" s="5" t="s">
        <v>464</v>
      </c>
      <c r="L467" s="54"/>
      <c r="M467" s="15" t="s">
        <v>12</v>
      </c>
    </row>
    <row r="468" spans="1:13" ht="19.149999999999999" customHeight="1" x14ac:dyDescent="0.3">
      <c r="A468" s="16">
        <v>1707963227</v>
      </c>
      <c r="B468" s="16" t="s">
        <v>33</v>
      </c>
      <c r="C468" s="16">
        <v>1</v>
      </c>
      <c r="D468" s="16" t="s">
        <v>28</v>
      </c>
      <c r="E468" s="16" t="s">
        <v>687</v>
      </c>
      <c r="F468" s="23">
        <v>46093</v>
      </c>
      <c r="G468" s="24">
        <v>18</v>
      </c>
      <c r="H468" s="24" t="s">
        <v>17</v>
      </c>
      <c r="I468" s="27"/>
      <c r="J468" s="47">
        <v>962842721</v>
      </c>
      <c r="K468" s="5" t="s">
        <v>399</v>
      </c>
      <c r="L468" s="64">
        <v>46242</v>
      </c>
      <c r="M468" s="62" t="s">
        <v>12</v>
      </c>
    </row>
    <row r="469" spans="1:13" ht="19.149999999999999" customHeight="1" x14ac:dyDescent="0.3">
      <c r="A469" s="16">
        <v>1716497159</v>
      </c>
      <c r="B469" s="16" t="s">
        <v>1215</v>
      </c>
      <c r="C469" s="16">
        <v>1</v>
      </c>
      <c r="D469" s="16" t="s">
        <v>102</v>
      </c>
      <c r="E469" s="16" t="s">
        <v>50</v>
      </c>
      <c r="F469" s="23">
        <v>46094</v>
      </c>
      <c r="G469" s="24">
        <v>15</v>
      </c>
      <c r="H469" s="24" t="s">
        <v>37</v>
      </c>
      <c r="I469" s="27">
        <v>62180897</v>
      </c>
      <c r="J469" s="76">
        <v>991951765</v>
      </c>
      <c r="K469" s="9" t="s">
        <v>467</v>
      </c>
      <c r="L469" s="58"/>
      <c r="M469" s="15" t="s">
        <v>12</v>
      </c>
    </row>
    <row r="470" spans="1:13" ht="19.149999999999999" customHeight="1" x14ac:dyDescent="0.3">
      <c r="A470" s="16" t="s">
        <v>658</v>
      </c>
      <c r="B470" s="16" t="s">
        <v>238</v>
      </c>
      <c r="C470" s="16">
        <v>1</v>
      </c>
      <c r="D470" s="16" t="s">
        <v>828</v>
      </c>
      <c r="E470" s="16" t="s">
        <v>687</v>
      </c>
      <c r="F470" s="23">
        <v>46094</v>
      </c>
      <c r="G470" s="24">
        <v>20</v>
      </c>
      <c r="H470" s="24" t="s">
        <v>17</v>
      </c>
      <c r="I470" s="27"/>
      <c r="J470" s="76">
        <v>989466469</v>
      </c>
      <c r="K470" s="22"/>
      <c r="L470" s="59"/>
      <c r="M470" s="15" t="s">
        <v>12</v>
      </c>
    </row>
    <row r="471" spans="1:13" ht="19.149999999999999" customHeight="1" x14ac:dyDescent="0.3">
      <c r="A471" s="16">
        <v>1722462965</v>
      </c>
      <c r="B471" s="16" t="s">
        <v>237</v>
      </c>
      <c r="C471" s="16">
        <v>1</v>
      </c>
      <c r="D471" s="16" t="s">
        <v>102</v>
      </c>
      <c r="E471" s="16" t="s">
        <v>687</v>
      </c>
      <c r="F471" s="23">
        <v>46094</v>
      </c>
      <c r="G471" s="24">
        <v>10</v>
      </c>
      <c r="H471" s="24" t="s">
        <v>18</v>
      </c>
      <c r="I471" s="27">
        <v>820460</v>
      </c>
      <c r="J471" s="76">
        <v>983566239</v>
      </c>
      <c r="K471" s="9" t="s">
        <v>465</v>
      </c>
      <c r="L471" s="58"/>
      <c r="M471" s="15" t="s">
        <v>12</v>
      </c>
    </row>
    <row r="472" spans="1:13" ht="19.149999999999999" customHeight="1" x14ac:dyDescent="0.3">
      <c r="A472" s="16">
        <v>1726529777</v>
      </c>
      <c r="B472" s="16" t="s">
        <v>1188</v>
      </c>
      <c r="C472" s="16">
        <v>1</v>
      </c>
      <c r="D472" s="16" t="s">
        <v>893</v>
      </c>
      <c r="E472" s="16" t="s">
        <v>50</v>
      </c>
      <c r="F472" s="23">
        <v>46094</v>
      </c>
      <c r="G472" s="24">
        <v>22</v>
      </c>
      <c r="H472" s="24" t="s">
        <v>37</v>
      </c>
      <c r="I472" s="27">
        <v>58436172</v>
      </c>
      <c r="J472" s="76">
        <v>983816166</v>
      </c>
      <c r="K472" s="9" t="s">
        <v>466</v>
      </c>
      <c r="L472" s="58"/>
      <c r="M472" s="15" t="s">
        <v>12</v>
      </c>
    </row>
    <row r="473" spans="1:13" ht="19.149999999999999" customHeight="1" x14ac:dyDescent="0.3">
      <c r="A473" s="16">
        <v>1721182903</v>
      </c>
      <c r="B473" s="16" t="s">
        <v>95</v>
      </c>
      <c r="C473" s="16">
        <v>1</v>
      </c>
      <c r="D473" s="16" t="s">
        <v>53</v>
      </c>
      <c r="E473" s="16" t="s">
        <v>50</v>
      </c>
      <c r="F473" s="23">
        <v>46095</v>
      </c>
      <c r="G473" s="24">
        <v>12</v>
      </c>
      <c r="H473" s="24" t="s">
        <v>212</v>
      </c>
      <c r="I473" s="27"/>
      <c r="J473" s="44">
        <v>998420775</v>
      </c>
      <c r="K473" s="4" t="s">
        <v>407</v>
      </c>
      <c r="L473" s="54"/>
      <c r="M473" s="15" t="s">
        <v>12</v>
      </c>
    </row>
    <row r="474" spans="1:13" ht="19.149999999999999" customHeight="1" x14ac:dyDescent="0.3">
      <c r="A474" s="16">
        <v>1721182903</v>
      </c>
      <c r="B474" s="16" t="s">
        <v>95</v>
      </c>
      <c r="C474" s="16">
        <v>1</v>
      </c>
      <c r="D474" s="16" t="s">
        <v>92</v>
      </c>
      <c r="E474" s="16" t="s">
        <v>687</v>
      </c>
      <c r="F474" s="23">
        <v>46095</v>
      </c>
      <c r="G474" s="24">
        <v>10</v>
      </c>
      <c r="H474" s="24" t="s">
        <v>212</v>
      </c>
      <c r="I474" s="27"/>
      <c r="J474" s="44">
        <v>998420775</v>
      </c>
      <c r="K474" s="4" t="s">
        <v>407</v>
      </c>
      <c r="L474" s="54"/>
      <c r="M474" s="15" t="s">
        <v>12</v>
      </c>
    </row>
    <row r="475" spans="1:13" ht="19.149999999999999" customHeight="1" x14ac:dyDescent="0.3">
      <c r="A475" s="16">
        <v>1721946067</v>
      </c>
      <c r="B475" s="16" t="s">
        <v>31</v>
      </c>
      <c r="C475" s="16">
        <v>1</v>
      </c>
      <c r="D475" s="16" t="s">
        <v>239</v>
      </c>
      <c r="E475" s="16" t="s">
        <v>50</v>
      </c>
      <c r="F475" s="23">
        <v>46095</v>
      </c>
      <c r="G475" s="24">
        <f>10+5</f>
        <v>15</v>
      </c>
      <c r="H475" s="24" t="s">
        <v>17</v>
      </c>
      <c r="I475" s="27"/>
      <c r="J475" s="47">
        <v>997562221</v>
      </c>
      <c r="K475" s="5" t="s">
        <v>433</v>
      </c>
      <c r="L475" s="64">
        <v>46322</v>
      </c>
      <c r="M475" s="15" t="s">
        <v>12</v>
      </c>
    </row>
    <row r="476" spans="1:13" ht="19.149999999999999" customHeight="1" x14ac:dyDescent="0.3">
      <c r="A476" s="16">
        <v>1714063292</v>
      </c>
      <c r="B476" s="16" t="s">
        <v>29</v>
      </c>
      <c r="C476" s="16">
        <v>1</v>
      </c>
      <c r="D476" s="16" t="s">
        <v>736</v>
      </c>
      <c r="E476" s="16" t="s">
        <v>687</v>
      </c>
      <c r="F476" s="23">
        <v>46095</v>
      </c>
      <c r="G476" s="24">
        <f>10+10</f>
        <v>20</v>
      </c>
      <c r="H476" s="24" t="s">
        <v>17</v>
      </c>
      <c r="I476" s="27"/>
      <c r="J476" s="47">
        <v>995674830</v>
      </c>
      <c r="K476" s="5" t="s">
        <v>430</v>
      </c>
      <c r="L476" s="54"/>
      <c r="M476" s="15" t="s">
        <v>12</v>
      </c>
    </row>
    <row r="477" spans="1:13" ht="19.149999999999999" customHeight="1" x14ac:dyDescent="0.3">
      <c r="A477" s="16">
        <v>1714063292</v>
      </c>
      <c r="B477" s="16" t="s">
        <v>29</v>
      </c>
      <c r="C477" s="16">
        <v>1</v>
      </c>
      <c r="D477" s="16" t="s">
        <v>6</v>
      </c>
      <c r="E477" s="16" t="s">
        <v>50</v>
      </c>
      <c r="F477" s="23">
        <v>46095</v>
      </c>
      <c r="G477" s="24">
        <v>12</v>
      </c>
      <c r="H477" s="24" t="s">
        <v>17</v>
      </c>
      <c r="I477" s="27"/>
      <c r="J477" s="47">
        <v>995674830</v>
      </c>
      <c r="K477" s="5" t="s">
        <v>430</v>
      </c>
      <c r="L477" s="54"/>
      <c r="M477" s="15" t="s">
        <v>12</v>
      </c>
    </row>
    <row r="478" spans="1:13" ht="19.149999999999999" customHeight="1" x14ac:dyDescent="0.3">
      <c r="A478" s="16">
        <v>1721008744</v>
      </c>
      <c r="B478" s="16" t="s">
        <v>164</v>
      </c>
      <c r="C478" s="16">
        <v>1</v>
      </c>
      <c r="D478" s="16" t="s">
        <v>28</v>
      </c>
      <c r="E478" s="16" t="s">
        <v>687</v>
      </c>
      <c r="F478" s="23">
        <v>46096</v>
      </c>
      <c r="G478" s="24">
        <v>18</v>
      </c>
      <c r="H478" s="24" t="s">
        <v>37</v>
      </c>
      <c r="I478" s="27">
        <v>69085013</v>
      </c>
      <c r="J478" s="49">
        <v>987839775</v>
      </c>
      <c r="K478" s="2" t="s">
        <v>468</v>
      </c>
      <c r="L478" s="52"/>
      <c r="M478" s="15" t="s">
        <v>12</v>
      </c>
    </row>
    <row r="479" spans="1:13" ht="19.149999999999999" customHeight="1" x14ac:dyDescent="0.3">
      <c r="A479" s="16">
        <v>1721008744</v>
      </c>
      <c r="B479" s="16" t="s">
        <v>164</v>
      </c>
      <c r="C479" s="16">
        <v>1</v>
      </c>
      <c r="D479" s="16" t="s">
        <v>756</v>
      </c>
      <c r="E479" s="16" t="s">
        <v>50</v>
      </c>
      <c r="F479" s="23">
        <v>46096</v>
      </c>
      <c r="G479" s="24">
        <v>28</v>
      </c>
      <c r="H479" s="24" t="s">
        <v>37</v>
      </c>
      <c r="I479" s="27">
        <v>69085013</v>
      </c>
      <c r="J479" s="49">
        <v>987839775</v>
      </c>
      <c r="K479" s="2" t="s">
        <v>468</v>
      </c>
      <c r="L479" s="52"/>
      <c r="M479" s="15" t="s">
        <v>12</v>
      </c>
    </row>
    <row r="480" spans="1:13" ht="19.149999999999999" customHeight="1" x14ac:dyDescent="0.3">
      <c r="A480" s="16">
        <v>1710459460</v>
      </c>
      <c r="B480" s="16" t="s">
        <v>240</v>
      </c>
      <c r="C480" s="16">
        <v>1</v>
      </c>
      <c r="D480" s="16" t="s">
        <v>757</v>
      </c>
      <c r="E480" s="16" t="s">
        <v>50</v>
      </c>
      <c r="F480" s="23">
        <v>46096</v>
      </c>
      <c r="G480" s="24">
        <f>10+8</f>
        <v>18</v>
      </c>
      <c r="H480" s="24" t="s">
        <v>37</v>
      </c>
      <c r="I480" s="27">
        <v>79233105</v>
      </c>
      <c r="J480" s="49">
        <v>991856789</v>
      </c>
      <c r="K480" s="2" t="s">
        <v>469</v>
      </c>
      <c r="L480" s="52"/>
      <c r="M480" s="15" t="s">
        <v>12</v>
      </c>
    </row>
    <row r="481" spans="1:13" ht="19.149999999999999" customHeight="1" x14ac:dyDescent="0.3">
      <c r="A481" s="16">
        <v>1717200016</v>
      </c>
      <c r="B481" s="16" t="s">
        <v>243</v>
      </c>
      <c r="C481" s="16">
        <v>1</v>
      </c>
      <c r="D481" s="16" t="s">
        <v>28</v>
      </c>
      <c r="E481" s="16" t="s">
        <v>687</v>
      </c>
      <c r="F481" s="23">
        <v>46096</v>
      </c>
      <c r="G481" s="24">
        <v>18</v>
      </c>
      <c r="H481" s="24" t="s">
        <v>37</v>
      </c>
      <c r="I481" s="27"/>
      <c r="J481" s="49">
        <v>991447583</v>
      </c>
      <c r="K481" s="2" t="s">
        <v>470</v>
      </c>
      <c r="L481" s="52"/>
      <c r="M481" s="15" t="s">
        <v>12</v>
      </c>
    </row>
    <row r="482" spans="1:13" ht="19.149999999999999" customHeight="1" x14ac:dyDescent="0.3">
      <c r="A482" s="16">
        <v>1722303417</v>
      </c>
      <c r="B482" s="16" t="s">
        <v>241</v>
      </c>
      <c r="C482" s="16">
        <v>1</v>
      </c>
      <c r="D482" s="16" t="s">
        <v>28</v>
      </c>
      <c r="E482" s="16" t="s">
        <v>50</v>
      </c>
      <c r="F482" s="23">
        <v>46096</v>
      </c>
      <c r="G482" s="24">
        <v>18</v>
      </c>
      <c r="H482" s="24" t="s">
        <v>37</v>
      </c>
      <c r="I482" s="27">
        <v>84511965</v>
      </c>
      <c r="J482" s="49">
        <v>992557827</v>
      </c>
      <c r="K482" s="52" t="s">
        <v>973</v>
      </c>
      <c r="M482" s="15" t="s">
        <v>12</v>
      </c>
    </row>
    <row r="483" spans="1:13" ht="19.149999999999999" customHeight="1" x14ac:dyDescent="0.3">
      <c r="A483" s="16">
        <v>1718245812</v>
      </c>
      <c r="B483" s="16" t="s">
        <v>99</v>
      </c>
      <c r="C483" s="16">
        <v>1</v>
      </c>
      <c r="D483" s="16" t="s">
        <v>28</v>
      </c>
      <c r="E483" s="16" t="s">
        <v>687</v>
      </c>
      <c r="F483" s="23">
        <v>46096</v>
      </c>
      <c r="G483" s="24">
        <v>18</v>
      </c>
      <c r="H483" s="24" t="s">
        <v>37</v>
      </c>
      <c r="I483" s="27"/>
      <c r="J483" s="49">
        <v>998770121</v>
      </c>
      <c r="K483" s="2" t="s">
        <v>432</v>
      </c>
      <c r="L483" s="52"/>
      <c r="M483" s="15" t="s">
        <v>12</v>
      </c>
    </row>
    <row r="484" spans="1:13" ht="19.149999999999999" customHeight="1" x14ac:dyDescent="0.3">
      <c r="A484" s="16">
        <v>1721946067</v>
      </c>
      <c r="B484" s="16" t="s">
        <v>31</v>
      </c>
      <c r="C484" s="16">
        <v>1</v>
      </c>
      <c r="D484" s="16" t="s">
        <v>242</v>
      </c>
      <c r="E484" s="16" t="s">
        <v>687</v>
      </c>
      <c r="F484" s="23">
        <v>46096</v>
      </c>
      <c r="G484" s="24">
        <v>6</v>
      </c>
      <c r="H484" s="24" t="s">
        <v>17</v>
      </c>
      <c r="I484" s="27"/>
      <c r="J484" s="47">
        <v>997562221</v>
      </c>
      <c r="K484" s="5" t="s">
        <v>433</v>
      </c>
      <c r="L484" s="64">
        <v>46322</v>
      </c>
      <c r="M484" s="15" t="s">
        <v>12</v>
      </c>
    </row>
    <row r="485" spans="1:13" ht="19.149999999999999" customHeight="1" x14ac:dyDescent="0.3">
      <c r="A485" s="16">
        <v>170795881</v>
      </c>
      <c r="B485" s="16" t="s">
        <v>219</v>
      </c>
      <c r="C485" s="16">
        <v>1</v>
      </c>
      <c r="D485" s="16" t="s">
        <v>745</v>
      </c>
      <c r="E485" s="16" t="s">
        <v>687</v>
      </c>
      <c r="F485" s="23">
        <v>46097</v>
      </c>
      <c r="G485" s="24">
        <v>23</v>
      </c>
      <c r="H485" s="24" t="s">
        <v>40</v>
      </c>
      <c r="I485" s="27">
        <v>139042228</v>
      </c>
      <c r="J485" s="75">
        <v>983501302</v>
      </c>
      <c r="K485" s="3" t="s">
        <v>452</v>
      </c>
      <c r="L485" s="53"/>
      <c r="M485" s="15" t="s">
        <v>12</v>
      </c>
    </row>
    <row r="486" spans="1:13" ht="19.149999999999999" customHeight="1" x14ac:dyDescent="0.3">
      <c r="A486" s="16" t="s">
        <v>658</v>
      </c>
      <c r="B486" s="16" t="s">
        <v>244</v>
      </c>
      <c r="C486" s="16">
        <v>1</v>
      </c>
      <c r="D486" s="16" t="s">
        <v>102</v>
      </c>
      <c r="E486" s="16" t="s">
        <v>50</v>
      </c>
      <c r="F486" s="23">
        <v>46098</v>
      </c>
      <c r="G486" s="24">
        <v>10</v>
      </c>
      <c r="H486" s="24" t="s">
        <v>270</v>
      </c>
      <c r="I486" s="27"/>
      <c r="J486" s="49">
        <v>987750025</v>
      </c>
      <c r="K486" s="18"/>
      <c r="L486" s="46"/>
      <c r="M486" s="15" t="s">
        <v>12</v>
      </c>
    </row>
    <row r="487" spans="1:13" ht="19.149999999999999" customHeight="1" x14ac:dyDescent="0.3">
      <c r="A487" s="16">
        <v>1720222817</v>
      </c>
      <c r="B487" s="16" t="s">
        <v>245</v>
      </c>
      <c r="C487" s="16">
        <v>1</v>
      </c>
      <c r="D487" s="16" t="s">
        <v>28</v>
      </c>
      <c r="E487" s="16" t="s">
        <v>50</v>
      </c>
      <c r="F487" s="23">
        <v>46099</v>
      </c>
      <c r="G487" s="24">
        <v>18</v>
      </c>
      <c r="H487" s="24" t="s">
        <v>144</v>
      </c>
      <c r="I487" s="27">
        <v>164</v>
      </c>
      <c r="J487" s="47">
        <v>998764756</v>
      </c>
      <c r="K487" s="5" t="s">
        <v>497</v>
      </c>
      <c r="L487" s="54"/>
      <c r="M487" s="15" t="s">
        <v>12</v>
      </c>
    </row>
    <row r="488" spans="1:13" ht="19.149999999999999" customHeight="1" x14ac:dyDescent="0.3">
      <c r="A488" s="16">
        <v>1724534076</v>
      </c>
      <c r="B488" s="16" t="s">
        <v>264</v>
      </c>
      <c r="C488" s="16">
        <v>1</v>
      </c>
      <c r="D488" s="16" t="s">
        <v>899</v>
      </c>
      <c r="E488" s="16" t="s">
        <v>687</v>
      </c>
      <c r="F488" s="23">
        <v>46099</v>
      </c>
      <c r="G488" s="24">
        <v>12</v>
      </c>
      <c r="H488" s="24" t="s">
        <v>270</v>
      </c>
      <c r="I488" s="27">
        <v>27437731</v>
      </c>
      <c r="J488" s="49">
        <v>981437074</v>
      </c>
      <c r="K488" s="2" t="s">
        <v>483</v>
      </c>
      <c r="L488" s="52"/>
      <c r="M488" s="15" t="s">
        <v>12</v>
      </c>
    </row>
    <row r="489" spans="1:13" ht="19.149999999999999" customHeight="1" x14ac:dyDescent="0.3">
      <c r="A489" s="16">
        <v>1708380553</v>
      </c>
      <c r="B489" s="16" t="s">
        <v>234</v>
      </c>
      <c r="C489" s="16">
        <v>1</v>
      </c>
      <c r="D489" s="16" t="s">
        <v>875</v>
      </c>
      <c r="E489" s="16" t="s">
        <v>687</v>
      </c>
      <c r="F489" s="23">
        <v>46100</v>
      </c>
      <c r="G489" s="24">
        <v>3</v>
      </c>
      <c r="H489" s="24" t="s">
        <v>17</v>
      </c>
      <c r="I489" s="27"/>
      <c r="J489" s="76">
        <v>998386826</v>
      </c>
      <c r="K489" s="9" t="s">
        <v>461</v>
      </c>
      <c r="L489" s="58"/>
      <c r="M489" s="15" t="s">
        <v>12</v>
      </c>
    </row>
    <row r="490" spans="1:13" ht="19.149999999999999" customHeight="1" x14ac:dyDescent="0.3">
      <c r="A490" s="16">
        <v>1800577700</v>
      </c>
      <c r="B490" s="16" t="s">
        <v>248</v>
      </c>
      <c r="C490" s="16">
        <v>1</v>
      </c>
      <c r="D490" s="16" t="s">
        <v>758</v>
      </c>
      <c r="E490" s="16" t="s">
        <v>687</v>
      </c>
      <c r="F490" s="23">
        <v>46100</v>
      </c>
      <c r="G490" s="24">
        <v>20</v>
      </c>
      <c r="H490" s="24" t="s">
        <v>17</v>
      </c>
      <c r="I490" s="27"/>
      <c r="J490" s="49">
        <v>999257208</v>
      </c>
      <c r="K490" s="2" t="s">
        <v>472</v>
      </c>
      <c r="L490" s="52"/>
      <c r="M490" s="15" t="s">
        <v>12</v>
      </c>
    </row>
    <row r="491" spans="1:13" ht="19.149999999999999" customHeight="1" x14ac:dyDescent="0.3">
      <c r="A491" s="16">
        <v>905189890</v>
      </c>
      <c r="B491" s="16" t="s">
        <v>246</v>
      </c>
      <c r="C491" s="16">
        <v>1</v>
      </c>
      <c r="D491" s="16" t="s">
        <v>781</v>
      </c>
      <c r="E491" s="16" t="s">
        <v>687</v>
      </c>
      <c r="F491" s="23">
        <v>46100</v>
      </c>
      <c r="G491" s="24">
        <v>20</v>
      </c>
      <c r="H491" s="24" t="s">
        <v>144</v>
      </c>
      <c r="I491" s="27">
        <v>165</v>
      </c>
      <c r="J491" s="49">
        <v>998337564</v>
      </c>
      <c r="K491" s="18"/>
      <c r="L491" s="46"/>
      <c r="M491" s="15" t="s">
        <v>12</v>
      </c>
    </row>
    <row r="492" spans="1:13" ht="19.149999999999999" customHeight="1" x14ac:dyDescent="0.3">
      <c r="A492" s="16">
        <v>1714644817</v>
      </c>
      <c r="B492" s="16" t="s">
        <v>247</v>
      </c>
      <c r="C492" s="16">
        <v>1</v>
      </c>
      <c r="D492" s="16" t="s">
        <v>910</v>
      </c>
      <c r="E492" s="16" t="s">
        <v>687</v>
      </c>
      <c r="F492" s="23">
        <v>46100</v>
      </c>
      <c r="G492" s="24">
        <v>36</v>
      </c>
      <c r="H492" s="24" t="s">
        <v>270</v>
      </c>
      <c r="I492" s="27">
        <v>47682572</v>
      </c>
      <c r="J492" s="49">
        <v>995052916</v>
      </c>
      <c r="K492" s="2" t="s">
        <v>471</v>
      </c>
      <c r="L492" s="52"/>
      <c r="M492" s="15" t="s">
        <v>12</v>
      </c>
    </row>
    <row r="493" spans="1:13" ht="19.149999999999999" customHeight="1" x14ac:dyDescent="0.3">
      <c r="A493" s="16">
        <v>1722385430</v>
      </c>
      <c r="B493" s="16" t="s">
        <v>249</v>
      </c>
      <c r="C493" s="16">
        <v>1</v>
      </c>
      <c r="D493" s="16" t="s">
        <v>848</v>
      </c>
      <c r="E493" s="16" t="s">
        <v>687</v>
      </c>
      <c r="F493" s="23">
        <v>46101</v>
      </c>
      <c r="G493" s="24">
        <v>16</v>
      </c>
      <c r="H493" s="24" t="s">
        <v>40</v>
      </c>
      <c r="I493" s="27">
        <v>5932370209</v>
      </c>
      <c r="J493" s="47">
        <v>992668117</v>
      </c>
      <c r="K493" s="5" t="s">
        <v>473</v>
      </c>
      <c r="L493" s="54"/>
      <c r="M493" s="15" t="s">
        <v>12</v>
      </c>
    </row>
    <row r="494" spans="1:13" ht="19.149999999999999" customHeight="1" x14ac:dyDescent="0.3">
      <c r="A494" s="16">
        <v>1707963227</v>
      </c>
      <c r="B494" s="16" t="s">
        <v>33</v>
      </c>
      <c r="C494" s="16">
        <v>1</v>
      </c>
      <c r="D494" s="16" t="s">
        <v>28</v>
      </c>
      <c r="E494" s="16" t="s">
        <v>687</v>
      </c>
      <c r="F494" s="23">
        <v>46101</v>
      </c>
      <c r="G494" s="24">
        <v>18</v>
      </c>
      <c r="H494" s="24" t="s">
        <v>17</v>
      </c>
      <c r="I494" s="27"/>
      <c r="J494" s="74">
        <v>962842721</v>
      </c>
      <c r="K494" s="7" t="s">
        <v>399</v>
      </c>
      <c r="L494" s="64">
        <v>46242</v>
      </c>
      <c r="M494" s="15" t="s">
        <v>12</v>
      </c>
    </row>
    <row r="495" spans="1:13" ht="19.149999999999999" customHeight="1" x14ac:dyDescent="0.3">
      <c r="A495" s="16">
        <v>1712991023</v>
      </c>
      <c r="B495" s="16" t="s">
        <v>250</v>
      </c>
      <c r="C495" s="16">
        <v>1</v>
      </c>
      <c r="D495" s="16" t="s">
        <v>893</v>
      </c>
      <c r="E495" s="16" t="s">
        <v>50</v>
      </c>
      <c r="F495" s="23">
        <v>46102</v>
      </c>
      <c r="G495" s="24">
        <f>12+10</f>
        <v>22</v>
      </c>
      <c r="H495" s="24" t="s">
        <v>17</v>
      </c>
      <c r="I495" s="27"/>
      <c r="J495" s="49">
        <v>958970192</v>
      </c>
      <c r="K495" s="2" t="s">
        <v>474</v>
      </c>
      <c r="L495" s="52"/>
      <c r="M495" s="15" t="s">
        <v>12</v>
      </c>
    </row>
    <row r="496" spans="1:13" ht="19.149999999999999" customHeight="1" x14ac:dyDescent="0.3">
      <c r="A496" s="16">
        <v>1718017302</v>
      </c>
      <c r="B496" s="16" t="s">
        <v>251</v>
      </c>
      <c r="C496" s="16">
        <v>1</v>
      </c>
      <c r="D496" s="16" t="s">
        <v>28</v>
      </c>
      <c r="E496" s="16" t="s">
        <v>687</v>
      </c>
      <c r="F496" s="23">
        <v>46103</v>
      </c>
      <c r="G496" s="24">
        <v>18</v>
      </c>
      <c r="H496" s="24" t="s">
        <v>270</v>
      </c>
      <c r="I496" s="27">
        <v>78331820</v>
      </c>
      <c r="J496" s="87">
        <v>958970192</v>
      </c>
      <c r="K496" s="12" t="s">
        <v>474</v>
      </c>
      <c r="L496" s="12"/>
      <c r="M496" s="15" t="s">
        <v>12</v>
      </c>
    </row>
    <row r="497" spans="1:13" ht="19.149999999999999" customHeight="1" x14ac:dyDescent="0.3">
      <c r="A497" s="16">
        <v>1718017302</v>
      </c>
      <c r="B497" s="16" t="s">
        <v>251</v>
      </c>
      <c r="C497" s="16">
        <v>1</v>
      </c>
      <c r="D497" s="16" t="s">
        <v>6</v>
      </c>
      <c r="E497" s="16" t="s">
        <v>50</v>
      </c>
      <c r="F497" s="23">
        <v>46103</v>
      </c>
      <c r="G497" s="24">
        <v>12</v>
      </c>
      <c r="H497" s="24" t="s">
        <v>270</v>
      </c>
      <c r="I497" s="27">
        <v>78331820</v>
      </c>
      <c r="J497" s="47">
        <v>98404356</v>
      </c>
      <c r="K497" s="5" t="s">
        <v>417</v>
      </c>
      <c r="L497" s="54"/>
      <c r="M497" s="15" t="s">
        <v>12</v>
      </c>
    </row>
    <row r="498" spans="1:13" ht="19.149999999999999" customHeight="1" x14ac:dyDescent="0.3">
      <c r="A498" s="16">
        <v>1714650379</v>
      </c>
      <c r="B498" s="16" t="s">
        <v>664</v>
      </c>
      <c r="C498" s="16">
        <v>1</v>
      </c>
      <c r="D498" s="16" t="s">
        <v>900</v>
      </c>
      <c r="E498" s="16" t="s">
        <v>50</v>
      </c>
      <c r="F498" s="23">
        <v>46104</v>
      </c>
      <c r="G498" s="24">
        <v>33</v>
      </c>
      <c r="H498" s="24" t="s">
        <v>270</v>
      </c>
      <c r="I498" s="27">
        <v>125765892</v>
      </c>
      <c r="J498" s="49">
        <v>982663163</v>
      </c>
      <c r="K498" s="2" t="s">
        <v>475</v>
      </c>
      <c r="L498" s="52"/>
      <c r="M498" s="15" t="s">
        <v>12</v>
      </c>
    </row>
    <row r="499" spans="1:13" ht="19.149999999999999" customHeight="1" x14ac:dyDescent="0.3">
      <c r="A499" s="16" t="s">
        <v>658</v>
      </c>
      <c r="B499" s="16" t="s">
        <v>252</v>
      </c>
      <c r="C499" s="16">
        <v>1</v>
      </c>
      <c r="D499" s="16" t="s">
        <v>102</v>
      </c>
      <c r="E499" s="16" t="s">
        <v>50</v>
      </c>
      <c r="F499" s="23">
        <v>46104</v>
      </c>
      <c r="G499" s="24">
        <v>10</v>
      </c>
      <c r="H499" s="24" t="s">
        <v>17</v>
      </c>
      <c r="I499" s="27"/>
      <c r="J499" s="87">
        <v>982663163</v>
      </c>
      <c r="K499" s="12" t="s">
        <v>587</v>
      </c>
      <c r="L499" s="12"/>
      <c r="M499" s="15" t="s">
        <v>12</v>
      </c>
    </row>
    <row r="500" spans="1:13" ht="19.149999999999999" customHeight="1" x14ac:dyDescent="0.3">
      <c r="A500" s="16">
        <v>1714400965</v>
      </c>
      <c r="B500" s="16" t="s">
        <v>685</v>
      </c>
      <c r="C500" s="16">
        <v>1</v>
      </c>
      <c r="D500" s="16" t="s">
        <v>943</v>
      </c>
      <c r="E500" s="16" t="s">
        <v>50</v>
      </c>
      <c r="F500" s="23">
        <v>46105</v>
      </c>
      <c r="G500" s="24">
        <v>25</v>
      </c>
      <c r="H500" s="24" t="s">
        <v>37</v>
      </c>
      <c r="I500" s="27">
        <v>53781936</v>
      </c>
      <c r="J500" s="47">
        <v>985305885</v>
      </c>
      <c r="K500" s="5" t="s">
        <v>498</v>
      </c>
      <c r="L500" s="54"/>
      <c r="M500" s="15" t="s">
        <v>12</v>
      </c>
    </row>
    <row r="501" spans="1:13" ht="19.149999999999999" customHeight="1" x14ac:dyDescent="0.3">
      <c r="A501" s="16" t="s">
        <v>658</v>
      </c>
      <c r="B501" s="16" t="s">
        <v>680</v>
      </c>
      <c r="C501" s="16">
        <v>1</v>
      </c>
      <c r="D501" s="16" t="s">
        <v>28</v>
      </c>
      <c r="E501" s="16" t="s">
        <v>687</v>
      </c>
      <c r="F501" s="23">
        <v>46105</v>
      </c>
      <c r="G501" s="24">
        <v>18</v>
      </c>
      <c r="H501" s="24" t="s">
        <v>270</v>
      </c>
      <c r="I501" s="27">
        <v>52228477</v>
      </c>
      <c r="J501" s="47">
        <v>992572884</v>
      </c>
      <c r="K501" s="16"/>
      <c r="L501" s="45"/>
      <c r="M501" s="15" t="s">
        <v>12</v>
      </c>
    </row>
    <row r="502" spans="1:13" ht="19.149999999999999" customHeight="1" x14ac:dyDescent="0.3">
      <c r="A502" s="16">
        <v>1722211792</v>
      </c>
      <c r="B502" s="16" t="s">
        <v>255</v>
      </c>
      <c r="C502" s="16">
        <v>1</v>
      </c>
      <c r="D502" s="16" t="s">
        <v>706</v>
      </c>
      <c r="E502" s="16" t="s">
        <v>50</v>
      </c>
      <c r="F502" s="23">
        <v>46106</v>
      </c>
      <c r="G502" s="24">
        <v>5</v>
      </c>
      <c r="H502" s="24" t="s">
        <v>270</v>
      </c>
      <c r="I502" s="27">
        <v>31390946</v>
      </c>
      <c r="J502" s="49">
        <v>984044040</v>
      </c>
      <c r="K502" s="2" t="s">
        <v>476</v>
      </c>
      <c r="L502" s="52"/>
      <c r="M502" s="15" t="s">
        <v>12</v>
      </c>
    </row>
    <row r="503" spans="1:13" ht="19.149999999999999" customHeight="1" x14ac:dyDescent="0.3">
      <c r="A503" s="16">
        <v>1716489586</v>
      </c>
      <c r="B503" s="16" t="s">
        <v>166</v>
      </c>
      <c r="C503" s="16">
        <v>1</v>
      </c>
      <c r="D503" s="16" t="s">
        <v>254</v>
      </c>
      <c r="E503" s="16" t="s">
        <v>687</v>
      </c>
      <c r="F503" s="23">
        <v>46106</v>
      </c>
      <c r="G503" s="24">
        <v>25</v>
      </c>
      <c r="H503" s="24" t="s">
        <v>17</v>
      </c>
      <c r="I503" s="27"/>
      <c r="J503" s="49">
        <v>986330466</v>
      </c>
      <c r="K503" s="2" t="s">
        <v>429</v>
      </c>
      <c r="L503" s="52"/>
      <c r="M503" s="15" t="s">
        <v>12</v>
      </c>
    </row>
    <row r="504" spans="1:13" ht="19.149999999999999" customHeight="1" x14ac:dyDescent="0.3">
      <c r="A504" s="16">
        <v>1718764119</v>
      </c>
      <c r="B504" s="16" t="s">
        <v>1212</v>
      </c>
      <c r="C504" s="16">
        <v>1</v>
      </c>
      <c r="D504" s="16" t="s">
        <v>893</v>
      </c>
      <c r="E504" s="16" t="s">
        <v>687</v>
      </c>
      <c r="F504" s="23">
        <v>46106</v>
      </c>
      <c r="G504" s="24">
        <v>24</v>
      </c>
      <c r="H504" s="24" t="s">
        <v>270</v>
      </c>
      <c r="I504" s="27">
        <v>47468455</v>
      </c>
      <c r="J504" s="75">
        <v>999380328</v>
      </c>
      <c r="K504" s="3" t="s">
        <v>400</v>
      </c>
      <c r="L504" s="53"/>
      <c r="M504" s="15" t="s">
        <v>12</v>
      </c>
    </row>
    <row r="505" spans="1:13" ht="19.149999999999999" customHeight="1" x14ac:dyDescent="0.3">
      <c r="A505" s="16" t="s">
        <v>658</v>
      </c>
      <c r="B505" s="16" t="s">
        <v>256</v>
      </c>
      <c r="C505" s="16">
        <v>1</v>
      </c>
      <c r="D505" s="16" t="s">
        <v>52</v>
      </c>
      <c r="E505" s="16" t="s">
        <v>50</v>
      </c>
      <c r="F505" s="23">
        <v>46106</v>
      </c>
      <c r="G505" s="24">
        <v>19</v>
      </c>
      <c r="H505" s="24" t="s">
        <v>270</v>
      </c>
      <c r="I505" s="27">
        <v>54712115</v>
      </c>
      <c r="J505" s="87"/>
    </row>
    <row r="506" spans="1:13" ht="19.149999999999999" customHeight="1" x14ac:dyDescent="0.3">
      <c r="A506" s="16" t="s">
        <v>658</v>
      </c>
      <c r="B506" s="16" t="s">
        <v>673</v>
      </c>
      <c r="C506" s="16">
        <v>1</v>
      </c>
      <c r="D506" s="16" t="s">
        <v>893</v>
      </c>
      <c r="E506" s="16" t="s">
        <v>50</v>
      </c>
      <c r="F506" s="23">
        <v>46106</v>
      </c>
      <c r="G506" s="24">
        <v>18</v>
      </c>
      <c r="H506" s="24" t="s">
        <v>270</v>
      </c>
      <c r="I506" s="27">
        <v>47468455</v>
      </c>
      <c r="J506" s="87"/>
    </row>
    <row r="507" spans="1:13" ht="19.149999999999999" customHeight="1" x14ac:dyDescent="0.3">
      <c r="A507" s="16" t="s">
        <v>658</v>
      </c>
      <c r="B507" s="16" t="s">
        <v>149</v>
      </c>
      <c r="C507" s="16">
        <v>1</v>
      </c>
      <c r="D507" s="16" t="s">
        <v>782</v>
      </c>
      <c r="E507" s="16" t="s">
        <v>50</v>
      </c>
      <c r="F507" s="23">
        <v>46107</v>
      </c>
      <c r="G507" s="24">
        <v>30</v>
      </c>
      <c r="H507" s="24" t="s">
        <v>270</v>
      </c>
      <c r="I507" s="27">
        <v>48173299</v>
      </c>
      <c r="J507" s="47">
        <v>999268768</v>
      </c>
      <c r="K507" s="5" t="s">
        <v>423</v>
      </c>
      <c r="L507" s="54"/>
      <c r="M507" s="15" t="s">
        <v>12</v>
      </c>
    </row>
    <row r="508" spans="1:13" ht="19.149999999999999" customHeight="1" x14ac:dyDescent="0.3">
      <c r="A508" s="16">
        <v>103837001</v>
      </c>
      <c r="B508" s="16" t="s">
        <v>257</v>
      </c>
      <c r="C508" s="16">
        <v>1</v>
      </c>
      <c r="D508" s="16" t="s">
        <v>258</v>
      </c>
      <c r="E508" s="16" t="s">
        <v>687</v>
      </c>
      <c r="F508" s="23">
        <v>46107</v>
      </c>
      <c r="G508" s="24">
        <v>25</v>
      </c>
      <c r="H508" s="24" t="s">
        <v>144</v>
      </c>
      <c r="I508" s="27">
        <v>167</v>
      </c>
      <c r="J508" s="47">
        <v>998042155</v>
      </c>
      <c r="K508" s="5" t="s">
        <v>477</v>
      </c>
      <c r="L508" s="54"/>
      <c r="M508" s="15" t="s">
        <v>12</v>
      </c>
    </row>
    <row r="509" spans="1:13" ht="19.149999999999999" customHeight="1" x14ac:dyDescent="0.3">
      <c r="A509" s="16">
        <v>1704073939</v>
      </c>
      <c r="B509" s="16" t="s">
        <v>956</v>
      </c>
      <c r="C509" s="16">
        <v>1</v>
      </c>
      <c r="D509" s="16" t="s">
        <v>849</v>
      </c>
      <c r="E509" s="16" t="s">
        <v>687</v>
      </c>
      <c r="F509" s="23">
        <v>46108</v>
      </c>
      <c r="G509" s="24">
        <v>18</v>
      </c>
      <c r="H509" s="24" t="s">
        <v>17</v>
      </c>
      <c r="I509" s="27"/>
      <c r="J509" s="49">
        <v>960717026</v>
      </c>
      <c r="K509" s="2" t="s">
        <v>478</v>
      </c>
      <c r="L509" s="52"/>
      <c r="M509" s="15" t="s">
        <v>12</v>
      </c>
    </row>
    <row r="510" spans="1:13" ht="19.149999999999999" customHeight="1" x14ac:dyDescent="0.3">
      <c r="A510" s="16">
        <v>1724477300</v>
      </c>
      <c r="B510" s="16" t="s">
        <v>259</v>
      </c>
      <c r="C510" s="16">
        <v>1</v>
      </c>
      <c r="D510" s="16" t="s">
        <v>689</v>
      </c>
      <c r="E510" s="16" t="s">
        <v>50</v>
      </c>
      <c r="F510" s="23">
        <v>46108</v>
      </c>
      <c r="G510" s="24">
        <v>12.5</v>
      </c>
      <c r="H510" s="24" t="s">
        <v>270</v>
      </c>
      <c r="I510" s="27">
        <v>57040911</v>
      </c>
      <c r="J510" s="49">
        <v>985595618</v>
      </c>
      <c r="K510" s="2" t="s">
        <v>480</v>
      </c>
      <c r="L510" s="52"/>
      <c r="M510" s="15" t="s">
        <v>12</v>
      </c>
    </row>
    <row r="511" spans="1:13" ht="19.149999999999999" customHeight="1" x14ac:dyDescent="0.3">
      <c r="A511" s="16">
        <v>1713441408</v>
      </c>
      <c r="B511" s="16" t="s">
        <v>179</v>
      </c>
      <c r="C511" s="16">
        <v>1</v>
      </c>
      <c r="D511" s="16" t="s">
        <v>53</v>
      </c>
      <c r="E511" s="16" t="s">
        <v>687</v>
      </c>
      <c r="F511" s="23">
        <v>46108</v>
      </c>
      <c r="G511" s="24">
        <v>28</v>
      </c>
      <c r="H511" s="24" t="s">
        <v>270</v>
      </c>
      <c r="I511" s="27">
        <v>61112851</v>
      </c>
      <c r="J511" s="49">
        <v>995026048</v>
      </c>
      <c r="K511" s="2" t="s">
        <v>437</v>
      </c>
      <c r="L511" s="52"/>
      <c r="M511" s="15" t="s">
        <v>12</v>
      </c>
    </row>
    <row r="512" spans="1:13" ht="19.149999999999999" customHeight="1" x14ac:dyDescent="0.3">
      <c r="A512" s="16">
        <v>1723292700</v>
      </c>
      <c r="B512" s="16" t="s">
        <v>84</v>
      </c>
      <c r="C512" s="16">
        <v>1</v>
      </c>
      <c r="D512" s="16" t="s">
        <v>28</v>
      </c>
      <c r="E512" s="16" t="s">
        <v>50</v>
      </c>
      <c r="F512" s="23">
        <v>46108</v>
      </c>
      <c r="G512" s="24">
        <v>18</v>
      </c>
      <c r="H512" s="24" t="s">
        <v>18</v>
      </c>
      <c r="I512" s="27"/>
      <c r="J512" s="49">
        <v>981412864</v>
      </c>
      <c r="K512" s="2" t="s">
        <v>479</v>
      </c>
      <c r="L512" s="52"/>
      <c r="M512" s="15" t="s">
        <v>12</v>
      </c>
    </row>
    <row r="513" spans="1:13" ht="19.149999999999999" customHeight="1" x14ac:dyDescent="0.3">
      <c r="A513" s="16">
        <v>105334452</v>
      </c>
      <c r="B513" s="16" t="s">
        <v>11</v>
      </c>
      <c r="C513" s="16">
        <v>1</v>
      </c>
      <c r="D513" s="16" t="s">
        <v>783</v>
      </c>
      <c r="E513" s="16" t="s">
        <v>687</v>
      </c>
      <c r="F513" s="23">
        <v>46109</v>
      </c>
      <c r="G513" s="24">
        <f>18+10</f>
        <v>28</v>
      </c>
      <c r="H513" s="24" t="s">
        <v>37</v>
      </c>
      <c r="I513" s="27"/>
      <c r="J513" s="87"/>
      <c r="K513" s="5" t="s">
        <v>481</v>
      </c>
    </row>
    <row r="514" spans="1:13" ht="19.149999999999999" customHeight="1" x14ac:dyDescent="0.3">
      <c r="A514" s="16">
        <v>1701432229</v>
      </c>
      <c r="B514" s="16" t="s">
        <v>58</v>
      </c>
      <c r="C514" s="16">
        <v>1</v>
      </c>
      <c r="D514" s="16" t="s">
        <v>28</v>
      </c>
      <c r="E514" s="16" t="s">
        <v>50</v>
      </c>
      <c r="F514" s="23">
        <v>46109</v>
      </c>
      <c r="G514" s="24">
        <v>18</v>
      </c>
      <c r="H514" s="24" t="s">
        <v>17</v>
      </c>
      <c r="I514" s="27"/>
      <c r="J514" s="47">
        <v>962842721</v>
      </c>
      <c r="K514" s="5" t="s">
        <v>1192</v>
      </c>
      <c r="L514" s="64">
        <v>46033</v>
      </c>
      <c r="M514" s="62" t="s">
        <v>12</v>
      </c>
    </row>
    <row r="515" spans="1:13" ht="19.149999999999999" customHeight="1" x14ac:dyDescent="0.3">
      <c r="A515" s="16">
        <v>1717177966</v>
      </c>
      <c r="B515" s="16" t="s">
        <v>60</v>
      </c>
      <c r="C515" s="16">
        <v>1</v>
      </c>
      <c r="D515" s="16" t="s">
        <v>894</v>
      </c>
      <c r="E515" s="16" t="s">
        <v>50</v>
      </c>
      <c r="F515" s="23">
        <v>46109</v>
      </c>
      <c r="G515" s="24">
        <v>30</v>
      </c>
      <c r="H515" s="24" t="s">
        <v>18</v>
      </c>
      <c r="I515" s="27">
        <v>826854020900</v>
      </c>
      <c r="J515" s="47">
        <v>987830893</v>
      </c>
      <c r="K515" s="5" t="s">
        <v>553</v>
      </c>
      <c r="L515" s="54"/>
      <c r="M515" s="15" t="s">
        <v>12</v>
      </c>
    </row>
    <row r="516" spans="1:13" ht="19.149999999999999" customHeight="1" x14ac:dyDescent="0.3">
      <c r="A516" s="16">
        <v>1722633169</v>
      </c>
      <c r="B516" s="16" t="s">
        <v>260</v>
      </c>
      <c r="C516" s="16">
        <v>1</v>
      </c>
      <c r="D516" s="16" t="s">
        <v>5</v>
      </c>
      <c r="E516" s="16" t="s">
        <v>687</v>
      </c>
      <c r="F516" s="23">
        <v>46109</v>
      </c>
      <c r="G516" s="24">
        <v>20</v>
      </c>
      <c r="H516" s="24" t="s">
        <v>37</v>
      </c>
      <c r="I516" s="27">
        <v>41421193</v>
      </c>
      <c r="J516" s="47">
        <v>990336960</v>
      </c>
      <c r="K516" s="5" t="s">
        <v>482</v>
      </c>
      <c r="L516" s="54"/>
      <c r="M516" s="15" t="s">
        <v>12</v>
      </c>
    </row>
    <row r="517" spans="1:13" ht="19.149999999999999" customHeight="1" x14ac:dyDescent="0.3">
      <c r="A517" s="16">
        <v>1721946067</v>
      </c>
      <c r="B517" s="16" t="s">
        <v>31</v>
      </c>
      <c r="C517" s="16">
        <v>1</v>
      </c>
      <c r="D517" s="16" t="s">
        <v>850</v>
      </c>
      <c r="E517" s="16" t="s">
        <v>687</v>
      </c>
      <c r="F517" s="23">
        <v>46109</v>
      </c>
      <c r="G517" s="24">
        <v>21</v>
      </c>
      <c r="H517" s="24" t="s">
        <v>17</v>
      </c>
      <c r="I517" s="27"/>
      <c r="J517" s="47">
        <v>997562221</v>
      </c>
      <c r="K517" s="5" t="s">
        <v>433</v>
      </c>
      <c r="L517" s="64">
        <v>46322</v>
      </c>
      <c r="M517" s="15" t="s">
        <v>12</v>
      </c>
    </row>
    <row r="518" spans="1:13" ht="19.149999999999999" customHeight="1" x14ac:dyDescent="0.3">
      <c r="A518" s="16">
        <v>1721946067</v>
      </c>
      <c r="B518" s="16" t="s">
        <v>31</v>
      </c>
      <c r="C518" s="16">
        <v>1</v>
      </c>
      <c r="D518" s="16" t="s">
        <v>784</v>
      </c>
      <c r="E518" s="16" t="s">
        <v>50</v>
      </c>
      <c r="F518" s="23">
        <v>46109</v>
      </c>
      <c r="G518" s="24">
        <v>20</v>
      </c>
      <c r="H518" s="24" t="s">
        <v>17</v>
      </c>
      <c r="I518" s="27"/>
      <c r="J518" s="47">
        <v>997562221</v>
      </c>
      <c r="K518" s="5" t="s">
        <v>433</v>
      </c>
      <c r="L518" s="64">
        <v>46322</v>
      </c>
      <c r="M518" s="15" t="s">
        <v>12</v>
      </c>
    </row>
    <row r="519" spans="1:13" ht="19.149999999999999" customHeight="1" x14ac:dyDescent="0.3">
      <c r="A519" s="16" t="s">
        <v>658</v>
      </c>
      <c r="B519" s="16" t="s">
        <v>1206</v>
      </c>
      <c r="C519" s="16">
        <v>1</v>
      </c>
      <c r="D519" s="16" t="s">
        <v>102</v>
      </c>
      <c r="E519" s="16" t="s">
        <v>50</v>
      </c>
      <c r="F519" s="23">
        <v>46110</v>
      </c>
      <c r="G519" s="24">
        <v>10</v>
      </c>
      <c r="H519" s="24" t="s">
        <v>144</v>
      </c>
      <c r="I519" s="27"/>
      <c r="J519" s="87"/>
    </row>
    <row r="520" spans="1:13" ht="19.149999999999999" customHeight="1" x14ac:dyDescent="0.3">
      <c r="A520" s="16">
        <v>1722115738</v>
      </c>
      <c r="B520" s="16" t="s">
        <v>210</v>
      </c>
      <c r="C520" s="16">
        <v>1</v>
      </c>
      <c r="D520" s="16" t="s">
        <v>938</v>
      </c>
      <c r="E520" s="16" t="s">
        <v>50</v>
      </c>
      <c r="F520" s="23">
        <v>46110</v>
      </c>
      <c r="G520" s="24">
        <v>10</v>
      </c>
      <c r="H520" s="24" t="s">
        <v>37</v>
      </c>
      <c r="I520" s="27">
        <v>67567340</v>
      </c>
      <c r="J520" s="47">
        <v>984919299</v>
      </c>
      <c r="K520" s="5" t="s">
        <v>516</v>
      </c>
      <c r="L520" s="54"/>
      <c r="M520" s="15" t="s">
        <v>12</v>
      </c>
    </row>
    <row r="521" spans="1:13" ht="19.149999999999999" customHeight="1" x14ac:dyDescent="0.3">
      <c r="A521" s="16">
        <v>1722115738</v>
      </c>
      <c r="B521" s="16" t="s">
        <v>210</v>
      </c>
      <c r="C521" s="16">
        <v>1</v>
      </c>
      <c r="D521" s="16" t="s">
        <v>6</v>
      </c>
      <c r="E521" s="16" t="s">
        <v>687</v>
      </c>
      <c r="F521" s="23">
        <v>46110</v>
      </c>
      <c r="G521" s="24">
        <v>12</v>
      </c>
      <c r="H521" s="24" t="s">
        <v>37</v>
      </c>
      <c r="I521" s="27">
        <v>67567340</v>
      </c>
      <c r="J521" s="47">
        <v>984919299</v>
      </c>
      <c r="K521" s="5" t="s">
        <v>516</v>
      </c>
      <c r="L521" s="54"/>
      <c r="M521" s="15" t="s">
        <v>12</v>
      </c>
    </row>
    <row r="522" spans="1:13" ht="19.149999999999999" customHeight="1" x14ac:dyDescent="0.3">
      <c r="A522" s="16">
        <v>1723645212</v>
      </c>
      <c r="B522" s="16" t="s">
        <v>63</v>
      </c>
      <c r="C522" s="16">
        <v>1</v>
      </c>
      <c r="D522" s="16" t="s">
        <v>851</v>
      </c>
      <c r="E522" s="16" t="s">
        <v>687</v>
      </c>
      <c r="F522" s="23">
        <v>46110</v>
      </c>
      <c r="G522" s="24">
        <v>10</v>
      </c>
      <c r="H522" s="24" t="s">
        <v>144</v>
      </c>
      <c r="I522" s="27"/>
      <c r="J522" s="87">
        <v>995490435</v>
      </c>
      <c r="K522" s="12" t="s">
        <v>980</v>
      </c>
      <c r="L522" s="68">
        <v>46177</v>
      </c>
    </row>
    <row r="523" spans="1:13" ht="19.149999999999999" customHeight="1" x14ac:dyDescent="0.3">
      <c r="A523" s="16" t="s">
        <v>658</v>
      </c>
      <c r="B523" s="16" t="s">
        <v>261</v>
      </c>
      <c r="C523" s="16">
        <v>1</v>
      </c>
      <c r="D523" s="16" t="s">
        <v>102</v>
      </c>
      <c r="E523" s="16" t="s">
        <v>687</v>
      </c>
      <c r="F523" s="23">
        <v>46110</v>
      </c>
      <c r="G523" s="24">
        <v>10</v>
      </c>
      <c r="H523" s="24" t="s">
        <v>37</v>
      </c>
      <c r="I523" s="27"/>
      <c r="J523" s="87"/>
    </row>
    <row r="524" spans="1:13" ht="19.149999999999999" customHeight="1" x14ac:dyDescent="0.3">
      <c r="A524" s="16">
        <v>1714063292</v>
      </c>
      <c r="B524" s="16" t="s">
        <v>29</v>
      </c>
      <c r="C524" s="16">
        <v>1</v>
      </c>
      <c r="D524" s="16" t="s">
        <v>102</v>
      </c>
      <c r="E524" s="16" t="s">
        <v>50</v>
      </c>
      <c r="F524" s="23">
        <v>46110</v>
      </c>
      <c r="G524" s="24">
        <v>10</v>
      </c>
      <c r="H524" s="24" t="s">
        <v>17</v>
      </c>
      <c r="I524" s="27"/>
      <c r="J524" s="47">
        <v>995674830</v>
      </c>
      <c r="K524" s="5" t="s">
        <v>430</v>
      </c>
      <c r="L524" s="54"/>
      <c r="M524" s="15" t="s">
        <v>12</v>
      </c>
    </row>
    <row r="525" spans="1:13" ht="19.149999999999999" customHeight="1" x14ac:dyDescent="0.3">
      <c r="A525" s="16">
        <v>1707963227</v>
      </c>
      <c r="B525" s="16" t="s">
        <v>33</v>
      </c>
      <c r="C525" s="16">
        <v>1</v>
      </c>
      <c r="D525" s="16" t="s">
        <v>262</v>
      </c>
      <c r="E525" s="16" t="s">
        <v>50</v>
      </c>
      <c r="F525" s="23">
        <v>46111</v>
      </c>
      <c r="G525" s="24">
        <v>2</v>
      </c>
      <c r="H525" s="24" t="s">
        <v>270</v>
      </c>
      <c r="I525" s="27">
        <v>124046078</v>
      </c>
      <c r="J525" s="47">
        <v>962842721</v>
      </c>
      <c r="K525" s="5" t="s">
        <v>399</v>
      </c>
      <c r="L525" s="64">
        <v>46242</v>
      </c>
      <c r="M525" s="62" t="s">
        <v>12</v>
      </c>
    </row>
    <row r="526" spans="1:13" ht="19.149999999999999" customHeight="1" x14ac:dyDescent="0.3">
      <c r="A526" s="16">
        <v>1725206369</v>
      </c>
      <c r="B526" s="16" t="s">
        <v>1045</v>
      </c>
      <c r="C526" s="16">
        <v>1</v>
      </c>
      <c r="D526" s="16" t="s">
        <v>28</v>
      </c>
      <c r="E526" s="16" t="s">
        <v>50</v>
      </c>
      <c r="F526" s="23">
        <v>46112</v>
      </c>
      <c r="G526" s="24">
        <v>18</v>
      </c>
      <c r="H526" s="24" t="s">
        <v>270</v>
      </c>
      <c r="I526" s="27">
        <v>50133235</v>
      </c>
      <c r="J526" s="47">
        <v>992433299</v>
      </c>
      <c r="K526" s="5" t="s">
        <v>489</v>
      </c>
      <c r="L526" s="54"/>
      <c r="M526" s="15" t="s">
        <v>12</v>
      </c>
    </row>
    <row r="527" spans="1:13" ht="19.149999999999999" customHeight="1" x14ac:dyDescent="0.3">
      <c r="A527" s="16">
        <v>17081205579</v>
      </c>
      <c r="B527" s="16" t="s">
        <v>266</v>
      </c>
      <c r="C527" s="16">
        <v>1</v>
      </c>
      <c r="D527" s="16" t="s">
        <v>102</v>
      </c>
      <c r="E527" s="16" t="s">
        <v>50</v>
      </c>
      <c r="F527" s="23">
        <v>46112</v>
      </c>
      <c r="G527" s="24">
        <v>10</v>
      </c>
      <c r="H527" s="24" t="s">
        <v>270</v>
      </c>
      <c r="I527" s="27">
        <v>52326827</v>
      </c>
      <c r="J527" s="49">
        <v>999915955</v>
      </c>
      <c r="K527" s="2" t="s">
        <v>485</v>
      </c>
      <c r="L527" s="52"/>
      <c r="M527" s="15" t="s">
        <v>12</v>
      </c>
    </row>
    <row r="528" spans="1:13" ht="19.149999999999999" customHeight="1" x14ac:dyDescent="0.3">
      <c r="A528" s="16">
        <v>179952289</v>
      </c>
      <c r="B528" s="16" t="s">
        <v>1198</v>
      </c>
      <c r="C528" s="16">
        <v>1</v>
      </c>
      <c r="D528" s="16" t="s">
        <v>829</v>
      </c>
      <c r="E528" s="16" t="s">
        <v>50</v>
      </c>
      <c r="F528" s="23">
        <v>46112</v>
      </c>
      <c r="G528" s="24">
        <v>10</v>
      </c>
      <c r="H528" s="24" t="s">
        <v>144</v>
      </c>
      <c r="I528" s="27">
        <v>172</v>
      </c>
      <c r="J528" s="87">
        <v>973943694</v>
      </c>
      <c r="K528" s="12" t="s">
        <v>1199</v>
      </c>
      <c r="L528" s="12"/>
      <c r="M528" s="15" t="s">
        <v>12</v>
      </c>
    </row>
    <row r="529" spans="1:13" ht="19.149999999999999" customHeight="1" x14ac:dyDescent="0.3">
      <c r="A529" s="16">
        <v>179952289</v>
      </c>
      <c r="B529" s="16" t="s">
        <v>1198</v>
      </c>
      <c r="C529" s="16">
        <v>1</v>
      </c>
      <c r="D529" s="16" t="s">
        <v>263</v>
      </c>
      <c r="E529" s="16" t="s">
        <v>152</v>
      </c>
      <c r="F529" s="23">
        <v>46112</v>
      </c>
      <c r="G529" s="24">
        <v>18</v>
      </c>
      <c r="H529" s="24" t="s">
        <v>144</v>
      </c>
      <c r="I529" s="27">
        <v>172</v>
      </c>
      <c r="J529" s="87">
        <v>973943694</v>
      </c>
      <c r="K529" s="12" t="s">
        <v>1199</v>
      </c>
      <c r="L529" s="12"/>
      <c r="M529" s="15" t="s">
        <v>12</v>
      </c>
    </row>
    <row r="530" spans="1:13" ht="19.149999999999999" customHeight="1" x14ac:dyDescent="0.3">
      <c r="A530" s="16">
        <v>1718530866</v>
      </c>
      <c r="B530" s="16" t="s">
        <v>681</v>
      </c>
      <c r="C530" s="16">
        <v>1</v>
      </c>
      <c r="D530" s="16" t="s">
        <v>102</v>
      </c>
      <c r="E530" s="16" t="s">
        <v>50</v>
      </c>
      <c r="F530" s="23">
        <v>46112</v>
      </c>
      <c r="G530" s="24">
        <v>10</v>
      </c>
      <c r="H530" s="24" t="s">
        <v>270</v>
      </c>
      <c r="I530" s="27">
        <v>52326827</v>
      </c>
      <c r="J530" s="49">
        <v>993005801</v>
      </c>
      <c r="K530" s="2" t="s">
        <v>484</v>
      </c>
      <c r="L530" s="52"/>
      <c r="M530" s="15" t="s">
        <v>12</v>
      </c>
    </row>
    <row r="531" spans="1:13" ht="19.149999999999999" customHeight="1" x14ac:dyDescent="0.3">
      <c r="A531" s="16">
        <v>1753632828</v>
      </c>
      <c r="B531" s="16" t="s">
        <v>267</v>
      </c>
      <c r="C531" s="16">
        <v>1</v>
      </c>
      <c r="D531" s="16" t="s">
        <v>924</v>
      </c>
      <c r="E531" s="16" t="s">
        <v>687</v>
      </c>
      <c r="F531" s="23">
        <v>46112</v>
      </c>
      <c r="G531" s="24">
        <v>47</v>
      </c>
      <c r="H531" s="24" t="s">
        <v>270</v>
      </c>
      <c r="I531" s="27">
        <v>61484048</v>
      </c>
      <c r="J531" s="49">
        <v>983900698</v>
      </c>
      <c r="K531" s="2" t="s">
        <v>486</v>
      </c>
      <c r="L531" s="52"/>
      <c r="M531" s="15" t="s">
        <v>12</v>
      </c>
    </row>
    <row r="532" spans="1:13" ht="19.149999999999999" customHeight="1" x14ac:dyDescent="0.3">
      <c r="A532" s="16">
        <v>1724534076</v>
      </c>
      <c r="B532" s="16" t="s">
        <v>264</v>
      </c>
      <c r="C532" s="16">
        <v>1</v>
      </c>
      <c r="D532" s="16" t="s">
        <v>265</v>
      </c>
      <c r="E532" s="16" t="s">
        <v>687</v>
      </c>
      <c r="F532" s="23">
        <v>46112</v>
      </c>
      <c r="G532" s="24">
        <v>25</v>
      </c>
      <c r="H532" s="24" t="s">
        <v>40</v>
      </c>
      <c r="I532" s="27">
        <v>22402129</v>
      </c>
      <c r="J532" s="49">
        <v>981437074</v>
      </c>
      <c r="K532" s="2" t="s">
        <v>483</v>
      </c>
      <c r="L532" s="52"/>
      <c r="M532" s="15" t="s">
        <v>12</v>
      </c>
    </row>
    <row r="533" spans="1:13" ht="19.149999999999999" customHeight="1" x14ac:dyDescent="0.3">
      <c r="A533" s="16">
        <v>1711306199</v>
      </c>
      <c r="B533" s="16" t="s">
        <v>336</v>
      </c>
      <c r="C533" s="16">
        <v>1</v>
      </c>
      <c r="D533" s="16" t="s">
        <v>6</v>
      </c>
      <c r="E533" s="16" t="s">
        <v>50</v>
      </c>
      <c r="F533" s="23">
        <v>46113</v>
      </c>
      <c r="G533" s="28">
        <v>12</v>
      </c>
      <c r="H533" s="28" t="s">
        <v>270</v>
      </c>
      <c r="I533" s="26">
        <v>69822933</v>
      </c>
      <c r="J533" s="47">
        <v>998135335</v>
      </c>
      <c r="K533" s="5" t="s">
        <v>545</v>
      </c>
      <c r="L533" s="54"/>
      <c r="M533" s="15" t="s">
        <v>12</v>
      </c>
    </row>
    <row r="534" spans="1:13" ht="19.149999999999999" customHeight="1" x14ac:dyDescent="0.3">
      <c r="A534" s="16">
        <v>1711508117</v>
      </c>
      <c r="B534" s="16" t="s">
        <v>682</v>
      </c>
      <c r="C534" s="16">
        <v>1</v>
      </c>
      <c r="D534" s="16" t="s">
        <v>746</v>
      </c>
      <c r="E534" s="16" t="s">
        <v>687</v>
      </c>
      <c r="F534" s="23">
        <v>46113</v>
      </c>
      <c r="G534" s="28">
        <v>37</v>
      </c>
      <c r="H534" s="28" t="s">
        <v>270</v>
      </c>
      <c r="I534" s="26">
        <v>69822933</v>
      </c>
      <c r="J534" s="76">
        <v>980552370</v>
      </c>
      <c r="K534" s="9" t="s">
        <v>462</v>
      </c>
      <c r="L534" s="58"/>
      <c r="M534" s="15" t="s">
        <v>12</v>
      </c>
    </row>
    <row r="535" spans="1:13" ht="19.149999999999999" customHeight="1" x14ac:dyDescent="0.3">
      <c r="A535" s="16">
        <v>1721675153</v>
      </c>
      <c r="B535" s="16" t="s">
        <v>156</v>
      </c>
      <c r="C535" s="16">
        <v>1</v>
      </c>
      <c r="D535" s="16" t="s">
        <v>28</v>
      </c>
      <c r="E535" s="16" t="s">
        <v>50</v>
      </c>
      <c r="F535" s="23">
        <v>46113</v>
      </c>
      <c r="G535" s="28">
        <v>18</v>
      </c>
      <c r="H535" s="24" t="s">
        <v>17</v>
      </c>
      <c r="I535" s="27"/>
      <c r="J535" s="47">
        <v>992877753</v>
      </c>
      <c r="K535" s="5" t="s">
        <v>464</v>
      </c>
      <c r="L535" s="54"/>
      <c r="M535" s="15" t="s">
        <v>12</v>
      </c>
    </row>
    <row r="536" spans="1:13" ht="19.149999999999999" customHeight="1" x14ac:dyDescent="0.3">
      <c r="A536" s="16">
        <v>1716270929</v>
      </c>
      <c r="B536" s="16" t="s">
        <v>965</v>
      </c>
      <c r="C536" s="16">
        <v>1</v>
      </c>
      <c r="D536" s="16" t="s">
        <v>6</v>
      </c>
      <c r="E536" s="16" t="s">
        <v>50</v>
      </c>
      <c r="F536" s="23">
        <v>46114</v>
      </c>
      <c r="G536" s="28">
        <v>12</v>
      </c>
      <c r="H536" s="28" t="s">
        <v>144</v>
      </c>
      <c r="I536" s="26">
        <v>175</v>
      </c>
      <c r="J536" s="79">
        <v>984913319</v>
      </c>
      <c r="K536" s="11" t="s">
        <v>487</v>
      </c>
      <c r="L536" s="60"/>
      <c r="M536" s="15" t="s">
        <v>12</v>
      </c>
    </row>
    <row r="537" spans="1:13" ht="19.149999999999999" customHeight="1" x14ac:dyDescent="0.3">
      <c r="A537" s="16">
        <v>1708343775</v>
      </c>
      <c r="B537" s="16" t="s">
        <v>268</v>
      </c>
      <c r="C537" s="16">
        <v>1</v>
      </c>
      <c r="D537" s="16" t="s">
        <v>6</v>
      </c>
      <c r="E537" s="16" t="s">
        <v>50</v>
      </c>
      <c r="F537" s="23">
        <v>46114</v>
      </c>
      <c r="G537" s="28">
        <v>12</v>
      </c>
      <c r="H537" s="28" t="s">
        <v>270</v>
      </c>
      <c r="I537" s="26">
        <v>59580755</v>
      </c>
      <c r="J537" s="79">
        <v>998682199</v>
      </c>
      <c r="K537" s="11"/>
      <c r="L537" s="60"/>
      <c r="M537" s="15" t="s">
        <v>12</v>
      </c>
    </row>
    <row r="538" spans="1:13" ht="19.149999999999999" customHeight="1" x14ac:dyDescent="0.3">
      <c r="A538" s="16">
        <v>1714757224</v>
      </c>
      <c r="B538" s="16" t="s">
        <v>271</v>
      </c>
      <c r="C538" s="16">
        <v>1</v>
      </c>
      <c r="D538" s="16" t="s">
        <v>102</v>
      </c>
      <c r="E538" s="16" t="s">
        <v>50</v>
      </c>
      <c r="F538" s="23">
        <v>46116</v>
      </c>
      <c r="G538" s="28">
        <v>12</v>
      </c>
      <c r="H538" s="28" t="s">
        <v>270</v>
      </c>
      <c r="I538" s="27"/>
      <c r="J538" s="47">
        <v>984652563</v>
      </c>
      <c r="K538" s="5"/>
      <c r="L538" s="54"/>
      <c r="M538" s="15" t="s">
        <v>12</v>
      </c>
    </row>
    <row r="539" spans="1:13" ht="19.149999999999999" customHeight="1" x14ac:dyDescent="0.3">
      <c r="A539" s="16">
        <v>1725206369</v>
      </c>
      <c r="B539" s="16" t="s">
        <v>1045</v>
      </c>
      <c r="C539" s="16">
        <v>1</v>
      </c>
      <c r="D539" s="16" t="s">
        <v>45</v>
      </c>
      <c r="E539" s="16" t="s">
        <v>50</v>
      </c>
      <c r="F539" s="23">
        <v>46116</v>
      </c>
      <c r="G539" s="28">
        <v>4</v>
      </c>
      <c r="H539" s="28" t="s">
        <v>270</v>
      </c>
      <c r="I539" s="27"/>
      <c r="J539" s="47">
        <v>992433299</v>
      </c>
      <c r="K539" s="5" t="s">
        <v>489</v>
      </c>
      <c r="L539" s="54"/>
      <c r="M539" s="15" t="s">
        <v>12</v>
      </c>
    </row>
    <row r="540" spans="1:13" ht="19.149999999999999" customHeight="1" x14ac:dyDescent="0.3">
      <c r="A540" s="16">
        <v>1725206369</v>
      </c>
      <c r="B540" s="16" t="s">
        <v>1045</v>
      </c>
      <c r="C540" s="16">
        <v>1</v>
      </c>
      <c r="D540" s="16" t="s">
        <v>272</v>
      </c>
      <c r="E540" s="16" t="s">
        <v>50</v>
      </c>
      <c r="F540" s="23">
        <v>46116</v>
      </c>
      <c r="G540" s="28">
        <v>30</v>
      </c>
      <c r="H540" s="28" t="s">
        <v>270</v>
      </c>
      <c r="I540" s="27"/>
      <c r="J540" s="47">
        <v>992433299</v>
      </c>
      <c r="K540" s="5" t="s">
        <v>489</v>
      </c>
      <c r="L540" s="54"/>
      <c r="M540" s="15" t="s">
        <v>12</v>
      </c>
    </row>
    <row r="541" spans="1:13" ht="19.149999999999999" customHeight="1" x14ac:dyDescent="0.3">
      <c r="A541" s="16">
        <v>1725206369</v>
      </c>
      <c r="B541" s="16" t="s">
        <v>1045</v>
      </c>
      <c r="C541" s="16">
        <v>1</v>
      </c>
      <c r="D541" s="16" t="s">
        <v>102</v>
      </c>
      <c r="E541" s="16" t="s">
        <v>50</v>
      </c>
      <c r="F541" s="23">
        <v>46116</v>
      </c>
      <c r="G541" s="28">
        <v>10</v>
      </c>
      <c r="H541" s="28" t="s">
        <v>270</v>
      </c>
      <c r="I541" s="27"/>
      <c r="J541" s="47">
        <v>992433299</v>
      </c>
      <c r="K541" s="5" t="s">
        <v>489</v>
      </c>
      <c r="L541" s="54"/>
      <c r="M541" s="15" t="s">
        <v>12</v>
      </c>
    </row>
    <row r="542" spans="1:13" ht="19.149999999999999" customHeight="1" x14ac:dyDescent="0.3">
      <c r="A542" s="16">
        <v>1717391971</v>
      </c>
      <c r="B542" s="16" t="s">
        <v>269</v>
      </c>
      <c r="C542" s="16">
        <v>1</v>
      </c>
      <c r="D542" s="16" t="s">
        <v>133</v>
      </c>
      <c r="E542" s="16" t="s">
        <v>50</v>
      </c>
      <c r="F542" s="23">
        <v>46116</v>
      </c>
      <c r="G542" s="28">
        <v>20</v>
      </c>
      <c r="H542" s="28" t="s">
        <v>270</v>
      </c>
      <c r="I542" s="26"/>
      <c r="J542" s="47">
        <v>984419199</v>
      </c>
      <c r="K542" s="5" t="s">
        <v>488</v>
      </c>
      <c r="L542" s="54"/>
      <c r="M542" s="15" t="s">
        <v>12</v>
      </c>
    </row>
    <row r="543" spans="1:13" ht="19.149999999999999" customHeight="1" x14ac:dyDescent="0.3">
      <c r="A543" s="16">
        <v>1714757224</v>
      </c>
      <c r="B543" s="16" t="s">
        <v>271</v>
      </c>
      <c r="C543" s="16">
        <v>1</v>
      </c>
      <c r="D543" s="16" t="s">
        <v>28</v>
      </c>
      <c r="E543" s="16" t="s">
        <v>50</v>
      </c>
      <c r="F543" s="23">
        <v>46116</v>
      </c>
      <c r="G543" s="28">
        <v>18</v>
      </c>
      <c r="H543" s="28" t="s">
        <v>270</v>
      </c>
      <c r="I543" s="27"/>
      <c r="J543" s="47">
        <v>984652563</v>
      </c>
      <c r="K543" s="5"/>
      <c r="L543" s="54"/>
      <c r="M543" s="15" t="s">
        <v>12</v>
      </c>
    </row>
    <row r="544" spans="1:13" ht="19.149999999999999" customHeight="1" x14ac:dyDescent="0.3">
      <c r="A544" s="16">
        <v>1722118344</v>
      </c>
      <c r="B544" s="16" t="s">
        <v>222</v>
      </c>
      <c r="C544" s="16">
        <v>1</v>
      </c>
      <c r="D544" s="16" t="s">
        <v>28</v>
      </c>
      <c r="E544" s="16" t="s">
        <v>50</v>
      </c>
      <c r="F544" s="23">
        <v>46116</v>
      </c>
      <c r="G544" s="28">
        <v>18</v>
      </c>
      <c r="H544" s="28" t="s">
        <v>270</v>
      </c>
      <c r="I544" s="26"/>
      <c r="J544" s="75">
        <v>984539697</v>
      </c>
      <c r="K544" s="3" t="s">
        <v>455</v>
      </c>
      <c r="L544" s="53"/>
      <c r="M544" s="15" t="s">
        <v>12</v>
      </c>
    </row>
    <row r="545" spans="1:13" ht="19.149999999999999" customHeight="1" x14ac:dyDescent="0.3">
      <c r="A545" s="16" t="s">
        <v>658</v>
      </c>
      <c r="B545" s="16" t="s">
        <v>273</v>
      </c>
      <c r="C545" s="16">
        <v>1</v>
      </c>
      <c r="D545" s="16" t="s">
        <v>274</v>
      </c>
      <c r="E545" s="16" t="s">
        <v>50</v>
      </c>
      <c r="F545" s="23">
        <v>46117</v>
      </c>
      <c r="G545" s="28">
        <v>8</v>
      </c>
      <c r="H545" s="28" t="s">
        <v>18</v>
      </c>
      <c r="I545" s="26"/>
      <c r="J545" s="47">
        <v>981850550</v>
      </c>
      <c r="K545" s="5"/>
      <c r="L545" s="54"/>
      <c r="M545" s="15" t="s">
        <v>12</v>
      </c>
    </row>
    <row r="546" spans="1:13" ht="19.149999999999999" customHeight="1" x14ac:dyDescent="0.3">
      <c r="A546" s="16">
        <v>1717391971</v>
      </c>
      <c r="B546" s="16" t="s">
        <v>269</v>
      </c>
      <c r="C546" s="16">
        <v>1</v>
      </c>
      <c r="D546" s="16" t="s">
        <v>6</v>
      </c>
      <c r="E546" s="16" t="s">
        <v>50</v>
      </c>
      <c r="F546" s="23">
        <v>46117</v>
      </c>
      <c r="G546" s="28">
        <v>12</v>
      </c>
      <c r="H546" s="28" t="s">
        <v>18</v>
      </c>
      <c r="I546" s="27"/>
      <c r="J546" s="47">
        <v>984419199</v>
      </c>
      <c r="K546" s="5" t="s">
        <v>488</v>
      </c>
      <c r="L546" s="54"/>
      <c r="M546" s="15" t="s">
        <v>12</v>
      </c>
    </row>
    <row r="547" spans="1:13" ht="19.149999999999999" customHeight="1" x14ac:dyDescent="0.3">
      <c r="A547" s="16">
        <v>1802650844</v>
      </c>
      <c r="B547" s="16" t="s">
        <v>36</v>
      </c>
      <c r="C547" s="16">
        <v>1</v>
      </c>
      <c r="D547" s="16" t="s">
        <v>814</v>
      </c>
      <c r="E547" s="16" t="s">
        <v>50</v>
      </c>
      <c r="F547" s="23">
        <v>46117</v>
      </c>
      <c r="G547" s="28">
        <f>18+2</f>
        <v>20</v>
      </c>
      <c r="H547" s="28" t="s">
        <v>18</v>
      </c>
      <c r="I547" s="26"/>
      <c r="J547" s="73">
        <v>997760897</v>
      </c>
      <c r="K547" s="17"/>
      <c r="L547" s="51"/>
      <c r="M547" s="15" t="s">
        <v>12</v>
      </c>
    </row>
    <row r="548" spans="1:13" ht="19.149999999999999" customHeight="1" x14ac:dyDescent="0.3">
      <c r="A548" s="16">
        <v>1714063292</v>
      </c>
      <c r="B548" s="16" t="s">
        <v>29</v>
      </c>
      <c r="C548" s="16">
        <v>1</v>
      </c>
      <c r="D548" s="16" t="s">
        <v>6</v>
      </c>
      <c r="E548" s="16" t="s">
        <v>50</v>
      </c>
      <c r="F548" s="23">
        <v>46117</v>
      </c>
      <c r="G548" s="28">
        <v>12</v>
      </c>
      <c r="H548" s="28" t="s">
        <v>18</v>
      </c>
      <c r="I548" s="26"/>
      <c r="J548" s="47">
        <v>995674830</v>
      </c>
      <c r="K548" s="5" t="s">
        <v>430</v>
      </c>
      <c r="L548" s="54"/>
      <c r="M548" s="15" t="s">
        <v>12</v>
      </c>
    </row>
    <row r="549" spans="1:13" ht="19.149999999999999" customHeight="1" x14ac:dyDescent="0.3">
      <c r="A549" s="16">
        <v>1802650844</v>
      </c>
      <c r="B549" s="16" t="s">
        <v>35</v>
      </c>
      <c r="C549" s="16">
        <v>1</v>
      </c>
      <c r="D549" s="16" t="s">
        <v>814</v>
      </c>
      <c r="E549" s="16" t="s">
        <v>50</v>
      </c>
      <c r="F549" s="23">
        <v>46117</v>
      </c>
      <c r="G549" s="28">
        <f>18+6</f>
        <v>24</v>
      </c>
      <c r="H549" s="28" t="s">
        <v>18</v>
      </c>
      <c r="I549" s="27"/>
      <c r="J549" s="73">
        <v>997760897</v>
      </c>
      <c r="K549" s="17"/>
      <c r="L549" s="51"/>
      <c r="M549" s="15" t="s">
        <v>12</v>
      </c>
    </row>
    <row r="550" spans="1:13" ht="19.149999999999999" customHeight="1" x14ac:dyDescent="0.3">
      <c r="A550" s="16">
        <v>1802650844</v>
      </c>
      <c r="B550" s="16" t="s">
        <v>35</v>
      </c>
      <c r="C550" s="16">
        <v>1</v>
      </c>
      <c r="D550" s="16" t="s">
        <v>884</v>
      </c>
      <c r="E550" s="16" t="s">
        <v>103</v>
      </c>
      <c r="F550" s="23">
        <v>46117</v>
      </c>
      <c r="G550" s="28">
        <v>6</v>
      </c>
      <c r="H550" s="28" t="s">
        <v>18</v>
      </c>
      <c r="I550" s="26"/>
      <c r="J550" s="73">
        <v>997760897</v>
      </c>
      <c r="K550" s="17"/>
      <c r="L550" s="51"/>
      <c r="M550" s="15" t="s">
        <v>12</v>
      </c>
    </row>
    <row r="551" spans="1:13" ht="19.149999999999999" customHeight="1" x14ac:dyDescent="0.3">
      <c r="A551" s="16">
        <v>930394861</v>
      </c>
      <c r="B551" s="16" t="s">
        <v>276</v>
      </c>
      <c r="C551" s="16">
        <v>1</v>
      </c>
      <c r="D551" s="16" t="s">
        <v>133</v>
      </c>
      <c r="E551" s="16" t="s">
        <v>50</v>
      </c>
      <c r="F551" s="23">
        <v>46119</v>
      </c>
      <c r="G551" s="28">
        <v>20</v>
      </c>
      <c r="H551" s="28" t="s">
        <v>40</v>
      </c>
      <c r="I551" s="27"/>
      <c r="J551" s="47">
        <v>967477481</v>
      </c>
      <c r="K551" s="5" t="s">
        <v>491</v>
      </c>
      <c r="L551" s="54"/>
      <c r="M551" s="15" t="s">
        <v>12</v>
      </c>
    </row>
    <row r="552" spans="1:13" ht="19.149999999999999" customHeight="1" x14ac:dyDescent="0.3">
      <c r="A552" s="16">
        <v>1723862015</v>
      </c>
      <c r="B552" s="16" t="s">
        <v>277</v>
      </c>
      <c r="C552" s="16">
        <v>1</v>
      </c>
      <c r="D552" s="16" t="s">
        <v>6</v>
      </c>
      <c r="E552" s="16" t="s">
        <v>50</v>
      </c>
      <c r="F552" s="23">
        <v>46119</v>
      </c>
      <c r="G552" s="28">
        <v>12</v>
      </c>
      <c r="H552" s="28" t="s">
        <v>270</v>
      </c>
      <c r="I552" s="27">
        <v>68668146</v>
      </c>
      <c r="J552" s="47">
        <v>962905926</v>
      </c>
      <c r="K552" s="5" t="s">
        <v>492</v>
      </c>
      <c r="L552" s="54"/>
      <c r="M552" s="15" t="s">
        <v>12</v>
      </c>
    </row>
    <row r="553" spans="1:13" ht="19.149999999999999" customHeight="1" x14ac:dyDescent="0.3">
      <c r="A553" s="16">
        <v>2300642077</v>
      </c>
      <c r="B553" s="16" t="s">
        <v>278</v>
      </c>
      <c r="C553" s="16">
        <v>1</v>
      </c>
      <c r="D553" s="16" t="s">
        <v>698</v>
      </c>
      <c r="E553" s="16" t="s">
        <v>50</v>
      </c>
      <c r="F553" s="23">
        <v>46119</v>
      </c>
      <c r="G553" s="28">
        <v>22</v>
      </c>
      <c r="H553" s="28" t="s">
        <v>270</v>
      </c>
      <c r="I553" s="26">
        <v>69043180</v>
      </c>
      <c r="J553" s="47">
        <v>979508940</v>
      </c>
      <c r="K553" s="5" t="s">
        <v>493</v>
      </c>
      <c r="L553" s="54"/>
      <c r="M553" s="15" t="s">
        <v>12</v>
      </c>
    </row>
    <row r="554" spans="1:13" ht="19.149999999999999" customHeight="1" x14ac:dyDescent="0.3">
      <c r="A554" s="16">
        <v>1716862840</v>
      </c>
      <c r="B554" s="16" t="s">
        <v>275</v>
      </c>
      <c r="C554" s="16">
        <v>1</v>
      </c>
      <c r="D554" s="16" t="s">
        <v>28</v>
      </c>
      <c r="E554" s="16" t="s">
        <v>50</v>
      </c>
      <c r="F554" s="23">
        <v>46119</v>
      </c>
      <c r="G554" s="28">
        <v>18</v>
      </c>
      <c r="H554" s="28" t="s">
        <v>144</v>
      </c>
      <c r="I554" s="26"/>
      <c r="J554" s="47">
        <v>984907880</v>
      </c>
      <c r="K554" s="5" t="s">
        <v>490</v>
      </c>
      <c r="L554" s="54"/>
      <c r="M554" s="15" t="s">
        <v>12</v>
      </c>
    </row>
    <row r="555" spans="1:13" ht="19.149999999999999" customHeight="1" x14ac:dyDescent="0.3">
      <c r="A555" s="16">
        <v>1708380553</v>
      </c>
      <c r="B555" s="16" t="s">
        <v>234</v>
      </c>
      <c r="C555" s="16">
        <v>1</v>
      </c>
      <c r="D555" s="16" t="s">
        <v>944</v>
      </c>
      <c r="E555" s="16" t="s">
        <v>50</v>
      </c>
      <c r="F555" s="23">
        <v>46120</v>
      </c>
      <c r="G555" s="28">
        <v>13</v>
      </c>
      <c r="H555" s="24" t="s">
        <v>37</v>
      </c>
      <c r="I555" s="27">
        <v>58471391</v>
      </c>
      <c r="J555" s="76">
        <v>998386826</v>
      </c>
      <c r="K555" s="9" t="s">
        <v>461</v>
      </c>
      <c r="L555" s="58"/>
      <c r="M555" s="15" t="s">
        <v>12</v>
      </c>
    </row>
    <row r="556" spans="1:13" ht="19.149999999999999" customHeight="1" x14ac:dyDescent="0.3">
      <c r="A556" s="16">
        <v>1708380553</v>
      </c>
      <c r="B556" s="16" t="s">
        <v>234</v>
      </c>
      <c r="C556" s="16">
        <v>1</v>
      </c>
      <c r="D556" s="16" t="s">
        <v>945</v>
      </c>
      <c r="E556" s="16" t="s">
        <v>152</v>
      </c>
      <c r="F556" s="23">
        <v>46120</v>
      </c>
      <c r="G556" s="28">
        <v>10</v>
      </c>
      <c r="H556" s="24" t="s">
        <v>37</v>
      </c>
      <c r="I556" s="26">
        <v>58471391</v>
      </c>
      <c r="J556" s="76">
        <v>998386826</v>
      </c>
      <c r="K556" s="9" t="s">
        <v>461</v>
      </c>
      <c r="L556" s="58"/>
      <c r="M556" s="15" t="s">
        <v>12</v>
      </c>
    </row>
    <row r="557" spans="1:13" ht="19.149999999999999" customHeight="1" x14ac:dyDescent="0.3">
      <c r="A557" s="16">
        <v>1719279398</v>
      </c>
      <c r="B557" s="16" t="s">
        <v>279</v>
      </c>
      <c r="C557" s="16">
        <v>1</v>
      </c>
      <c r="D557" s="16" t="s">
        <v>911</v>
      </c>
      <c r="E557" s="16" t="s">
        <v>50</v>
      </c>
      <c r="F557" s="23">
        <v>46120</v>
      </c>
      <c r="G557" s="28">
        <v>24</v>
      </c>
      <c r="H557" s="28" t="s">
        <v>144</v>
      </c>
      <c r="I557" s="27"/>
      <c r="J557" s="47">
        <v>987109273</v>
      </c>
      <c r="K557" s="5" t="s">
        <v>494</v>
      </c>
      <c r="L557" s="54"/>
      <c r="M557" s="15" t="s">
        <v>12</v>
      </c>
    </row>
    <row r="558" spans="1:13" ht="19.149999999999999" customHeight="1" x14ac:dyDescent="0.3">
      <c r="A558" s="16">
        <v>1716954423</v>
      </c>
      <c r="B558" s="16" t="s">
        <v>280</v>
      </c>
      <c r="C558" s="16">
        <v>1</v>
      </c>
      <c r="D558" s="16" t="s">
        <v>28</v>
      </c>
      <c r="E558" s="16" t="s">
        <v>50</v>
      </c>
      <c r="F558" s="23">
        <v>46121</v>
      </c>
      <c r="G558" s="28">
        <v>15</v>
      </c>
      <c r="H558" s="28" t="s">
        <v>270</v>
      </c>
      <c r="I558" s="26">
        <v>50422428</v>
      </c>
      <c r="J558" s="47">
        <v>984634793</v>
      </c>
      <c r="K558" s="5" t="s">
        <v>495</v>
      </c>
      <c r="L558" s="54"/>
      <c r="M558" s="15" t="s">
        <v>12</v>
      </c>
    </row>
    <row r="559" spans="1:13" ht="19.149999999999999" customHeight="1" x14ac:dyDescent="0.3">
      <c r="A559" s="16">
        <v>1714674817</v>
      </c>
      <c r="B559" s="16" t="s">
        <v>247</v>
      </c>
      <c r="C559" s="16">
        <v>1</v>
      </c>
      <c r="D559" s="16" t="s">
        <v>32</v>
      </c>
      <c r="E559" s="16" t="s">
        <v>50</v>
      </c>
      <c r="F559" s="23">
        <v>46121</v>
      </c>
      <c r="G559" s="28">
        <v>10</v>
      </c>
      <c r="H559" s="28" t="s">
        <v>270</v>
      </c>
      <c r="I559" s="26">
        <v>31812996</v>
      </c>
      <c r="J559" s="49">
        <v>995052916</v>
      </c>
      <c r="K559" s="2" t="s">
        <v>471</v>
      </c>
      <c r="L559" s="52"/>
      <c r="M559" s="15" t="s">
        <v>12</v>
      </c>
    </row>
    <row r="560" spans="1:13" ht="19.149999999999999" customHeight="1" x14ac:dyDescent="0.3">
      <c r="A560" s="16">
        <v>1724534076</v>
      </c>
      <c r="B560" s="16" t="s">
        <v>264</v>
      </c>
      <c r="C560" s="16">
        <v>1</v>
      </c>
      <c r="D560" s="16" t="s">
        <v>52</v>
      </c>
      <c r="E560" s="16" t="s">
        <v>50</v>
      </c>
      <c r="F560" s="23">
        <v>46121</v>
      </c>
      <c r="G560" s="28">
        <v>16</v>
      </c>
      <c r="H560" s="28" t="s">
        <v>270</v>
      </c>
      <c r="I560" s="27">
        <v>22938613</v>
      </c>
      <c r="J560" s="49">
        <v>981437074</v>
      </c>
      <c r="K560" s="2" t="s">
        <v>483</v>
      </c>
      <c r="L560" s="52"/>
      <c r="M560" s="15" t="s">
        <v>12</v>
      </c>
    </row>
    <row r="561" spans="1:13" ht="19.149999999999999" customHeight="1" x14ac:dyDescent="0.3">
      <c r="A561" s="16">
        <v>1714063292</v>
      </c>
      <c r="B561" s="16" t="s">
        <v>29</v>
      </c>
      <c r="C561" s="16">
        <v>1</v>
      </c>
      <c r="D561" s="16" t="s">
        <v>731</v>
      </c>
      <c r="E561" s="16" t="s">
        <v>50</v>
      </c>
      <c r="F561" s="23">
        <v>46122</v>
      </c>
      <c r="G561" s="28">
        <v>10</v>
      </c>
      <c r="H561" s="24" t="s">
        <v>17</v>
      </c>
      <c r="I561" s="26"/>
      <c r="J561" s="47">
        <v>995674830</v>
      </c>
      <c r="K561" s="5" t="s">
        <v>430</v>
      </c>
      <c r="L561" s="54"/>
      <c r="M561" s="15" t="s">
        <v>12</v>
      </c>
    </row>
    <row r="562" spans="1:13" ht="19.149999999999999" customHeight="1" x14ac:dyDescent="0.3">
      <c r="A562" s="16">
        <v>1718346016</v>
      </c>
      <c r="B562" s="16" t="s">
        <v>282</v>
      </c>
      <c r="C562" s="16">
        <v>1</v>
      </c>
      <c r="D562" s="16" t="s">
        <v>379</v>
      </c>
      <c r="E562" s="16" t="s">
        <v>50</v>
      </c>
      <c r="F562" s="23">
        <v>46123</v>
      </c>
      <c r="G562" s="28">
        <v>20</v>
      </c>
      <c r="H562" s="28" t="s">
        <v>281</v>
      </c>
      <c r="I562" s="26">
        <v>34576565</v>
      </c>
      <c r="J562" s="47">
        <v>998578703</v>
      </c>
      <c r="K562" s="5" t="s">
        <v>496</v>
      </c>
      <c r="L562" s="54"/>
      <c r="M562" s="15" t="s">
        <v>12</v>
      </c>
    </row>
    <row r="563" spans="1:13" ht="19.149999999999999" customHeight="1" x14ac:dyDescent="0.3">
      <c r="A563" s="16">
        <v>1718346016</v>
      </c>
      <c r="B563" s="16" t="s">
        <v>282</v>
      </c>
      <c r="C563" s="16">
        <v>1</v>
      </c>
      <c r="D563" s="16" t="s">
        <v>102</v>
      </c>
      <c r="E563" s="16" t="s">
        <v>50</v>
      </c>
      <c r="F563" s="23">
        <v>46123</v>
      </c>
      <c r="G563" s="28">
        <v>10</v>
      </c>
      <c r="H563" s="28" t="s">
        <v>281</v>
      </c>
      <c r="I563" s="27">
        <v>34576565</v>
      </c>
      <c r="J563" s="47">
        <v>998578703</v>
      </c>
      <c r="K563" s="5" t="s">
        <v>496</v>
      </c>
      <c r="L563" s="54"/>
      <c r="M563" s="15" t="s">
        <v>12</v>
      </c>
    </row>
    <row r="564" spans="1:13" ht="19.149999999999999" customHeight="1" x14ac:dyDescent="0.3">
      <c r="A564" s="16">
        <v>1711508117</v>
      </c>
      <c r="B564" s="16" t="s">
        <v>682</v>
      </c>
      <c r="C564" s="16">
        <v>1</v>
      </c>
      <c r="D564" s="16" t="s">
        <v>155</v>
      </c>
      <c r="E564" s="16" t="s">
        <v>50</v>
      </c>
      <c r="F564" s="23">
        <v>46123</v>
      </c>
      <c r="G564" s="28">
        <v>30</v>
      </c>
      <c r="H564" s="28" t="s">
        <v>281</v>
      </c>
      <c r="I564" s="27">
        <v>20221913</v>
      </c>
      <c r="J564" s="76">
        <v>980552370</v>
      </c>
      <c r="K564" s="9" t="s">
        <v>462</v>
      </c>
      <c r="L564" s="58"/>
      <c r="M564" s="15" t="s">
        <v>12</v>
      </c>
    </row>
    <row r="565" spans="1:13" ht="19.149999999999999" customHeight="1" x14ac:dyDescent="0.3">
      <c r="A565" s="16">
        <v>1711508117</v>
      </c>
      <c r="B565" s="16" t="s">
        <v>682</v>
      </c>
      <c r="C565" s="16">
        <v>1</v>
      </c>
      <c r="D565" s="16" t="s">
        <v>887</v>
      </c>
      <c r="E565" s="16" t="s">
        <v>50</v>
      </c>
      <c r="F565" s="23">
        <v>46123</v>
      </c>
      <c r="G565" s="28">
        <v>55</v>
      </c>
      <c r="H565" s="28" t="s">
        <v>281</v>
      </c>
      <c r="I565" s="27">
        <v>20221913</v>
      </c>
      <c r="J565" s="76">
        <v>980552370</v>
      </c>
      <c r="K565" s="9" t="s">
        <v>462</v>
      </c>
      <c r="L565" s="58"/>
      <c r="M565" s="15" t="s">
        <v>12</v>
      </c>
    </row>
    <row r="566" spans="1:13" ht="19.149999999999999" customHeight="1" x14ac:dyDescent="0.3">
      <c r="A566" s="16" t="s">
        <v>658</v>
      </c>
      <c r="B566" s="16" t="s">
        <v>283</v>
      </c>
      <c r="C566" s="16">
        <v>1</v>
      </c>
      <c r="D566" s="16" t="s">
        <v>946</v>
      </c>
      <c r="E566" s="16" t="s">
        <v>50</v>
      </c>
      <c r="F566" s="23">
        <v>46123</v>
      </c>
      <c r="G566" s="28">
        <v>22</v>
      </c>
      <c r="H566" s="28" t="s">
        <v>17</v>
      </c>
      <c r="I566" s="27"/>
      <c r="J566" s="87"/>
    </row>
    <row r="567" spans="1:13" x14ac:dyDescent="0.3">
      <c r="A567" s="16">
        <v>1717933798</v>
      </c>
      <c r="B567" s="16" t="s">
        <v>332</v>
      </c>
      <c r="C567" s="16">
        <v>1</v>
      </c>
      <c r="D567" s="16" t="s">
        <v>695</v>
      </c>
      <c r="E567" s="16" t="s">
        <v>50</v>
      </c>
      <c r="F567" s="23">
        <v>46124</v>
      </c>
      <c r="G567" s="28">
        <v>22</v>
      </c>
      <c r="H567" s="28" t="s">
        <v>951</v>
      </c>
      <c r="I567" s="27"/>
      <c r="J567" s="47">
        <v>984700274</v>
      </c>
      <c r="K567" s="5" t="s">
        <v>431</v>
      </c>
      <c r="L567" s="54"/>
      <c r="M567" s="15" t="s">
        <v>12</v>
      </c>
    </row>
    <row r="568" spans="1:13" ht="19.149999999999999" customHeight="1" x14ac:dyDescent="0.3">
      <c r="A568" s="16">
        <v>800610388</v>
      </c>
      <c r="B568" s="16" t="s">
        <v>331</v>
      </c>
      <c r="C568" s="16">
        <v>1</v>
      </c>
      <c r="D568" s="16" t="s">
        <v>28</v>
      </c>
      <c r="E568" s="16" t="s">
        <v>50</v>
      </c>
      <c r="F568" s="23">
        <v>46124</v>
      </c>
      <c r="G568" s="28">
        <v>15</v>
      </c>
      <c r="H568" s="28" t="s">
        <v>17</v>
      </c>
      <c r="I568" s="27"/>
      <c r="J568" s="47">
        <v>984700274</v>
      </c>
      <c r="K568" s="5" t="s">
        <v>431</v>
      </c>
      <c r="L568" s="54"/>
      <c r="M568" s="15" t="s">
        <v>12</v>
      </c>
    </row>
    <row r="569" spans="1:13" ht="19.149999999999999" customHeight="1" x14ac:dyDescent="0.3">
      <c r="A569" s="16">
        <v>1715338024</v>
      </c>
      <c r="B569" s="16" t="s">
        <v>284</v>
      </c>
      <c r="C569" s="16">
        <v>1</v>
      </c>
      <c r="D569" s="16" t="s">
        <v>938</v>
      </c>
      <c r="E569" s="16" t="s">
        <v>50</v>
      </c>
      <c r="F569" s="23">
        <v>46124</v>
      </c>
      <c r="G569" s="28">
        <v>10</v>
      </c>
      <c r="H569" s="28" t="s">
        <v>281</v>
      </c>
      <c r="I569" s="26">
        <v>71752845</v>
      </c>
      <c r="J569" s="47"/>
      <c r="K569" s="5"/>
      <c r="L569" s="54"/>
      <c r="M569" s="15"/>
    </row>
    <row r="570" spans="1:13" ht="19.149999999999999" customHeight="1" x14ac:dyDescent="0.3">
      <c r="A570" s="16">
        <v>1720222817</v>
      </c>
      <c r="B570" s="16" t="s">
        <v>245</v>
      </c>
      <c r="C570" s="16">
        <v>1</v>
      </c>
      <c r="D570" s="16" t="s">
        <v>28</v>
      </c>
      <c r="E570" s="16" t="s">
        <v>50</v>
      </c>
      <c r="F570" s="23">
        <v>46125</v>
      </c>
      <c r="G570" s="28">
        <v>15</v>
      </c>
      <c r="H570" s="24" t="s">
        <v>17</v>
      </c>
      <c r="I570" s="27"/>
      <c r="J570" s="47">
        <v>998764756</v>
      </c>
      <c r="K570" s="5" t="s">
        <v>497</v>
      </c>
      <c r="L570" s="54"/>
      <c r="M570" s="15" t="s">
        <v>12</v>
      </c>
    </row>
    <row r="571" spans="1:13" ht="19.149999999999999" customHeight="1" x14ac:dyDescent="0.3">
      <c r="A571" s="16">
        <v>1750481671</v>
      </c>
      <c r="B571" s="16" t="s">
        <v>285</v>
      </c>
      <c r="C571" s="16">
        <v>1</v>
      </c>
      <c r="D571" s="16" t="s">
        <v>102</v>
      </c>
      <c r="E571" s="16" t="s">
        <v>50</v>
      </c>
      <c r="F571" s="23">
        <v>46125</v>
      </c>
      <c r="G571" s="28">
        <v>10</v>
      </c>
      <c r="H571" s="24" t="s">
        <v>17</v>
      </c>
      <c r="I571" s="26"/>
      <c r="J571" s="49">
        <v>987934072</v>
      </c>
      <c r="K571" s="2" t="s">
        <v>971</v>
      </c>
      <c r="L571" s="52"/>
      <c r="M571" s="15" t="s">
        <v>12</v>
      </c>
    </row>
    <row r="572" spans="1:13" ht="19.149999999999999" customHeight="1" x14ac:dyDescent="0.3">
      <c r="A572" s="16">
        <v>1714400965</v>
      </c>
      <c r="B572" s="16" t="s">
        <v>685</v>
      </c>
      <c r="C572" s="16">
        <v>1</v>
      </c>
      <c r="D572" s="16" t="s">
        <v>102</v>
      </c>
      <c r="E572" s="16" t="s">
        <v>50</v>
      </c>
      <c r="F572" s="23">
        <v>46126</v>
      </c>
      <c r="G572" s="28">
        <v>10</v>
      </c>
      <c r="H572" s="28" t="s">
        <v>270</v>
      </c>
      <c r="I572" s="27">
        <v>40295330</v>
      </c>
      <c r="J572" s="47">
        <v>985305885</v>
      </c>
      <c r="K572" s="5" t="s">
        <v>498</v>
      </c>
      <c r="L572" s="54"/>
      <c r="M572" s="15" t="s">
        <v>12</v>
      </c>
    </row>
    <row r="573" spans="1:13" ht="19.149999999999999" customHeight="1" x14ac:dyDescent="0.3">
      <c r="A573" s="16">
        <v>1707124341</v>
      </c>
      <c r="B573" s="16" t="s">
        <v>286</v>
      </c>
      <c r="C573" s="16">
        <v>1</v>
      </c>
      <c r="D573" s="16" t="s">
        <v>894</v>
      </c>
      <c r="E573" s="16" t="s">
        <v>50</v>
      </c>
      <c r="F573" s="23">
        <v>46126</v>
      </c>
      <c r="G573" s="28">
        <v>31</v>
      </c>
      <c r="H573" s="28" t="s">
        <v>17</v>
      </c>
      <c r="I573" s="27"/>
      <c r="J573" s="47">
        <v>999947475</v>
      </c>
      <c r="K573" s="5" t="s">
        <v>499</v>
      </c>
      <c r="L573" s="54"/>
      <c r="M573" s="15" t="s">
        <v>12</v>
      </c>
    </row>
    <row r="574" spans="1:13" ht="19.149999999999999" customHeight="1" x14ac:dyDescent="0.3">
      <c r="A574" s="16">
        <v>1719051631</v>
      </c>
      <c r="B574" s="16" t="s">
        <v>227</v>
      </c>
      <c r="C574" s="16">
        <v>1</v>
      </c>
      <c r="D574" s="16" t="s">
        <v>706</v>
      </c>
      <c r="E574" s="16" t="s">
        <v>50</v>
      </c>
      <c r="F574" s="23">
        <v>46126</v>
      </c>
      <c r="G574" s="28">
        <v>5</v>
      </c>
      <c r="H574" s="28" t="s">
        <v>270</v>
      </c>
      <c r="I574" s="26">
        <v>35913645</v>
      </c>
      <c r="J574" s="47">
        <v>987066795</v>
      </c>
      <c r="K574" s="5" t="s">
        <v>457</v>
      </c>
      <c r="L574" s="54"/>
      <c r="M574" s="15" t="s">
        <v>12</v>
      </c>
    </row>
    <row r="575" spans="1:13" ht="19.149999999999999" customHeight="1" x14ac:dyDescent="0.3">
      <c r="A575" s="16">
        <v>1707963227</v>
      </c>
      <c r="B575" s="16" t="s">
        <v>33</v>
      </c>
      <c r="C575" s="16">
        <v>1</v>
      </c>
      <c r="D575" s="16" t="s">
        <v>28</v>
      </c>
      <c r="E575" s="16" t="s">
        <v>50</v>
      </c>
      <c r="F575" s="23">
        <v>46126</v>
      </c>
      <c r="G575" s="28">
        <v>15</v>
      </c>
      <c r="H575" s="24" t="s">
        <v>17</v>
      </c>
      <c r="I575" s="27"/>
      <c r="J575" s="47">
        <v>962842721</v>
      </c>
      <c r="K575" s="5" t="s">
        <v>399</v>
      </c>
      <c r="L575" s="64">
        <v>46242</v>
      </c>
      <c r="M575" s="62" t="s">
        <v>12</v>
      </c>
    </row>
    <row r="576" spans="1:13" ht="19.149999999999999" customHeight="1" x14ac:dyDescent="0.3">
      <c r="A576" s="16">
        <v>1717603177</v>
      </c>
      <c r="B576" s="16" t="s">
        <v>287</v>
      </c>
      <c r="C576" s="16">
        <v>1</v>
      </c>
      <c r="D576" s="16" t="s">
        <v>695</v>
      </c>
      <c r="E576" s="16" t="s">
        <v>50</v>
      </c>
      <c r="F576" s="23">
        <v>46127</v>
      </c>
      <c r="G576" s="28">
        <v>20</v>
      </c>
      <c r="H576" s="28" t="s">
        <v>270</v>
      </c>
      <c r="I576" s="27">
        <v>26290084</v>
      </c>
      <c r="J576" s="47">
        <v>960642944</v>
      </c>
      <c r="K576" s="5" t="s">
        <v>500</v>
      </c>
      <c r="L576" s="54"/>
      <c r="M576" s="15" t="s">
        <v>12</v>
      </c>
    </row>
    <row r="577" spans="1:13" ht="19.149999999999999" customHeight="1" x14ac:dyDescent="0.3">
      <c r="A577" s="16">
        <v>1753278652</v>
      </c>
      <c r="B577" s="16" t="s">
        <v>384</v>
      </c>
      <c r="C577" s="16">
        <v>1</v>
      </c>
      <c r="D577" s="16" t="s">
        <v>28</v>
      </c>
      <c r="E577" s="16" t="s">
        <v>50</v>
      </c>
      <c r="F577" s="23">
        <v>46127</v>
      </c>
      <c r="G577" s="28">
        <v>15</v>
      </c>
      <c r="H577" s="28" t="s">
        <v>144</v>
      </c>
      <c r="I577" s="27">
        <v>182</v>
      </c>
      <c r="J577" s="47">
        <v>987131214</v>
      </c>
      <c r="K577" s="5" t="s">
        <v>501</v>
      </c>
      <c r="L577" s="54"/>
      <c r="M577" s="15" t="s">
        <v>12</v>
      </c>
    </row>
    <row r="578" spans="1:13" ht="19.149999999999999" customHeight="1" x14ac:dyDescent="0.3">
      <c r="A578" s="16">
        <v>802153023</v>
      </c>
      <c r="B578" s="16" t="s">
        <v>288</v>
      </c>
      <c r="C578" s="16">
        <v>1</v>
      </c>
      <c r="D578" s="16" t="s">
        <v>28</v>
      </c>
      <c r="E578" s="16" t="s">
        <v>50</v>
      </c>
      <c r="F578" s="23">
        <v>46127</v>
      </c>
      <c r="G578" s="28">
        <v>15</v>
      </c>
      <c r="H578" s="28" t="s">
        <v>144</v>
      </c>
      <c r="I578" s="27">
        <v>183</v>
      </c>
      <c r="J578" s="47">
        <v>998017513</v>
      </c>
      <c r="K578" s="5" t="s">
        <v>502</v>
      </c>
      <c r="L578" s="54"/>
      <c r="M578" s="15" t="s">
        <v>12</v>
      </c>
    </row>
    <row r="579" spans="1:13" ht="19.149999999999999" customHeight="1" x14ac:dyDescent="0.3">
      <c r="A579" s="16">
        <v>502514128</v>
      </c>
      <c r="B579" s="16" t="s">
        <v>1216</v>
      </c>
      <c r="C579" s="16">
        <v>1</v>
      </c>
      <c r="D579" s="16" t="s">
        <v>6</v>
      </c>
      <c r="E579" s="16" t="s">
        <v>50</v>
      </c>
      <c r="F579" s="23">
        <v>46128</v>
      </c>
      <c r="G579" s="28">
        <v>12</v>
      </c>
      <c r="H579" s="28" t="s">
        <v>17</v>
      </c>
      <c r="I579" s="27"/>
      <c r="J579" s="47">
        <v>996806872</v>
      </c>
      <c r="K579" s="5" t="s">
        <v>505</v>
      </c>
      <c r="L579" s="54"/>
      <c r="M579" s="15" t="s">
        <v>12</v>
      </c>
    </row>
    <row r="580" spans="1:13" ht="19.149999999999999" customHeight="1" x14ac:dyDescent="0.3">
      <c r="A580" s="16">
        <v>1719430991</v>
      </c>
      <c r="B580" s="16" t="s">
        <v>289</v>
      </c>
      <c r="C580" s="16">
        <v>1</v>
      </c>
      <c r="D580" s="16" t="s">
        <v>28</v>
      </c>
      <c r="E580" s="16" t="s">
        <v>50</v>
      </c>
      <c r="F580" s="23">
        <v>46128</v>
      </c>
      <c r="G580" s="28">
        <v>15</v>
      </c>
      <c r="H580" s="28" t="s">
        <v>270</v>
      </c>
      <c r="I580" s="27">
        <v>30026017</v>
      </c>
      <c r="J580" s="47">
        <v>998950453</v>
      </c>
      <c r="K580" s="5" t="s">
        <v>503</v>
      </c>
      <c r="L580" s="54"/>
      <c r="M580" s="15" t="s">
        <v>12</v>
      </c>
    </row>
    <row r="581" spans="1:13" ht="19.149999999999999" customHeight="1" x14ac:dyDescent="0.3">
      <c r="A581" s="16">
        <v>401388814</v>
      </c>
      <c r="B581" s="16" t="s">
        <v>290</v>
      </c>
      <c r="C581" s="16">
        <v>1</v>
      </c>
      <c r="D581" s="16" t="s">
        <v>133</v>
      </c>
      <c r="E581" s="16" t="s">
        <v>50</v>
      </c>
      <c r="F581" s="23">
        <v>46128</v>
      </c>
      <c r="G581" s="28">
        <v>20</v>
      </c>
      <c r="H581" s="28" t="s">
        <v>270</v>
      </c>
      <c r="I581" s="27">
        <v>50345333</v>
      </c>
      <c r="J581" s="47">
        <v>987346064</v>
      </c>
      <c r="K581" s="5" t="s">
        <v>504</v>
      </c>
      <c r="L581" s="54"/>
      <c r="M581" s="15" t="s">
        <v>12</v>
      </c>
    </row>
    <row r="582" spans="1:13" ht="19.149999999999999" customHeight="1" x14ac:dyDescent="0.3">
      <c r="A582" s="16">
        <v>1707963227</v>
      </c>
      <c r="B582" s="16" t="s">
        <v>33</v>
      </c>
      <c r="C582" s="16">
        <v>1</v>
      </c>
      <c r="D582" s="16" t="s">
        <v>6</v>
      </c>
      <c r="E582" s="16" t="s">
        <v>50</v>
      </c>
      <c r="F582" s="23">
        <v>46128</v>
      </c>
      <c r="G582" s="28">
        <v>12</v>
      </c>
      <c r="H582" s="24" t="s">
        <v>17</v>
      </c>
      <c r="I582" s="27"/>
      <c r="J582" s="47">
        <v>962842721</v>
      </c>
      <c r="K582" s="5" t="s">
        <v>399</v>
      </c>
      <c r="L582" s="64">
        <v>46242</v>
      </c>
      <c r="M582" s="62" t="s">
        <v>12</v>
      </c>
    </row>
    <row r="583" spans="1:13" ht="19.149999999999999" customHeight="1" x14ac:dyDescent="0.3">
      <c r="A583" s="16" t="s">
        <v>658</v>
      </c>
      <c r="B583" s="16" t="s">
        <v>292</v>
      </c>
      <c r="C583" s="16">
        <v>1</v>
      </c>
      <c r="D583" s="16" t="s">
        <v>102</v>
      </c>
      <c r="E583" s="16" t="s">
        <v>50</v>
      </c>
      <c r="F583" s="23">
        <v>46129</v>
      </c>
      <c r="G583" s="28">
        <v>10</v>
      </c>
      <c r="H583" s="28" t="s">
        <v>17</v>
      </c>
      <c r="I583" s="27"/>
      <c r="J583" s="87"/>
    </row>
    <row r="584" spans="1:13" ht="19.149999999999999" customHeight="1" x14ac:dyDescent="0.3">
      <c r="A584" s="16">
        <v>1724928609</v>
      </c>
      <c r="B584" s="16" t="s">
        <v>291</v>
      </c>
      <c r="C584" s="16">
        <v>1</v>
      </c>
      <c r="D584" s="16" t="s">
        <v>904</v>
      </c>
      <c r="E584" s="16" t="s">
        <v>50</v>
      </c>
      <c r="F584" s="23">
        <v>46129</v>
      </c>
      <c r="G584" s="28">
        <v>25</v>
      </c>
      <c r="H584" s="28" t="s">
        <v>144</v>
      </c>
      <c r="I584" s="27">
        <v>185</v>
      </c>
      <c r="J584" s="47">
        <v>999761283</v>
      </c>
      <c r="K584" s="5" t="s">
        <v>506</v>
      </c>
      <c r="L584" s="54"/>
      <c r="M584" s="15" t="s">
        <v>12</v>
      </c>
    </row>
    <row r="585" spans="1:13" ht="19.149999999999999" customHeight="1" x14ac:dyDescent="0.3">
      <c r="A585" s="16">
        <v>401388814</v>
      </c>
      <c r="B585" s="16" t="s">
        <v>290</v>
      </c>
      <c r="C585" s="16">
        <v>1</v>
      </c>
      <c r="D585" s="16" t="s">
        <v>52</v>
      </c>
      <c r="E585" s="16" t="s">
        <v>50</v>
      </c>
      <c r="F585" s="23">
        <v>46129</v>
      </c>
      <c r="G585" s="28">
        <v>17</v>
      </c>
      <c r="H585" s="28" t="s">
        <v>270</v>
      </c>
      <c r="I585" s="27">
        <v>26079419</v>
      </c>
      <c r="J585" s="47">
        <v>987346064</v>
      </c>
      <c r="K585" s="5" t="s">
        <v>504</v>
      </c>
      <c r="L585" s="54"/>
      <c r="M585" s="15" t="s">
        <v>12</v>
      </c>
    </row>
    <row r="586" spans="1:13" ht="19.149999999999999" customHeight="1" x14ac:dyDescent="0.3">
      <c r="A586" s="16">
        <v>1713447157</v>
      </c>
      <c r="B586" s="16" t="s">
        <v>293</v>
      </c>
      <c r="C586" s="16">
        <v>1</v>
      </c>
      <c r="D586" s="16" t="s">
        <v>28</v>
      </c>
      <c r="E586" s="16" t="s">
        <v>50</v>
      </c>
      <c r="F586" s="23">
        <v>46130</v>
      </c>
      <c r="G586" s="28">
        <v>15</v>
      </c>
      <c r="H586" s="28" t="s">
        <v>270</v>
      </c>
      <c r="I586" s="27">
        <v>43944280</v>
      </c>
      <c r="J586" s="47">
        <v>995196834</v>
      </c>
      <c r="K586" s="5" t="s">
        <v>508</v>
      </c>
      <c r="L586" s="54"/>
      <c r="M586" s="15" t="s">
        <v>12</v>
      </c>
    </row>
    <row r="587" spans="1:13" ht="19.149999999999999" customHeight="1" x14ac:dyDescent="0.3">
      <c r="A587" s="16">
        <v>1724038862</v>
      </c>
      <c r="B587" s="16" t="s">
        <v>13</v>
      </c>
      <c r="C587" s="16">
        <v>1</v>
      </c>
      <c r="D587" s="16" t="s">
        <v>814</v>
      </c>
      <c r="E587" s="16" t="s">
        <v>50</v>
      </c>
      <c r="F587" s="23">
        <v>46130</v>
      </c>
      <c r="G587" s="28">
        <f>15+4</f>
        <v>19</v>
      </c>
      <c r="H587" s="28" t="s">
        <v>270</v>
      </c>
      <c r="I587" s="27">
        <v>2209317587</v>
      </c>
      <c r="J587" s="87"/>
      <c r="K587" s="5" t="s">
        <v>507</v>
      </c>
    </row>
    <row r="588" spans="1:13" ht="19.149999999999999" customHeight="1" x14ac:dyDescent="0.3">
      <c r="A588" s="16">
        <v>1724038862</v>
      </c>
      <c r="B588" s="16" t="s">
        <v>13</v>
      </c>
      <c r="C588" s="16">
        <v>1</v>
      </c>
      <c r="D588" s="16" t="s">
        <v>814</v>
      </c>
      <c r="E588" s="16" t="s">
        <v>50</v>
      </c>
      <c r="F588" s="23">
        <v>46130</v>
      </c>
      <c r="G588" s="28">
        <f>15+5</f>
        <v>20</v>
      </c>
      <c r="H588" s="28" t="s">
        <v>270</v>
      </c>
      <c r="I588" s="27">
        <v>2209317587</v>
      </c>
      <c r="J588" s="87"/>
      <c r="K588" s="5" t="s">
        <v>507</v>
      </c>
    </row>
    <row r="589" spans="1:13" ht="19.149999999999999" customHeight="1" x14ac:dyDescent="0.3">
      <c r="A589" s="16">
        <v>1721946067</v>
      </c>
      <c r="B589" s="16" t="s">
        <v>31</v>
      </c>
      <c r="C589" s="16">
        <v>1</v>
      </c>
      <c r="D589" s="16" t="s">
        <v>28</v>
      </c>
      <c r="E589" s="16" t="s">
        <v>50</v>
      </c>
      <c r="F589" s="23">
        <v>46130</v>
      </c>
      <c r="G589" s="28">
        <v>15</v>
      </c>
      <c r="H589" s="24" t="s">
        <v>17</v>
      </c>
      <c r="I589" s="27"/>
      <c r="J589" s="47">
        <v>997562221</v>
      </c>
      <c r="K589" s="5" t="s">
        <v>433</v>
      </c>
      <c r="L589" s="64">
        <v>46322</v>
      </c>
      <c r="M589" s="15" t="s">
        <v>12</v>
      </c>
    </row>
    <row r="590" spans="1:13" ht="19.149999999999999" customHeight="1" x14ac:dyDescent="0.3">
      <c r="A590" s="16">
        <v>1714650379</v>
      </c>
      <c r="B590" s="16" t="s">
        <v>664</v>
      </c>
      <c r="C590" s="16">
        <v>1</v>
      </c>
      <c r="D590" s="16" t="s">
        <v>28</v>
      </c>
      <c r="E590" s="16" t="s">
        <v>50</v>
      </c>
      <c r="F590" s="23">
        <v>46131</v>
      </c>
      <c r="G590" s="28">
        <v>15</v>
      </c>
      <c r="H590" s="28" t="s">
        <v>281</v>
      </c>
      <c r="I590" s="27"/>
      <c r="J590" s="49">
        <v>982663163</v>
      </c>
      <c r="K590" s="2" t="s">
        <v>475</v>
      </c>
      <c r="L590" s="52"/>
      <c r="M590" s="15" t="s">
        <v>12</v>
      </c>
    </row>
    <row r="591" spans="1:13" ht="19.149999999999999" customHeight="1" x14ac:dyDescent="0.3">
      <c r="A591" s="16">
        <v>1721674098</v>
      </c>
      <c r="B591" s="16" t="s">
        <v>190</v>
      </c>
      <c r="C591" s="16">
        <v>1</v>
      </c>
      <c r="D591" s="16" t="s">
        <v>785</v>
      </c>
      <c r="E591" s="16" t="s">
        <v>50</v>
      </c>
      <c r="F591" s="23">
        <v>46131</v>
      </c>
      <c r="G591" s="28">
        <v>27</v>
      </c>
      <c r="H591" s="28" t="s">
        <v>270</v>
      </c>
      <c r="I591" s="27">
        <v>73042828</v>
      </c>
      <c r="J591" s="87">
        <v>982663163</v>
      </c>
      <c r="K591" s="12" t="s">
        <v>587</v>
      </c>
      <c r="L591" s="12"/>
      <c r="M591" s="15" t="s">
        <v>12</v>
      </c>
    </row>
    <row r="592" spans="1:13" ht="19.149999999999999" customHeight="1" x14ac:dyDescent="0.3">
      <c r="A592" s="16">
        <v>1721675153</v>
      </c>
      <c r="B592" s="16" t="s">
        <v>98</v>
      </c>
      <c r="C592" s="16">
        <v>1</v>
      </c>
      <c r="D592" s="16" t="s">
        <v>786</v>
      </c>
      <c r="E592" s="16" t="s">
        <v>50</v>
      </c>
      <c r="F592" s="23">
        <v>46131</v>
      </c>
      <c r="G592" s="28">
        <v>20</v>
      </c>
      <c r="H592" s="28" t="s">
        <v>281</v>
      </c>
      <c r="I592" s="27">
        <v>90467407</v>
      </c>
      <c r="J592" s="75">
        <v>981111032</v>
      </c>
      <c r="K592" s="6" t="s">
        <v>408</v>
      </c>
      <c r="L592" s="55"/>
      <c r="M592" s="15" t="s">
        <v>12</v>
      </c>
    </row>
    <row r="593" spans="1:13" ht="19.149999999999999" customHeight="1" x14ac:dyDescent="0.3">
      <c r="A593" s="16">
        <v>1721675153</v>
      </c>
      <c r="B593" s="16" t="s">
        <v>98</v>
      </c>
      <c r="C593" s="16">
        <v>1</v>
      </c>
      <c r="D593" s="16" t="s">
        <v>786</v>
      </c>
      <c r="E593" s="16" t="s">
        <v>50</v>
      </c>
      <c r="F593" s="23">
        <v>46131</v>
      </c>
      <c r="G593" s="28">
        <v>17</v>
      </c>
      <c r="H593" s="28" t="s">
        <v>281</v>
      </c>
      <c r="I593" s="27">
        <v>90467407</v>
      </c>
      <c r="J593" s="74">
        <v>981111032</v>
      </c>
      <c r="K593" s="7" t="s">
        <v>408</v>
      </c>
      <c r="L593" s="57"/>
      <c r="M593" s="15" t="s">
        <v>12</v>
      </c>
    </row>
    <row r="594" spans="1:13" ht="19.149999999999999" customHeight="1" x14ac:dyDescent="0.3">
      <c r="A594" s="16">
        <v>1708380553</v>
      </c>
      <c r="B594" s="16" t="s">
        <v>234</v>
      </c>
      <c r="C594" s="16">
        <v>1</v>
      </c>
      <c r="D594" s="16" t="s">
        <v>52</v>
      </c>
      <c r="E594" s="16" t="s">
        <v>50</v>
      </c>
      <c r="F594" s="23">
        <v>46132</v>
      </c>
      <c r="G594" s="28">
        <v>16</v>
      </c>
      <c r="H594" s="28" t="s">
        <v>270</v>
      </c>
      <c r="I594" s="27">
        <v>119726202</v>
      </c>
      <c r="J594" s="76">
        <v>998386826</v>
      </c>
      <c r="K594" s="9" t="s">
        <v>461</v>
      </c>
      <c r="L594" s="58"/>
      <c r="M594" s="15" t="s">
        <v>12</v>
      </c>
    </row>
    <row r="595" spans="1:13" ht="19.149999999999999" customHeight="1" x14ac:dyDescent="0.3">
      <c r="A595" s="16">
        <v>901787903</v>
      </c>
      <c r="B595" s="16" t="s">
        <v>217</v>
      </c>
      <c r="C595" s="16">
        <v>1</v>
      </c>
      <c r="D595" s="16" t="s">
        <v>694</v>
      </c>
      <c r="E595" s="16" t="s">
        <v>50</v>
      </c>
      <c r="F595" s="23">
        <v>46133</v>
      </c>
      <c r="G595" s="28">
        <v>22</v>
      </c>
      <c r="H595" s="28" t="s">
        <v>144</v>
      </c>
      <c r="I595" s="27">
        <v>187</v>
      </c>
      <c r="J595" s="47">
        <v>995635866</v>
      </c>
      <c r="K595" s="5" t="s">
        <v>510</v>
      </c>
      <c r="L595" s="54"/>
      <c r="M595" s="15" t="s">
        <v>12</v>
      </c>
    </row>
    <row r="596" spans="1:13" ht="19.149999999999999" customHeight="1" x14ac:dyDescent="0.3">
      <c r="A596" s="16">
        <v>1703826188</v>
      </c>
      <c r="B596" s="16" t="s">
        <v>295</v>
      </c>
      <c r="C596" s="16">
        <v>1</v>
      </c>
      <c r="D596" s="16" t="s">
        <v>102</v>
      </c>
      <c r="E596" s="16" t="s">
        <v>294</v>
      </c>
      <c r="F596" s="23">
        <v>46135</v>
      </c>
      <c r="G596" s="28">
        <v>10</v>
      </c>
      <c r="H596" s="28" t="s">
        <v>40</v>
      </c>
      <c r="I596" s="27">
        <v>723234020900</v>
      </c>
      <c r="J596" s="47">
        <v>987714098</v>
      </c>
      <c r="K596" s="5" t="s">
        <v>511</v>
      </c>
      <c r="L596" s="54"/>
      <c r="M596" s="15" t="s">
        <v>12</v>
      </c>
    </row>
    <row r="597" spans="1:13" ht="19.149999999999999" customHeight="1" x14ac:dyDescent="0.3">
      <c r="A597" s="16">
        <v>1701432229</v>
      </c>
      <c r="B597" s="16" t="s">
        <v>58</v>
      </c>
      <c r="C597" s="16">
        <v>1</v>
      </c>
      <c r="D597" s="16" t="s">
        <v>28</v>
      </c>
      <c r="E597" s="16" t="s">
        <v>50</v>
      </c>
      <c r="F597" s="23">
        <v>46135</v>
      </c>
      <c r="G597" s="28">
        <v>15</v>
      </c>
      <c r="H597" s="24" t="s">
        <v>17</v>
      </c>
      <c r="I597" s="27"/>
      <c r="J597" s="47">
        <v>962842721</v>
      </c>
      <c r="K597" s="5" t="s">
        <v>1192</v>
      </c>
      <c r="L597" s="64">
        <v>46033</v>
      </c>
      <c r="M597" s="62" t="s">
        <v>12</v>
      </c>
    </row>
    <row r="598" spans="1:13" ht="19.149999999999999" customHeight="1" x14ac:dyDescent="0.3">
      <c r="A598" s="16">
        <v>1709577199</v>
      </c>
      <c r="B598" s="16" t="s">
        <v>14</v>
      </c>
      <c r="C598" s="16">
        <v>1</v>
      </c>
      <c r="D598" s="16" t="s">
        <v>102</v>
      </c>
      <c r="E598" s="16" t="s">
        <v>294</v>
      </c>
      <c r="F598" s="23">
        <v>46135</v>
      </c>
      <c r="G598" s="28">
        <v>10</v>
      </c>
      <c r="H598" s="24" t="s">
        <v>17</v>
      </c>
      <c r="I598" s="27"/>
      <c r="J598" s="47">
        <v>995408762</v>
      </c>
      <c r="K598" s="5"/>
      <c r="L598" s="54"/>
      <c r="M598" s="15" t="s">
        <v>12</v>
      </c>
    </row>
    <row r="599" spans="1:13" ht="19.149999999999999" customHeight="1" x14ac:dyDescent="0.3">
      <c r="A599" s="16">
        <v>1720035284</v>
      </c>
      <c r="B599" s="16" t="s">
        <v>1217</v>
      </c>
      <c r="C599" s="16">
        <v>1</v>
      </c>
      <c r="D599" s="16" t="s">
        <v>901</v>
      </c>
      <c r="E599" s="16" t="s">
        <v>294</v>
      </c>
      <c r="F599" s="23">
        <v>46136</v>
      </c>
      <c r="G599" s="28">
        <v>5</v>
      </c>
      <c r="H599" s="24" t="s">
        <v>17</v>
      </c>
      <c r="I599" s="27">
        <v>44336965</v>
      </c>
      <c r="J599" s="47">
        <v>998506328</v>
      </c>
      <c r="K599" s="5" t="s">
        <v>1218</v>
      </c>
      <c r="L599" s="54"/>
      <c r="M599" s="15" t="s">
        <v>12</v>
      </c>
    </row>
    <row r="600" spans="1:13" ht="19.149999999999999" customHeight="1" x14ac:dyDescent="0.3">
      <c r="A600" s="16">
        <v>1722462965</v>
      </c>
      <c r="B600" s="16" t="s">
        <v>237</v>
      </c>
      <c r="C600" s="16">
        <v>1</v>
      </c>
      <c r="D600" s="16" t="s">
        <v>737</v>
      </c>
      <c r="E600" s="16" t="s">
        <v>294</v>
      </c>
      <c r="F600" s="23">
        <v>46136</v>
      </c>
      <c r="G600" s="28">
        <v>20</v>
      </c>
      <c r="H600" s="29" t="s">
        <v>40</v>
      </c>
      <c r="I600" s="27">
        <v>803625</v>
      </c>
      <c r="J600" s="76">
        <v>983566239</v>
      </c>
      <c r="K600" s="9" t="s">
        <v>465</v>
      </c>
      <c r="L600" s="58"/>
      <c r="M600" s="15" t="s">
        <v>12</v>
      </c>
    </row>
    <row r="601" spans="1:13" ht="19.149999999999999" customHeight="1" x14ac:dyDescent="0.3">
      <c r="A601" s="16" t="s">
        <v>658</v>
      </c>
      <c r="B601" s="16" t="s">
        <v>658</v>
      </c>
      <c r="C601" s="16">
        <v>1</v>
      </c>
      <c r="D601" s="16" t="s">
        <v>947</v>
      </c>
      <c r="E601" s="16" t="s">
        <v>103</v>
      </c>
      <c r="F601" s="23">
        <v>46136</v>
      </c>
      <c r="G601" s="28">
        <v>30</v>
      </c>
      <c r="H601" s="28" t="s">
        <v>17</v>
      </c>
      <c r="I601" s="27"/>
      <c r="J601" s="47">
        <v>983566239</v>
      </c>
      <c r="K601" s="5" t="s">
        <v>513</v>
      </c>
      <c r="L601" s="54"/>
      <c r="M601" s="15" t="s">
        <v>12</v>
      </c>
    </row>
    <row r="602" spans="1:13" ht="19.149999999999999" customHeight="1" x14ac:dyDescent="0.3">
      <c r="A602" s="16" t="s">
        <v>658</v>
      </c>
      <c r="B602" s="16" t="s">
        <v>296</v>
      </c>
      <c r="C602" s="16">
        <v>1</v>
      </c>
      <c r="D602" s="16" t="s">
        <v>52</v>
      </c>
      <c r="E602" s="16" t="s">
        <v>50</v>
      </c>
      <c r="F602" s="23">
        <v>46136</v>
      </c>
      <c r="G602" s="28">
        <v>17</v>
      </c>
      <c r="H602" s="28" t="s">
        <v>144</v>
      </c>
      <c r="I602" s="27">
        <v>190</v>
      </c>
      <c r="J602" s="47">
        <v>983815656</v>
      </c>
      <c r="K602" s="5" t="s">
        <v>512</v>
      </c>
      <c r="L602" s="54"/>
      <c r="M602" s="15" t="s">
        <v>12</v>
      </c>
    </row>
    <row r="603" spans="1:13" ht="19.149999999999999" customHeight="1" x14ac:dyDescent="0.3">
      <c r="A603" s="16" t="s">
        <v>658</v>
      </c>
      <c r="B603" s="16" t="s">
        <v>296</v>
      </c>
      <c r="C603" s="16">
        <v>1</v>
      </c>
      <c r="D603" s="16" t="s">
        <v>54</v>
      </c>
      <c r="E603" s="16" t="s">
        <v>103</v>
      </c>
      <c r="F603" s="23">
        <v>46136</v>
      </c>
      <c r="G603" s="28">
        <v>70</v>
      </c>
      <c r="H603" s="24" t="s">
        <v>144</v>
      </c>
      <c r="I603" s="27">
        <v>190</v>
      </c>
      <c r="J603" s="47">
        <v>983815656</v>
      </c>
      <c r="K603" s="5" t="s">
        <v>512</v>
      </c>
      <c r="L603" s="54"/>
      <c r="M603" s="15" t="s">
        <v>12</v>
      </c>
    </row>
    <row r="604" spans="1:13" ht="19.149999999999999" customHeight="1" x14ac:dyDescent="0.3">
      <c r="A604" s="16">
        <v>1715703052</v>
      </c>
      <c r="B604" s="16" t="s">
        <v>962</v>
      </c>
      <c r="C604" s="16">
        <v>1</v>
      </c>
      <c r="D604" s="16" t="s">
        <v>815</v>
      </c>
      <c r="E604" s="16" t="s">
        <v>50</v>
      </c>
      <c r="F604" s="23">
        <v>46137</v>
      </c>
      <c r="G604" s="28">
        <v>22</v>
      </c>
      <c r="H604" s="28" t="s">
        <v>270</v>
      </c>
      <c r="I604" s="27">
        <v>38488478</v>
      </c>
      <c r="J604" s="47">
        <v>983501265</v>
      </c>
      <c r="K604" s="5" t="s">
        <v>515</v>
      </c>
      <c r="L604" s="54"/>
      <c r="M604" s="15" t="s">
        <v>12</v>
      </c>
    </row>
    <row r="605" spans="1:13" ht="19.149999999999999" customHeight="1" x14ac:dyDescent="0.3">
      <c r="A605" s="16">
        <v>1705610085</v>
      </c>
      <c r="B605" s="16" t="s">
        <v>298</v>
      </c>
      <c r="C605" s="16">
        <v>1</v>
      </c>
      <c r="D605" s="16" t="s">
        <v>786</v>
      </c>
      <c r="E605" s="16" t="s">
        <v>50</v>
      </c>
      <c r="F605" s="23">
        <v>46137</v>
      </c>
      <c r="G605" s="28">
        <v>21</v>
      </c>
      <c r="H605" s="28" t="s">
        <v>270</v>
      </c>
      <c r="I605" s="27">
        <v>25630054</v>
      </c>
      <c r="J605" s="87"/>
      <c r="K605" s="5" t="s">
        <v>514</v>
      </c>
    </row>
    <row r="606" spans="1:13" ht="19.149999999999999" customHeight="1" x14ac:dyDescent="0.3">
      <c r="A606" s="16">
        <v>1705610085</v>
      </c>
      <c r="B606" s="16" t="s">
        <v>297</v>
      </c>
      <c r="C606" s="16">
        <v>1</v>
      </c>
      <c r="D606" s="16" t="s">
        <v>32</v>
      </c>
      <c r="E606" s="16" t="s">
        <v>294</v>
      </c>
      <c r="F606" s="23">
        <v>46137</v>
      </c>
      <c r="G606" s="28">
        <v>10</v>
      </c>
      <c r="H606" s="28" t="s">
        <v>144</v>
      </c>
      <c r="I606" s="27"/>
      <c r="J606" s="87"/>
    </row>
    <row r="607" spans="1:13" ht="19.149999999999999" customHeight="1" x14ac:dyDescent="0.3">
      <c r="A607" s="16">
        <v>1705610085</v>
      </c>
      <c r="B607" s="16" t="s">
        <v>297</v>
      </c>
      <c r="C607" s="16">
        <v>1</v>
      </c>
      <c r="D607" s="16" t="s">
        <v>6</v>
      </c>
      <c r="E607" s="16" t="s">
        <v>50</v>
      </c>
      <c r="F607" s="23">
        <v>46137</v>
      </c>
      <c r="G607" s="28">
        <v>12</v>
      </c>
      <c r="H607" s="28" t="s">
        <v>144</v>
      </c>
      <c r="I607" s="27"/>
      <c r="J607" s="87"/>
    </row>
    <row r="608" spans="1:13" ht="19.149999999999999" customHeight="1" x14ac:dyDescent="0.3">
      <c r="A608" s="16">
        <v>1705610085</v>
      </c>
      <c r="B608" s="16" t="s">
        <v>297</v>
      </c>
      <c r="C608" s="16">
        <v>1</v>
      </c>
      <c r="D608" s="16" t="s">
        <v>884</v>
      </c>
      <c r="E608" s="16" t="s">
        <v>50</v>
      </c>
      <c r="F608" s="23">
        <v>46137</v>
      </c>
      <c r="G608" s="28">
        <v>6</v>
      </c>
      <c r="H608" s="28" t="s">
        <v>144</v>
      </c>
      <c r="I608" s="27"/>
      <c r="J608" s="87"/>
    </row>
    <row r="609" spans="1:13" ht="19.149999999999999" customHeight="1" x14ac:dyDescent="0.3">
      <c r="A609" s="16">
        <v>1312423450</v>
      </c>
      <c r="B609" s="16" t="s">
        <v>171</v>
      </c>
      <c r="C609" s="16">
        <v>1</v>
      </c>
      <c r="D609" s="16" t="s">
        <v>914</v>
      </c>
      <c r="E609" s="16" t="s">
        <v>50</v>
      </c>
      <c r="F609" s="23">
        <v>46137</v>
      </c>
      <c r="G609" s="28">
        <v>20</v>
      </c>
      <c r="H609" s="28" t="s">
        <v>270</v>
      </c>
      <c r="I609" s="27">
        <v>35534881</v>
      </c>
      <c r="J609" s="47">
        <v>969090094</v>
      </c>
      <c r="K609" s="5" t="s">
        <v>435</v>
      </c>
      <c r="L609" s="54"/>
      <c r="M609" s="15" t="s">
        <v>12</v>
      </c>
    </row>
    <row r="610" spans="1:13" ht="19.149999999999999" customHeight="1" x14ac:dyDescent="0.3">
      <c r="A610" s="16">
        <v>1312423450</v>
      </c>
      <c r="B610" s="16" t="s">
        <v>171</v>
      </c>
      <c r="C610" s="16">
        <v>1</v>
      </c>
      <c r="D610" s="16" t="s">
        <v>52</v>
      </c>
      <c r="E610" s="16" t="s">
        <v>294</v>
      </c>
      <c r="F610" s="23">
        <v>46137</v>
      </c>
      <c r="G610" s="28">
        <v>17</v>
      </c>
      <c r="H610" s="28" t="s">
        <v>270</v>
      </c>
      <c r="I610" s="27">
        <v>35534881</v>
      </c>
      <c r="J610" s="47">
        <v>969090094</v>
      </c>
      <c r="K610" s="5" t="s">
        <v>435</v>
      </c>
      <c r="L610" s="54"/>
      <c r="M610" s="15" t="s">
        <v>12</v>
      </c>
    </row>
    <row r="611" spans="1:13" ht="19.149999999999999" customHeight="1" x14ac:dyDescent="0.3">
      <c r="A611" s="16">
        <v>1312423450</v>
      </c>
      <c r="B611" s="16" t="s">
        <v>171</v>
      </c>
      <c r="C611" s="16">
        <v>1</v>
      </c>
      <c r="D611" s="16" t="s">
        <v>852</v>
      </c>
      <c r="E611" s="16" t="s">
        <v>294</v>
      </c>
      <c r="F611" s="23">
        <v>46137</v>
      </c>
      <c r="G611" s="28">
        <v>10</v>
      </c>
      <c r="H611" s="28" t="s">
        <v>270</v>
      </c>
      <c r="I611" s="27">
        <v>35534881</v>
      </c>
      <c r="J611" s="47">
        <v>969090094</v>
      </c>
      <c r="K611" s="5" t="s">
        <v>435</v>
      </c>
      <c r="L611" s="54"/>
      <c r="M611" s="15" t="s">
        <v>12</v>
      </c>
    </row>
    <row r="612" spans="1:13" ht="19.149999999999999" customHeight="1" x14ac:dyDescent="0.3">
      <c r="A612" s="16">
        <v>1724467210</v>
      </c>
      <c r="B612" s="16" t="s">
        <v>299</v>
      </c>
      <c r="C612" s="16">
        <v>1</v>
      </c>
      <c r="D612" s="16" t="s">
        <v>300</v>
      </c>
      <c r="E612" s="16" t="s">
        <v>294</v>
      </c>
      <c r="F612" s="23">
        <v>46138</v>
      </c>
      <c r="G612" s="28">
        <v>15</v>
      </c>
      <c r="H612" s="28" t="s">
        <v>270</v>
      </c>
      <c r="I612" s="27">
        <v>641382</v>
      </c>
      <c r="J612" s="47">
        <v>963372093</v>
      </c>
      <c r="K612" s="5" t="s">
        <v>517</v>
      </c>
      <c r="L612" s="54"/>
      <c r="M612" s="15" t="s">
        <v>12</v>
      </c>
    </row>
    <row r="613" spans="1:13" ht="19.149999999999999" customHeight="1" x14ac:dyDescent="0.3">
      <c r="A613" s="16">
        <v>1712530813</v>
      </c>
      <c r="B613" s="16" t="s">
        <v>966</v>
      </c>
      <c r="C613" s="16">
        <v>1</v>
      </c>
      <c r="D613" s="16" t="s">
        <v>786</v>
      </c>
      <c r="E613" s="16" t="s">
        <v>50</v>
      </c>
      <c r="F613" s="23">
        <v>46138</v>
      </c>
      <c r="G613" s="28">
        <v>21</v>
      </c>
      <c r="H613" s="28" t="s">
        <v>17</v>
      </c>
      <c r="I613" s="27"/>
      <c r="J613" s="47">
        <v>987102367</v>
      </c>
      <c r="K613" s="5" t="s">
        <v>1208</v>
      </c>
      <c r="L613" s="54"/>
      <c r="M613" s="15" t="s">
        <v>12</v>
      </c>
    </row>
    <row r="614" spans="1:13" ht="19.149999999999999" customHeight="1" x14ac:dyDescent="0.3">
      <c r="A614" s="16">
        <v>1712530813</v>
      </c>
      <c r="B614" s="16" t="s">
        <v>966</v>
      </c>
      <c r="C614" s="16">
        <v>1</v>
      </c>
      <c r="D614" s="16" t="s">
        <v>6</v>
      </c>
      <c r="E614" s="16" t="s">
        <v>50</v>
      </c>
      <c r="F614" s="23">
        <v>46138</v>
      </c>
      <c r="G614" s="28">
        <v>12</v>
      </c>
      <c r="H614" s="28" t="s">
        <v>17</v>
      </c>
      <c r="I614" s="27"/>
      <c r="J614" s="47">
        <v>987102367</v>
      </c>
      <c r="K614" s="5" t="s">
        <v>1208</v>
      </c>
      <c r="L614" s="54"/>
      <c r="M614" s="15" t="s">
        <v>12</v>
      </c>
    </row>
    <row r="615" spans="1:13" ht="19.149999999999999" customHeight="1" x14ac:dyDescent="0.3">
      <c r="A615" s="16">
        <v>1712530805</v>
      </c>
      <c r="B615" s="16" t="s">
        <v>301</v>
      </c>
      <c r="C615" s="16">
        <v>1</v>
      </c>
      <c r="D615" s="16" t="s">
        <v>102</v>
      </c>
      <c r="E615" s="16" t="s">
        <v>294</v>
      </c>
      <c r="F615" s="23">
        <v>46138</v>
      </c>
      <c r="G615" s="28">
        <v>10</v>
      </c>
      <c r="H615" s="28" t="s">
        <v>17</v>
      </c>
      <c r="I615" s="27"/>
      <c r="J615" s="47">
        <v>958903058</v>
      </c>
      <c r="K615" s="5" t="s">
        <v>519</v>
      </c>
      <c r="L615" s="54"/>
      <c r="M615" s="15" t="s">
        <v>12</v>
      </c>
    </row>
    <row r="616" spans="1:13" ht="19.149999999999999" customHeight="1" x14ac:dyDescent="0.3">
      <c r="A616" s="16">
        <v>1712530805</v>
      </c>
      <c r="B616" s="16" t="s">
        <v>301</v>
      </c>
      <c r="C616" s="16">
        <v>1</v>
      </c>
      <c r="D616" s="16" t="s">
        <v>6</v>
      </c>
      <c r="E616" s="16" t="s">
        <v>294</v>
      </c>
      <c r="F616" s="23">
        <v>46138</v>
      </c>
      <c r="G616" s="28">
        <v>12</v>
      </c>
      <c r="H616" s="28" t="s">
        <v>17</v>
      </c>
      <c r="I616" s="27"/>
      <c r="J616" s="47">
        <v>958903058</v>
      </c>
      <c r="K616" s="5" t="s">
        <v>519</v>
      </c>
      <c r="L616" s="54"/>
      <c r="M616" s="15" t="s">
        <v>12</v>
      </c>
    </row>
    <row r="617" spans="1:13" ht="19.149999999999999" customHeight="1" x14ac:dyDescent="0.3">
      <c r="A617" s="16">
        <v>1722115738</v>
      </c>
      <c r="B617" s="16" t="s">
        <v>210</v>
      </c>
      <c r="C617" s="16">
        <v>1</v>
      </c>
      <c r="D617" s="16" t="s">
        <v>690</v>
      </c>
      <c r="E617" s="16" t="s">
        <v>50</v>
      </c>
      <c r="F617" s="23">
        <v>46138</v>
      </c>
      <c r="G617" s="28">
        <v>22</v>
      </c>
      <c r="H617" s="28" t="s">
        <v>270</v>
      </c>
      <c r="I617" s="27">
        <v>66393415</v>
      </c>
      <c r="J617" s="47">
        <v>984919299</v>
      </c>
      <c r="K617" s="5" t="s">
        <v>516</v>
      </c>
      <c r="L617" s="54"/>
      <c r="M617" s="15" t="s">
        <v>12</v>
      </c>
    </row>
    <row r="618" spans="1:13" ht="19.149999999999999" customHeight="1" x14ac:dyDescent="0.3">
      <c r="A618" s="16">
        <v>930394861</v>
      </c>
      <c r="B618" s="16" t="s">
        <v>276</v>
      </c>
      <c r="C618" s="16">
        <v>1</v>
      </c>
      <c r="D618" s="16" t="s">
        <v>925</v>
      </c>
      <c r="E618" s="16" t="s">
        <v>50</v>
      </c>
      <c r="F618" s="23">
        <v>46139</v>
      </c>
      <c r="G618" s="28">
        <v>20</v>
      </c>
      <c r="H618" s="28" t="s">
        <v>270</v>
      </c>
      <c r="I618" s="27">
        <v>149719054</v>
      </c>
      <c r="J618" s="47">
        <v>967477481</v>
      </c>
      <c r="K618" s="5" t="s">
        <v>491</v>
      </c>
      <c r="L618" s="54"/>
      <c r="M618" s="15" t="s">
        <v>12</v>
      </c>
    </row>
    <row r="619" spans="1:13" ht="19.149999999999999" customHeight="1" x14ac:dyDescent="0.3">
      <c r="A619" s="16">
        <v>1708228880</v>
      </c>
      <c r="B619" s="16" t="s">
        <v>302</v>
      </c>
      <c r="C619" s="16">
        <v>1</v>
      </c>
      <c r="D619" s="16" t="s">
        <v>926</v>
      </c>
      <c r="E619" s="16" t="s">
        <v>50</v>
      </c>
      <c r="F619" s="23">
        <v>46139</v>
      </c>
      <c r="G619" s="28">
        <v>32</v>
      </c>
      <c r="H619" s="28" t="s">
        <v>144</v>
      </c>
      <c r="I619" s="27">
        <v>195</v>
      </c>
      <c r="J619" s="47">
        <v>963817248</v>
      </c>
      <c r="K619" s="5" t="s">
        <v>520</v>
      </c>
      <c r="L619" s="54"/>
      <c r="M619" s="15" t="s">
        <v>12</v>
      </c>
    </row>
    <row r="620" spans="1:13" ht="19.149999999999999" customHeight="1" x14ac:dyDescent="0.3">
      <c r="A620" s="16">
        <v>1720537651</v>
      </c>
      <c r="B620" s="16" t="s">
        <v>332</v>
      </c>
      <c r="C620" s="16">
        <v>1</v>
      </c>
      <c r="D620" s="16" t="s">
        <v>893</v>
      </c>
      <c r="E620" s="16" t="s">
        <v>294</v>
      </c>
      <c r="F620" s="23">
        <v>46140</v>
      </c>
      <c r="G620" s="28">
        <v>20</v>
      </c>
      <c r="H620" s="28" t="s">
        <v>270</v>
      </c>
      <c r="I620" s="27">
        <v>61208887</v>
      </c>
      <c r="J620" s="47">
        <v>984700274</v>
      </c>
      <c r="K620" s="5" t="s">
        <v>431</v>
      </c>
      <c r="L620" s="54"/>
      <c r="M620" s="15" t="s">
        <v>12</v>
      </c>
    </row>
    <row r="621" spans="1:13" ht="19.149999999999999" customHeight="1" x14ac:dyDescent="0.3">
      <c r="A621" s="16">
        <v>40099587</v>
      </c>
      <c r="B621" s="16" t="s">
        <v>174</v>
      </c>
      <c r="C621" s="16">
        <v>1</v>
      </c>
      <c r="D621" s="16" t="s">
        <v>927</v>
      </c>
      <c r="E621" s="16" t="s">
        <v>294</v>
      </c>
      <c r="F621" s="23">
        <v>46141</v>
      </c>
      <c r="G621" s="28">
        <v>26</v>
      </c>
      <c r="H621" s="28" t="s">
        <v>270</v>
      </c>
      <c r="I621" s="27">
        <v>33075114</v>
      </c>
      <c r="J621" s="47">
        <v>981396657</v>
      </c>
      <c r="K621" s="16"/>
      <c r="L621" s="45"/>
      <c r="M621" s="15" t="s">
        <v>12</v>
      </c>
    </row>
    <row r="622" spans="1:13" ht="19.149999999999999" customHeight="1" x14ac:dyDescent="0.3">
      <c r="A622" s="16">
        <v>1721674098</v>
      </c>
      <c r="B622" s="16" t="s">
        <v>190</v>
      </c>
      <c r="C622" s="16">
        <v>1</v>
      </c>
      <c r="D622" s="16" t="s">
        <v>706</v>
      </c>
      <c r="E622" s="16" t="s">
        <v>303</v>
      </c>
      <c r="F622" s="23">
        <v>46141</v>
      </c>
      <c r="G622" s="28">
        <v>5</v>
      </c>
      <c r="H622" s="28" t="s">
        <v>270</v>
      </c>
      <c r="I622" s="27">
        <v>60652455</v>
      </c>
      <c r="J622" s="47">
        <v>981396657</v>
      </c>
      <c r="K622" s="5"/>
      <c r="L622" s="54"/>
      <c r="M622" s="15" t="s">
        <v>12</v>
      </c>
    </row>
    <row r="623" spans="1:13" ht="19.149999999999999" customHeight="1" x14ac:dyDescent="0.3">
      <c r="A623" s="16" t="s">
        <v>658</v>
      </c>
      <c r="B623" s="16" t="s">
        <v>66</v>
      </c>
      <c r="C623" s="16">
        <v>1</v>
      </c>
      <c r="D623" s="16" t="s">
        <v>719</v>
      </c>
      <c r="E623" s="16" t="s">
        <v>294</v>
      </c>
      <c r="F623" s="23">
        <v>46141</v>
      </c>
      <c r="G623" s="28">
        <v>10</v>
      </c>
      <c r="H623" s="28" t="s">
        <v>270</v>
      </c>
      <c r="I623" s="27">
        <v>43290994</v>
      </c>
      <c r="J623" s="47">
        <v>981396657</v>
      </c>
      <c r="K623" s="5"/>
      <c r="L623" s="54"/>
      <c r="M623" s="15" t="s">
        <v>12</v>
      </c>
    </row>
    <row r="624" spans="1:13" ht="19.149999999999999" customHeight="1" x14ac:dyDescent="0.3">
      <c r="A624" s="16">
        <v>1720226214</v>
      </c>
      <c r="B624" s="16" t="s">
        <v>205</v>
      </c>
      <c r="C624" s="16">
        <v>1</v>
      </c>
      <c r="D624" s="16" t="s">
        <v>912</v>
      </c>
      <c r="E624" s="16" t="s">
        <v>50</v>
      </c>
      <c r="F624" s="23">
        <v>46141</v>
      </c>
      <c r="G624" s="28">
        <v>32</v>
      </c>
      <c r="H624" s="28" t="s">
        <v>270</v>
      </c>
      <c r="I624" s="27">
        <v>64644408</v>
      </c>
      <c r="J624" s="47">
        <v>984342245</v>
      </c>
      <c r="K624" s="5" t="s">
        <v>521</v>
      </c>
      <c r="L624" s="54"/>
      <c r="M624" s="15" t="s">
        <v>12</v>
      </c>
    </row>
    <row r="625" spans="1:13" ht="19.149999999999999" customHeight="1" x14ac:dyDescent="0.3">
      <c r="A625" s="16">
        <v>1707963227</v>
      </c>
      <c r="B625" s="16" t="s">
        <v>33</v>
      </c>
      <c r="C625" s="16">
        <v>1</v>
      </c>
      <c r="D625" s="16" t="s">
        <v>925</v>
      </c>
      <c r="E625" s="16" t="s">
        <v>50</v>
      </c>
      <c r="F625" s="23">
        <v>46141</v>
      </c>
      <c r="G625" s="28">
        <v>20</v>
      </c>
      <c r="H625" s="28" t="s">
        <v>144</v>
      </c>
      <c r="I625" s="27">
        <v>197</v>
      </c>
      <c r="J625" s="47">
        <v>962842721</v>
      </c>
      <c r="K625" s="5" t="s">
        <v>399</v>
      </c>
      <c r="L625" s="64">
        <v>46242</v>
      </c>
      <c r="M625" s="62" t="s">
        <v>12</v>
      </c>
    </row>
    <row r="626" spans="1:13" ht="19.149999999999999" customHeight="1" x14ac:dyDescent="0.3">
      <c r="A626" s="16" t="s">
        <v>658</v>
      </c>
      <c r="B626" s="16" t="s">
        <v>305</v>
      </c>
      <c r="C626" s="16">
        <v>1</v>
      </c>
      <c r="D626" s="16" t="s">
        <v>706</v>
      </c>
      <c r="E626" s="16" t="s">
        <v>294</v>
      </c>
      <c r="F626" s="23">
        <v>46142</v>
      </c>
      <c r="G626" s="28">
        <v>5</v>
      </c>
      <c r="H626" s="28" t="s">
        <v>144</v>
      </c>
      <c r="I626" s="27">
        <v>202</v>
      </c>
      <c r="J626" s="87"/>
    </row>
    <row r="627" spans="1:13" ht="19.149999999999999" customHeight="1" x14ac:dyDescent="0.3">
      <c r="A627" s="16">
        <v>1714986860</v>
      </c>
      <c r="B627" s="16" t="s">
        <v>304</v>
      </c>
      <c r="C627" s="16">
        <v>1</v>
      </c>
      <c r="D627" s="16" t="s">
        <v>724</v>
      </c>
      <c r="E627" s="16" t="s">
        <v>294</v>
      </c>
      <c r="F627" s="23">
        <v>46142</v>
      </c>
      <c r="G627" s="28">
        <v>15</v>
      </c>
      <c r="H627" s="28" t="s">
        <v>144</v>
      </c>
      <c r="I627" s="27">
        <v>201</v>
      </c>
      <c r="J627" s="47">
        <v>983019963</v>
      </c>
      <c r="K627" s="5" t="s">
        <v>522</v>
      </c>
      <c r="L627" s="54"/>
      <c r="M627" s="15" t="s">
        <v>12</v>
      </c>
    </row>
    <row r="628" spans="1:13" ht="19.149999999999999" customHeight="1" x14ac:dyDescent="0.3">
      <c r="A628" s="16" t="s">
        <v>658</v>
      </c>
      <c r="B628" s="16" t="s">
        <v>306</v>
      </c>
      <c r="C628" s="16">
        <v>1</v>
      </c>
      <c r="D628" s="16" t="s">
        <v>706</v>
      </c>
      <c r="E628" s="16" t="s">
        <v>50</v>
      </c>
      <c r="F628" s="23">
        <v>46142</v>
      </c>
      <c r="G628" s="28">
        <v>5</v>
      </c>
      <c r="H628" s="28" t="s">
        <v>144</v>
      </c>
      <c r="I628" s="27">
        <v>202</v>
      </c>
      <c r="J628" s="87"/>
    </row>
    <row r="629" spans="1:13" ht="19.149999999999999" customHeight="1" x14ac:dyDescent="0.3">
      <c r="A629" s="16">
        <v>1718740796</v>
      </c>
      <c r="B629" s="16" t="s">
        <v>317</v>
      </c>
      <c r="C629" s="16">
        <v>1</v>
      </c>
      <c r="D629" s="16" t="s">
        <v>28</v>
      </c>
      <c r="E629" s="16" t="s">
        <v>294</v>
      </c>
      <c r="F629" s="23">
        <v>46142</v>
      </c>
      <c r="G629" s="28">
        <v>15</v>
      </c>
      <c r="H629" s="28" t="s">
        <v>270</v>
      </c>
      <c r="I629" s="27">
        <v>47676945</v>
      </c>
      <c r="J629" s="47">
        <v>984039489</v>
      </c>
      <c r="K629" s="5" t="s">
        <v>530</v>
      </c>
      <c r="L629" s="54"/>
      <c r="M629" s="15" t="s">
        <v>12</v>
      </c>
    </row>
    <row r="630" spans="1:13" ht="19.149999999999999" customHeight="1" x14ac:dyDescent="0.3">
      <c r="A630" s="16">
        <v>1708000698</v>
      </c>
      <c r="B630" s="16" t="s">
        <v>355</v>
      </c>
      <c r="C630" s="16">
        <v>1</v>
      </c>
      <c r="D630" s="16" t="s">
        <v>28</v>
      </c>
      <c r="E630" s="16" t="s">
        <v>294</v>
      </c>
      <c r="F630" s="23">
        <v>46144</v>
      </c>
      <c r="G630" s="28">
        <v>15</v>
      </c>
      <c r="H630" s="28" t="s">
        <v>37</v>
      </c>
      <c r="I630" s="27">
        <v>146555541</v>
      </c>
      <c r="J630" s="80">
        <v>999782426</v>
      </c>
      <c r="K630" s="5" t="s">
        <v>523</v>
      </c>
      <c r="L630" s="54"/>
      <c r="M630" s="15" t="s">
        <v>12</v>
      </c>
    </row>
    <row r="631" spans="1:13" ht="19.149999999999999" customHeight="1" x14ac:dyDescent="0.3">
      <c r="A631" s="16">
        <v>1717869984</v>
      </c>
      <c r="B631" s="16" t="s">
        <v>308</v>
      </c>
      <c r="C631" s="16">
        <v>1</v>
      </c>
      <c r="D631" s="16" t="s">
        <v>937</v>
      </c>
      <c r="E631" s="16" t="s">
        <v>50</v>
      </c>
      <c r="F631" s="23">
        <v>46144</v>
      </c>
      <c r="G631" s="28">
        <v>23</v>
      </c>
      <c r="H631" s="28" t="s">
        <v>37</v>
      </c>
      <c r="I631" s="27">
        <v>146932112</v>
      </c>
      <c r="J631" s="47">
        <v>984253456</v>
      </c>
      <c r="K631" s="5" t="s">
        <v>524</v>
      </c>
      <c r="L631" s="54"/>
      <c r="M631" s="15" t="s">
        <v>12</v>
      </c>
    </row>
    <row r="632" spans="1:13" ht="19.149999999999999" customHeight="1" x14ac:dyDescent="0.3">
      <c r="A632" s="16">
        <v>1721182903</v>
      </c>
      <c r="B632" s="16" t="s">
        <v>95</v>
      </c>
      <c r="C632" s="16">
        <v>1</v>
      </c>
      <c r="D632" s="16" t="s">
        <v>6</v>
      </c>
      <c r="E632" s="16" t="s">
        <v>294</v>
      </c>
      <c r="F632" s="23">
        <v>46144</v>
      </c>
      <c r="G632" s="28">
        <v>12</v>
      </c>
      <c r="H632" s="28" t="s">
        <v>144</v>
      </c>
      <c r="I632" s="26"/>
      <c r="J632" s="44">
        <v>998420775</v>
      </c>
      <c r="K632" s="4" t="s">
        <v>407</v>
      </c>
      <c r="L632" s="54"/>
      <c r="M632" s="15" t="s">
        <v>12</v>
      </c>
    </row>
    <row r="633" spans="1:13" ht="19.149999999999999" customHeight="1" x14ac:dyDescent="0.3">
      <c r="A633" s="16">
        <v>1721182903</v>
      </c>
      <c r="B633" s="16" t="s">
        <v>95</v>
      </c>
      <c r="C633" s="16">
        <v>1</v>
      </c>
      <c r="D633" s="16" t="s">
        <v>102</v>
      </c>
      <c r="E633" s="16" t="s">
        <v>50</v>
      </c>
      <c r="F633" s="23">
        <v>46144</v>
      </c>
      <c r="G633" s="28">
        <v>10</v>
      </c>
      <c r="H633" s="28" t="s">
        <v>144</v>
      </c>
      <c r="I633" s="26"/>
      <c r="J633" s="44">
        <v>998420775</v>
      </c>
      <c r="K633" s="4" t="s">
        <v>407</v>
      </c>
      <c r="L633" s="54"/>
      <c r="M633" s="15" t="s">
        <v>12</v>
      </c>
    </row>
    <row r="634" spans="1:13" ht="19.149999999999999" customHeight="1" x14ac:dyDescent="0.3">
      <c r="A634" s="16">
        <v>1721182903</v>
      </c>
      <c r="B634" s="16" t="s">
        <v>95</v>
      </c>
      <c r="C634" s="16">
        <v>1</v>
      </c>
      <c r="D634" s="16" t="s">
        <v>307</v>
      </c>
      <c r="E634" s="16" t="s">
        <v>294</v>
      </c>
      <c r="F634" s="23">
        <v>46144</v>
      </c>
      <c r="G634" s="28">
        <v>10</v>
      </c>
      <c r="H634" s="28" t="s">
        <v>144</v>
      </c>
      <c r="I634" s="27"/>
      <c r="J634" s="44">
        <v>998420775</v>
      </c>
      <c r="K634" s="4" t="s">
        <v>407</v>
      </c>
      <c r="L634" s="54"/>
      <c r="M634" s="15" t="s">
        <v>12</v>
      </c>
    </row>
    <row r="635" spans="1:13" ht="19.149999999999999" customHeight="1" x14ac:dyDescent="0.3">
      <c r="A635" s="16">
        <v>1716954423</v>
      </c>
      <c r="B635" s="16" t="s">
        <v>280</v>
      </c>
      <c r="C635" s="16">
        <v>1</v>
      </c>
      <c r="D635" s="16" t="s">
        <v>28</v>
      </c>
      <c r="E635" s="16" t="s">
        <v>294</v>
      </c>
      <c r="F635" s="23">
        <v>46144</v>
      </c>
      <c r="G635" s="28">
        <v>15</v>
      </c>
      <c r="H635" s="28" t="s">
        <v>37</v>
      </c>
      <c r="I635" s="26">
        <v>1465501100</v>
      </c>
      <c r="J635" s="47">
        <v>984634793</v>
      </c>
      <c r="K635" s="5" t="s">
        <v>495</v>
      </c>
      <c r="L635" s="54"/>
      <c r="M635" s="15" t="s">
        <v>12</v>
      </c>
    </row>
    <row r="636" spans="1:13" ht="19.149999999999999" customHeight="1" x14ac:dyDescent="0.3">
      <c r="A636" s="16">
        <v>1712514031</v>
      </c>
      <c r="B636" s="16" t="s">
        <v>972</v>
      </c>
      <c r="C636" s="16">
        <v>1</v>
      </c>
      <c r="D636" s="16" t="s">
        <v>102</v>
      </c>
      <c r="E636" s="16" t="s">
        <v>294</v>
      </c>
      <c r="F636" s="23">
        <v>46145</v>
      </c>
      <c r="G636" s="28">
        <v>10</v>
      </c>
      <c r="H636" s="28" t="s">
        <v>37</v>
      </c>
      <c r="I636" s="26">
        <v>200231010</v>
      </c>
      <c r="J636" s="47">
        <v>990220801</v>
      </c>
      <c r="K636" s="5" t="s">
        <v>418</v>
      </c>
      <c r="L636" s="54"/>
      <c r="M636" s="15" t="s">
        <v>12</v>
      </c>
    </row>
    <row r="637" spans="1:13" ht="19.149999999999999" customHeight="1" x14ac:dyDescent="0.3">
      <c r="A637" s="16">
        <v>1720222817</v>
      </c>
      <c r="B637" s="16" t="s">
        <v>245</v>
      </c>
      <c r="C637" s="16">
        <v>1</v>
      </c>
      <c r="D637" s="16" t="s">
        <v>786</v>
      </c>
      <c r="E637" s="16" t="s">
        <v>50</v>
      </c>
      <c r="F637" s="23">
        <v>46145</v>
      </c>
      <c r="G637" s="28">
        <v>21</v>
      </c>
      <c r="H637" s="28" t="s">
        <v>37</v>
      </c>
      <c r="I637" s="27">
        <v>194432604</v>
      </c>
      <c r="J637" s="47">
        <v>998764756</v>
      </c>
      <c r="K637" s="5" t="s">
        <v>497</v>
      </c>
      <c r="L637" s="54"/>
      <c r="M637" s="15" t="s">
        <v>12</v>
      </c>
    </row>
    <row r="638" spans="1:13" ht="19.149999999999999" customHeight="1" x14ac:dyDescent="0.3">
      <c r="A638" s="16">
        <v>1721480851</v>
      </c>
      <c r="B638" s="16" t="s">
        <v>309</v>
      </c>
      <c r="C638" s="16">
        <v>1</v>
      </c>
      <c r="D638" s="16" t="s">
        <v>6</v>
      </c>
      <c r="E638" s="16" t="s">
        <v>50</v>
      </c>
      <c r="F638" s="23">
        <v>46145</v>
      </c>
      <c r="G638" s="28">
        <v>12</v>
      </c>
      <c r="H638" s="28" t="s">
        <v>37</v>
      </c>
      <c r="I638" s="27">
        <v>199439223</v>
      </c>
      <c r="J638" s="47">
        <v>984083649</v>
      </c>
      <c r="K638" s="5" t="s">
        <v>525</v>
      </c>
      <c r="L638" s="54"/>
      <c r="M638" s="15" t="s">
        <v>12</v>
      </c>
    </row>
    <row r="639" spans="1:13" ht="19.149999999999999" customHeight="1" x14ac:dyDescent="0.3">
      <c r="A639" s="16">
        <v>1714400965</v>
      </c>
      <c r="B639" s="16" t="s">
        <v>685</v>
      </c>
      <c r="C639" s="16">
        <v>1</v>
      </c>
      <c r="D639" s="16" t="s">
        <v>711</v>
      </c>
      <c r="E639" s="16" t="s">
        <v>294</v>
      </c>
      <c r="F639" s="23">
        <v>46145</v>
      </c>
      <c r="G639" s="28">
        <v>27</v>
      </c>
      <c r="H639" s="28" t="s">
        <v>37</v>
      </c>
      <c r="I639" s="27">
        <v>195970280</v>
      </c>
      <c r="J639" s="47">
        <v>985305885</v>
      </c>
      <c r="K639" s="5" t="s">
        <v>498</v>
      </c>
      <c r="L639" s="54"/>
      <c r="M639" s="15" t="s">
        <v>12</v>
      </c>
    </row>
    <row r="640" spans="1:13" ht="19.149999999999999" customHeight="1" x14ac:dyDescent="0.3">
      <c r="A640" s="16">
        <v>1718590746</v>
      </c>
      <c r="B640" s="16" t="s">
        <v>181</v>
      </c>
      <c r="C640" s="16">
        <v>1</v>
      </c>
      <c r="D640" s="16" t="s">
        <v>905</v>
      </c>
      <c r="E640" s="16" t="s">
        <v>50</v>
      </c>
      <c r="F640" s="23">
        <v>46146</v>
      </c>
      <c r="G640" s="28">
        <v>7.5</v>
      </c>
      <c r="H640" s="28" t="s">
        <v>270</v>
      </c>
      <c r="I640" s="27">
        <v>65432527</v>
      </c>
      <c r="J640" s="87"/>
    </row>
    <row r="641" spans="1:13" ht="19.149999999999999" customHeight="1" x14ac:dyDescent="0.3">
      <c r="A641" s="16">
        <v>1718590746</v>
      </c>
      <c r="B641" s="16" t="s">
        <v>181</v>
      </c>
      <c r="C641" s="16">
        <v>1</v>
      </c>
      <c r="D641" s="16" t="s">
        <v>905</v>
      </c>
      <c r="E641" s="16" t="s">
        <v>294</v>
      </c>
      <c r="F641" s="23">
        <v>46146</v>
      </c>
      <c r="G641" s="28">
        <v>7.5</v>
      </c>
      <c r="H641" s="28" t="s">
        <v>270</v>
      </c>
      <c r="I641" s="27">
        <v>65432527</v>
      </c>
      <c r="J641" s="87"/>
    </row>
    <row r="642" spans="1:13" ht="19.149999999999999" customHeight="1" x14ac:dyDescent="0.3">
      <c r="A642" s="16">
        <v>716636871</v>
      </c>
      <c r="B642" s="16" t="s">
        <v>686</v>
      </c>
      <c r="C642" s="16">
        <v>1</v>
      </c>
      <c r="D642" s="16" t="s">
        <v>311</v>
      </c>
      <c r="E642" s="16" t="s">
        <v>294</v>
      </c>
      <c r="F642" s="23">
        <v>46147</v>
      </c>
      <c r="G642" s="28">
        <v>10</v>
      </c>
      <c r="H642" s="28" t="s">
        <v>270</v>
      </c>
      <c r="I642" s="27">
        <v>62787048</v>
      </c>
      <c r="J642" s="47">
        <v>984204864</v>
      </c>
      <c r="K642" s="5" t="s">
        <v>526</v>
      </c>
      <c r="L642" s="54"/>
      <c r="M642" s="15" t="s">
        <v>12</v>
      </c>
    </row>
    <row r="643" spans="1:13" ht="19.149999999999999" customHeight="1" x14ac:dyDescent="0.3">
      <c r="A643" s="16">
        <v>1751746262</v>
      </c>
      <c r="B643" s="16" t="s">
        <v>310</v>
      </c>
      <c r="C643" s="16">
        <v>1</v>
      </c>
      <c r="D643" s="16" t="s">
        <v>818</v>
      </c>
      <c r="E643" s="16" t="s">
        <v>50</v>
      </c>
      <c r="F643" s="23">
        <v>46147</v>
      </c>
      <c r="G643" s="28">
        <v>10</v>
      </c>
      <c r="H643" s="28" t="s">
        <v>144</v>
      </c>
      <c r="I643" s="27">
        <v>208</v>
      </c>
      <c r="J643" s="87"/>
    </row>
    <row r="644" spans="1:13" ht="19.149999999999999" customHeight="1" x14ac:dyDescent="0.3">
      <c r="A644" s="16" t="s">
        <v>658</v>
      </c>
      <c r="B644" s="16" t="s">
        <v>683</v>
      </c>
      <c r="C644" s="16">
        <v>1</v>
      </c>
      <c r="D644" s="16" t="s">
        <v>886</v>
      </c>
      <c r="E644" s="16" t="s">
        <v>103</v>
      </c>
      <c r="F644" s="23">
        <v>46148</v>
      </c>
      <c r="G644" s="28">
        <v>6</v>
      </c>
      <c r="H644" s="28" t="s">
        <v>270</v>
      </c>
      <c r="I644" s="27">
        <v>60896372</v>
      </c>
      <c r="J644" s="87"/>
    </row>
    <row r="645" spans="1:13" ht="19.149999999999999" customHeight="1" x14ac:dyDescent="0.3">
      <c r="A645" s="16">
        <v>1705374740</v>
      </c>
      <c r="B645" s="16" t="s">
        <v>979</v>
      </c>
      <c r="C645" s="16">
        <v>1</v>
      </c>
      <c r="D645" s="16" t="s">
        <v>28</v>
      </c>
      <c r="E645" s="16" t="s">
        <v>50</v>
      </c>
      <c r="F645" s="23">
        <v>46148</v>
      </c>
      <c r="G645" s="28">
        <v>15</v>
      </c>
      <c r="H645" s="28" t="s">
        <v>144</v>
      </c>
      <c r="I645" s="27">
        <v>212</v>
      </c>
      <c r="J645" s="47">
        <v>999226285</v>
      </c>
      <c r="K645" s="5"/>
      <c r="L645" s="54"/>
      <c r="M645" s="15" t="s">
        <v>12</v>
      </c>
    </row>
    <row r="646" spans="1:13" ht="19.149999999999999" customHeight="1" x14ac:dyDescent="0.3">
      <c r="A646" s="16">
        <v>706708302</v>
      </c>
      <c r="B646" s="16" t="s">
        <v>313</v>
      </c>
      <c r="C646" s="16">
        <v>1</v>
      </c>
      <c r="D646" s="16" t="s">
        <v>928</v>
      </c>
      <c r="E646" s="16" t="s">
        <v>294</v>
      </c>
      <c r="F646" s="23">
        <v>46148</v>
      </c>
      <c r="G646" s="28">
        <v>67</v>
      </c>
      <c r="H646" s="28" t="s">
        <v>144</v>
      </c>
      <c r="I646" s="26">
        <v>209</v>
      </c>
      <c r="J646" s="87"/>
      <c r="K646" s="5" t="s">
        <v>528</v>
      </c>
    </row>
    <row r="647" spans="1:13" ht="19.149999999999999" customHeight="1" x14ac:dyDescent="0.3">
      <c r="A647" s="16">
        <v>703191148</v>
      </c>
      <c r="B647" s="16" t="s">
        <v>312</v>
      </c>
      <c r="C647" s="16">
        <v>1</v>
      </c>
      <c r="D647" s="16" t="s">
        <v>787</v>
      </c>
      <c r="E647" s="16" t="s">
        <v>50</v>
      </c>
      <c r="F647" s="23">
        <v>46148</v>
      </c>
      <c r="G647" s="28">
        <v>27</v>
      </c>
      <c r="H647" s="28" t="s">
        <v>144</v>
      </c>
      <c r="I647" s="26">
        <v>209</v>
      </c>
      <c r="J647" s="47">
        <v>988807531</v>
      </c>
      <c r="K647" s="5" t="s">
        <v>527</v>
      </c>
      <c r="L647" s="54"/>
      <c r="M647" s="15" t="s">
        <v>12</v>
      </c>
    </row>
    <row r="648" spans="1:13" ht="19.149999999999999" customHeight="1" x14ac:dyDescent="0.3">
      <c r="A648" s="16" t="s">
        <v>658</v>
      </c>
      <c r="B648" s="16" t="s">
        <v>314</v>
      </c>
      <c r="C648" s="16">
        <v>1</v>
      </c>
      <c r="D648" s="16" t="s">
        <v>691</v>
      </c>
      <c r="E648" s="16" t="s">
        <v>294</v>
      </c>
      <c r="F648" s="23">
        <v>46148</v>
      </c>
      <c r="G648" s="28">
        <v>20</v>
      </c>
      <c r="H648" s="28" t="s">
        <v>144</v>
      </c>
      <c r="I648" s="26">
        <v>212</v>
      </c>
      <c r="J648" s="87"/>
    </row>
    <row r="649" spans="1:13" ht="19.149999999999999" customHeight="1" x14ac:dyDescent="0.3">
      <c r="A649" s="16">
        <v>1720116506</v>
      </c>
      <c r="B649" s="16" t="s">
        <v>315</v>
      </c>
      <c r="C649" s="16">
        <v>1</v>
      </c>
      <c r="D649" s="16" t="s">
        <v>725</v>
      </c>
      <c r="E649" s="16" t="s">
        <v>294</v>
      </c>
      <c r="F649" s="23">
        <v>46149</v>
      </c>
      <c r="G649" s="28">
        <v>40</v>
      </c>
      <c r="H649" s="28" t="s">
        <v>144</v>
      </c>
      <c r="I649" s="27">
        <v>214</v>
      </c>
      <c r="J649" s="47">
        <v>983894595</v>
      </c>
      <c r="K649" s="5" t="s">
        <v>529</v>
      </c>
      <c r="L649" s="54"/>
      <c r="M649" s="15" t="s">
        <v>12</v>
      </c>
    </row>
    <row r="650" spans="1:13" ht="19.149999999999999" customHeight="1" x14ac:dyDescent="0.3">
      <c r="A650" s="16">
        <v>401388814</v>
      </c>
      <c r="B650" s="16" t="s">
        <v>290</v>
      </c>
      <c r="C650" s="16">
        <v>1</v>
      </c>
      <c r="D650" s="16" t="s">
        <v>929</v>
      </c>
      <c r="E650" s="16" t="s">
        <v>50</v>
      </c>
      <c r="F650" s="23">
        <v>46149</v>
      </c>
      <c r="G650" s="28">
        <v>22</v>
      </c>
      <c r="H650" s="28" t="s">
        <v>270</v>
      </c>
      <c r="I650" s="27">
        <v>5123185</v>
      </c>
      <c r="J650" s="47">
        <v>987346064</v>
      </c>
      <c r="K650" s="5" t="s">
        <v>504</v>
      </c>
      <c r="L650" s="54"/>
      <c r="M650" s="15" t="s">
        <v>12</v>
      </c>
    </row>
    <row r="651" spans="1:13" ht="19.149999999999999" customHeight="1" x14ac:dyDescent="0.3">
      <c r="A651" s="16">
        <v>1721675153</v>
      </c>
      <c r="B651" s="16" t="s">
        <v>156</v>
      </c>
      <c r="C651" s="16">
        <v>1</v>
      </c>
      <c r="D651" s="16" t="s">
        <v>708</v>
      </c>
      <c r="E651" s="16" t="s">
        <v>50</v>
      </c>
      <c r="F651" s="23">
        <v>46149</v>
      </c>
      <c r="G651" s="28">
        <v>5</v>
      </c>
      <c r="H651" s="28" t="s">
        <v>270</v>
      </c>
      <c r="I651" s="26">
        <v>56126199</v>
      </c>
      <c r="J651" s="47">
        <v>992877753</v>
      </c>
      <c r="K651" s="5" t="s">
        <v>464</v>
      </c>
      <c r="L651" s="54"/>
      <c r="M651" s="15" t="s">
        <v>12</v>
      </c>
    </row>
    <row r="652" spans="1:13" ht="19.149999999999999" customHeight="1" x14ac:dyDescent="0.3">
      <c r="A652" s="16">
        <v>1714063292</v>
      </c>
      <c r="B652" s="16" t="s">
        <v>29</v>
      </c>
      <c r="C652" s="16">
        <v>1</v>
      </c>
      <c r="D652" s="16" t="s">
        <v>695</v>
      </c>
      <c r="E652" s="16" t="s">
        <v>50</v>
      </c>
      <c r="F652" s="23">
        <v>46149</v>
      </c>
      <c r="G652" s="28">
        <v>22</v>
      </c>
      <c r="H652" s="28" t="s">
        <v>17</v>
      </c>
      <c r="I652" s="26"/>
      <c r="J652" s="47">
        <v>995674830</v>
      </c>
      <c r="K652" s="5" t="s">
        <v>430</v>
      </c>
      <c r="L652" s="54"/>
      <c r="M652" s="15" t="s">
        <v>12</v>
      </c>
    </row>
    <row r="653" spans="1:13" ht="19.149999999999999" customHeight="1" x14ac:dyDescent="0.3">
      <c r="A653" s="16">
        <v>1719430991</v>
      </c>
      <c r="B653" s="16" t="s">
        <v>289</v>
      </c>
      <c r="C653" s="16">
        <v>1</v>
      </c>
      <c r="D653" s="16" t="s">
        <v>28</v>
      </c>
      <c r="E653" s="16" t="s">
        <v>50</v>
      </c>
      <c r="F653" s="23">
        <v>46150</v>
      </c>
      <c r="G653" s="28">
        <v>15</v>
      </c>
      <c r="H653" s="28" t="s">
        <v>270</v>
      </c>
      <c r="I653" s="26">
        <v>36236890</v>
      </c>
      <c r="J653" s="47">
        <v>998950453</v>
      </c>
      <c r="K653" s="5" t="s">
        <v>503</v>
      </c>
      <c r="L653" s="54"/>
      <c r="M653" s="15" t="s">
        <v>12</v>
      </c>
    </row>
    <row r="654" spans="1:13" ht="19.149999999999999" customHeight="1" x14ac:dyDescent="0.3">
      <c r="A654" s="16" t="s">
        <v>658</v>
      </c>
      <c r="B654" s="16" t="s">
        <v>967</v>
      </c>
      <c r="C654" s="16">
        <v>1</v>
      </c>
      <c r="D654" s="16" t="s">
        <v>930</v>
      </c>
      <c r="E654" s="16" t="s">
        <v>294</v>
      </c>
      <c r="F654" s="23">
        <v>46150</v>
      </c>
      <c r="G654" s="28">
        <v>25</v>
      </c>
      <c r="H654" s="28" t="s">
        <v>40</v>
      </c>
      <c r="I654" s="26">
        <v>33673433</v>
      </c>
      <c r="J654" s="87"/>
    </row>
    <row r="655" spans="1:13" ht="19.149999999999999" customHeight="1" x14ac:dyDescent="0.3">
      <c r="A655" s="16">
        <v>1724928609</v>
      </c>
      <c r="B655" s="16" t="s">
        <v>291</v>
      </c>
      <c r="C655" s="16">
        <v>1</v>
      </c>
      <c r="D655" s="16" t="s">
        <v>906</v>
      </c>
      <c r="E655" s="16" t="s">
        <v>50</v>
      </c>
      <c r="F655" s="23">
        <v>46150</v>
      </c>
      <c r="G655" s="28">
        <v>26</v>
      </c>
      <c r="H655" s="28" t="s">
        <v>17</v>
      </c>
      <c r="I655" s="27"/>
      <c r="J655" s="47">
        <v>999761283</v>
      </c>
      <c r="K655" s="5" t="s">
        <v>506</v>
      </c>
      <c r="L655" s="54"/>
      <c r="M655" s="15" t="s">
        <v>12</v>
      </c>
    </row>
    <row r="656" spans="1:13" ht="19.149999999999999" customHeight="1" x14ac:dyDescent="0.3">
      <c r="A656" s="16">
        <v>1724928609</v>
      </c>
      <c r="B656" s="16" t="s">
        <v>291</v>
      </c>
      <c r="C656" s="16">
        <v>1</v>
      </c>
      <c r="D656" s="16" t="s">
        <v>6</v>
      </c>
      <c r="E656" s="16" t="s">
        <v>294</v>
      </c>
      <c r="F656" s="23">
        <v>46150</v>
      </c>
      <c r="G656" s="28">
        <v>12</v>
      </c>
      <c r="H656" s="28" t="s">
        <v>17</v>
      </c>
      <c r="I656" s="26"/>
      <c r="J656" s="47">
        <v>999761283</v>
      </c>
      <c r="K656" s="5" t="s">
        <v>506</v>
      </c>
      <c r="L656" s="54"/>
      <c r="M656" s="15" t="s">
        <v>12</v>
      </c>
    </row>
    <row r="657" spans="1:13" ht="19.149999999999999" customHeight="1" x14ac:dyDescent="0.3">
      <c r="A657" s="16">
        <v>172665534</v>
      </c>
      <c r="B657" s="16" t="s">
        <v>316</v>
      </c>
      <c r="C657" s="16">
        <v>1</v>
      </c>
      <c r="D657" s="16" t="s">
        <v>828</v>
      </c>
      <c r="E657" s="16" t="s">
        <v>294</v>
      </c>
      <c r="F657" s="23">
        <v>46150</v>
      </c>
      <c r="G657" s="28">
        <v>23</v>
      </c>
      <c r="H657" s="28" t="s">
        <v>17</v>
      </c>
      <c r="I657" s="27"/>
      <c r="J657" s="47">
        <v>999207538</v>
      </c>
      <c r="K657" s="5" t="s">
        <v>543</v>
      </c>
      <c r="L657" s="54"/>
      <c r="M657" s="15" t="s">
        <v>12</v>
      </c>
    </row>
    <row r="658" spans="1:13" ht="19.149999999999999" customHeight="1" x14ac:dyDescent="0.3">
      <c r="A658" s="16">
        <v>1712145372</v>
      </c>
      <c r="B658" s="16" t="s">
        <v>319</v>
      </c>
      <c r="C658" s="16">
        <v>1</v>
      </c>
      <c r="D658" s="16" t="s">
        <v>788</v>
      </c>
      <c r="E658" s="16" t="s">
        <v>50</v>
      </c>
      <c r="F658" s="23">
        <v>46151</v>
      </c>
      <c r="G658" s="28">
        <f>15+10</f>
        <v>25</v>
      </c>
      <c r="H658" s="28" t="s">
        <v>18</v>
      </c>
      <c r="I658" s="27"/>
      <c r="J658" s="47">
        <v>999708708</v>
      </c>
      <c r="K658" s="5" t="s">
        <v>531</v>
      </c>
      <c r="L658" s="54"/>
      <c r="M658" s="15" t="s">
        <v>12</v>
      </c>
    </row>
    <row r="659" spans="1:13" ht="19.149999999999999" customHeight="1" x14ac:dyDescent="0.3">
      <c r="A659" s="16">
        <v>1712145372</v>
      </c>
      <c r="B659" s="16" t="s">
        <v>319</v>
      </c>
      <c r="C659" s="16">
        <v>1</v>
      </c>
      <c r="D659" s="16" t="s">
        <v>789</v>
      </c>
      <c r="E659" s="16" t="s">
        <v>294</v>
      </c>
      <c r="F659" s="23">
        <v>46151</v>
      </c>
      <c r="G659" s="28">
        <f>(15*0.7)+10</f>
        <v>20.5</v>
      </c>
      <c r="H659" s="28" t="s">
        <v>18</v>
      </c>
      <c r="I659" s="26"/>
      <c r="J659" s="47">
        <v>999708708</v>
      </c>
      <c r="K659" s="5" t="s">
        <v>531</v>
      </c>
      <c r="L659" s="54"/>
      <c r="M659" s="15" t="s">
        <v>12</v>
      </c>
    </row>
    <row r="660" spans="1:13" ht="19.149999999999999" customHeight="1" x14ac:dyDescent="0.3">
      <c r="A660" s="16">
        <v>1701432229</v>
      </c>
      <c r="B660" s="16" t="s">
        <v>58</v>
      </c>
      <c r="C660" s="16">
        <v>1</v>
      </c>
      <c r="D660" s="16" t="s">
        <v>28</v>
      </c>
      <c r="E660" s="16" t="s">
        <v>50</v>
      </c>
      <c r="F660" s="23">
        <v>46151</v>
      </c>
      <c r="G660" s="28">
        <v>15</v>
      </c>
      <c r="H660" s="28" t="s">
        <v>37</v>
      </c>
      <c r="I660" s="26">
        <v>21044568</v>
      </c>
      <c r="J660" s="47">
        <v>962842721</v>
      </c>
      <c r="K660" s="5" t="s">
        <v>1192</v>
      </c>
      <c r="L660" s="64">
        <v>46033</v>
      </c>
      <c r="M660" s="62" t="s">
        <v>12</v>
      </c>
    </row>
    <row r="661" spans="1:13" ht="19.149999999999999" customHeight="1" x14ac:dyDescent="0.3">
      <c r="A661" s="16">
        <v>1718590746</v>
      </c>
      <c r="B661" s="16" t="s">
        <v>181</v>
      </c>
      <c r="C661" s="16">
        <v>1</v>
      </c>
      <c r="D661" s="16" t="s">
        <v>320</v>
      </c>
      <c r="E661" s="16" t="s">
        <v>50</v>
      </c>
      <c r="F661" s="23">
        <v>46151</v>
      </c>
      <c r="G661" s="28">
        <v>3</v>
      </c>
      <c r="H661" s="28" t="s">
        <v>37</v>
      </c>
      <c r="I661" s="26"/>
      <c r="J661" s="87"/>
    </row>
    <row r="662" spans="1:13" ht="19.149999999999999" customHeight="1" x14ac:dyDescent="0.3">
      <c r="A662" s="16">
        <v>1718740796</v>
      </c>
      <c r="B662" s="16" t="s">
        <v>317</v>
      </c>
      <c r="C662" s="16">
        <v>1</v>
      </c>
      <c r="D662" s="16" t="s">
        <v>28</v>
      </c>
      <c r="E662" s="16" t="s">
        <v>50</v>
      </c>
      <c r="F662" s="23">
        <v>46151</v>
      </c>
      <c r="G662" s="28">
        <v>15</v>
      </c>
      <c r="H662" s="28" t="s">
        <v>37</v>
      </c>
      <c r="I662" s="27">
        <v>18533831</v>
      </c>
      <c r="J662" s="47">
        <v>984039489</v>
      </c>
      <c r="K662" s="5" t="s">
        <v>530</v>
      </c>
      <c r="L662" s="54"/>
      <c r="M662" s="15" t="s">
        <v>12</v>
      </c>
    </row>
    <row r="663" spans="1:13" ht="19.149999999999999" customHeight="1" x14ac:dyDescent="0.3">
      <c r="A663" s="16">
        <v>1717630113</v>
      </c>
      <c r="B663" s="16" t="s">
        <v>318</v>
      </c>
      <c r="C663" s="16">
        <v>1</v>
      </c>
      <c r="D663" s="16" t="s">
        <v>155</v>
      </c>
      <c r="E663" s="16" t="s">
        <v>294</v>
      </c>
      <c r="F663" s="23">
        <v>46151</v>
      </c>
      <c r="G663" s="28">
        <v>30</v>
      </c>
      <c r="H663" s="28" t="s">
        <v>37</v>
      </c>
      <c r="I663" s="27">
        <v>2215563914</v>
      </c>
      <c r="J663" s="47">
        <v>987425149</v>
      </c>
      <c r="K663" s="5" t="s">
        <v>420</v>
      </c>
      <c r="L663" s="54"/>
      <c r="M663" s="15" t="s">
        <v>12</v>
      </c>
    </row>
    <row r="664" spans="1:13" ht="19.149999999999999" customHeight="1" x14ac:dyDescent="0.3">
      <c r="A664" s="16">
        <v>1725622516</v>
      </c>
      <c r="B664" s="16" t="s">
        <v>326</v>
      </c>
      <c r="C664" s="16">
        <v>1</v>
      </c>
      <c r="D664" s="16" t="s">
        <v>807</v>
      </c>
      <c r="E664" s="16" t="s">
        <v>294</v>
      </c>
      <c r="F664" s="23">
        <v>46152</v>
      </c>
      <c r="G664" s="28">
        <f>15+6</f>
        <v>21</v>
      </c>
      <c r="H664" s="28" t="s">
        <v>37</v>
      </c>
      <c r="I664" s="27">
        <v>95736654</v>
      </c>
      <c r="J664" s="47">
        <v>998874726</v>
      </c>
      <c r="K664" s="5" t="s">
        <v>535</v>
      </c>
      <c r="L664" s="54"/>
      <c r="M664" s="15" t="s">
        <v>12</v>
      </c>
    </row>
    <row r="665" spans="1:13" ht="19.149999999999999" customHeight="1" x14ac:dyDescent="0.3">
      <c r="A665" s="16">
        <v>1721675153</v>
      </c>
      <c r="B665" s="16" t="s">
        <v>98</v>
      </c>
      <c r="C665" s="16">
        <v>1</v>
      </c>
      <c r="D665" s="16" t="s">
        <v>28</v>
      </c>
      <c r="E665" s="16" t="s">
        <v>294</v>
      </c>
      <c r="F665" s="23">
        <v>46152</v>
      </c>
      <c r="G665" s="28">
        <v>15</v>
      </c>
      <c r="H665" s="28" t="s">
        <v>37</v>
      </c>
      <c r="I665" s="27"/>
      <c r="J665" s="75">
        <v>981111032</v>
      </c>
      <c r="K665" s="6" t="s">
        <v>408</v>
      </c>
      <c r="L665" s="55"/>
      <c r="M665" s="15" t="s">
        <v>12</v>
      </c>
    </row>
    <row r="666" spans="1:13" ht="19.149999999999999" customHeight="1" x14ac:dyDescent="0.3">
      <c r="A666" s="16">
        <v>1722109178</v>
      </c>
      <c r="B666" s="16" t="s">
        <v>324</v>
      </c>
      <c r="C666" s="16">
        <v>1</v>
      </c>
      <c r="D666" s="16" t="s">
        <v>325</v>
      </c>
      <c r="E666" s="16" t="s">
        <v>294</v>
      </c>
      <c r="F666" s="23">
        <v>46152</v>
      </c>
      <c r="G666" s="28">
        <f>25+25</f>
        <v>50</v>
      </c>
      <c r="H666" s="24" t="s">
        <v>17</v>
      </c>
      <c r="I666" s="26"/>
      <c r="J666" s="47">
        <v>984205468</v>
      </c>
      <c r="K666" s="5" t="s">
        <v>534</v>
      </c>
      <c r="L666" s="54"/>
      <c r="M666" s="15" t="s">
        <v>12</v>
      </c>
    </row>
    <row r="667" spans="1:13" ht="19.149999999999999" customHeight="1" x14ac:dyDescent="0.3">
      <c r="A667" s="16">
        <v>1717349970</v>
      </c>
      <c r="B667" s="16" t="s">
        <v>321</v>
      </c>
      <c r="C667" s="16">
        <v>1</v>
      </c>
      <c r="D667" s="16" t="s">
        <v>692</v>
      </c>
      <c r="E667" s="16" t="s">
        <v>294</v>
      </c>
      <c r="F667" s="23">
        <v>46152</v>
      </c>
      <c r="G667" s="28">
        <f>25+20</f>
        <v>45</v>
      </c>
      <c r="H667" s="28" t="s">
        <v>40</v>
      </c>
      <c r="I667" s="27"/>
      <c r="J667" s="47">
        <v>963525590</v>
      </c>
      <c r="K667" s="5" t="s">
        <v>532</v>
      </c>
      <c r="L667" s="54"/>
      <c r="M667" s="15" t="s">
        <v>12</v>
      </c>
    </row>
    <row r="668" spans="1:13" ht="19.149999999999999" customHeight="1" x14ac:dyDescent="0.3">
      <c r="A668" s="16">
        <v>1717349970</v>
      </c>
      <c r="B668" s="16" t="s">
        <v>321</v>
      </c>
      <c r="C668" s="16">
        <v>1</v>
      </c>
      <c r="D668" s="16" t="s">
        <v>102</v>
      </c>
      <c r="E668" s="16" t="s">
        <v>50</v>
      </c>
      <c r="F668" s="23">
        <v>46152</v>
      </c>
      <c r="G668" s="24">
        <v>7</v>
      </c>
      <c r="H668" s="24" t="s">
        <v>37</v>
      </c>
      <c r="I668" s="27"/>
      <c r="J668" s="47">
        <v>963525590</v>
      </c>
      <c r="K668" s="5" t="s">
        <v>532</v>
      </c>
      <c r="L668" s="54"/>
      <c r="M668" s="15" t="s">
        <v>12</v>
      </c>
    </row>
    <row r="669" spans="1:13" ht="19.149999999999999" customHeight="1" x14ac:dyDescent="0.3">
      <c r="A669" s="16">
        <v>1713424479</v>
      </c>
      <c r="B669" s="16" t="s">
        <v>322</v>
      </c>
      <c r="C669" s="16">
        <v>1</v>
      </c>
      <c r="D669" s="16" t="s">
        <v>323</v>
      </c>
      <c r="E669" s="16" t="s">
        <v>294</v>
      </c>
      <c r="F669" s="23">
        <v>46152</v>
      </c>
      <c r="G669" s="28">
        <v>10</v>
      </c>
      <c r="H669" s="28" t="s">
        <v>144</v>
      </c>
      <c r="I669" s="27"/>
      <c r="J669" s="47">
        <v>960027353</v>
      </c>
      <c r="K669" s="5" t="s">
        <v>533</v>
      </c>
      <c r="L669" s="54"/>
      <c r="M669" s="15" t="s">
        <v>12</v>
      </c>
    </row>
    <row r="670" spans="1:13" ht="19.149999999999999" customHeight="1" x14ac:dyDescent="0.3">
      <c r="A670" s="16">
        <v>1720201472</v>
      </c>
      <c r="B670" s="16" t="s">
        <v>328</v>
      </c>
      <c r="C670" s="16">
        <v>1</v>
      </c>
      <c r="D670" s="16" t="s">
        <v>28</v>
      </c>
      <c r="E670" s="16" t="s">
        <v>50</v>
      </c>
      <c r="F670" s="23">
        <v>46153</v>
      </c>
      <c r="G670" s="28">
        <v>15</v>
      </c>
      <c r="H670" s="28" t="s">
        <v>270</v>
      </c>
      <c r="I670" s="26">
        <v>164400419</v>
      </c>
      <c r="J670" s="47">
        <v>999032224</v>
      </c>
      <c r="K670" s="5" t="s">
        <v>537</v>
      </c>
      <c r="L670" s="54"/>
      <c r="M670" s="15" t="s">
        <v>12</v>
      </c>
    </row>
    <row r="671" spans="1:13" ht="19.149999999999999" customHeight="1" x14ac:dyDescent="0.3">
      <c r="A671" s="16">
        <v>1600371480</v>
      </c>
      <c r="B671" s="16" t="s">
        <v>327</v>
      </c>
      <c r="C671" s="16">
        <v>1</v>
      </c>
      <c r="D671" s="16" t="s">
        <v>28</v>
      </c>
      <c r="E671" s="16" t="s">
        <v>50</v>
      </c>
      <c r="F671" s="23">
        <v>46153</v>
      </c>
      <c r="G671" s="28">
        <v>15</v>
      </c>
      <c r="H671" s="28" t="s">
        <v>270</v>
      </c>
      <c r="I671" s="26">
        <v>3253285300</v>
      </c>
      <c r="J671" s="47">
        <v>997520009</v>
      </c>
      <c r="K671" s="5" t="s">
        <v>536</v>
      </c>
      <c r="L671" s="54"/>
      <c r="M671" s="15" t="s">
        <v>12</v>
      </c>
    </row>
    <row r="672" spans="1:13" ht="19.149999999999999" customHeight="1" x14ac:dyDescent="0.3">
      <c r="A672" s="16" t="s">
        <v>658</v>
      </c>
      <c r="B672" s="16" t="s">
        <v>158</v>
      </c>
      <c r="C672" s="16">
        <v>1</v>
      </c>
      <c r="D672" s="16" t="s">
        <v>28</v>
      </c>
      <c r="E672" s="16" t="s">
        <v>50</v>
      </c>
      <c r="F672" s="23">
        <v>46153</v>
      </c>
      <c r="G672" s="28">
        <v>15</v>
      </c>
      <c r="H672" s="28" t="s">
        <v>270</v>
      </c>
      <c r="I672" s="26">
        <v>157393771</v>
      </c>
      <c r="J672" s="49">
        <v>996115459</v>
      </c>
      <c r="K672" s="18"/>
      <c r="L672" s="46"/>
      <c r="M672" s="15" t="s">
        <v>12</v>
      </c>
    </row>
    <row r="673" spans="1:13" ht="19.149999999999999" customHeight="1" x14ac:dyDescent="0.3">
      <c r="A673" s="16">
        <v>1718896580</v>
      </c>
      <c r="B673" s="16" t="s">
        <v>329</v>
      </c>
      <c r="C673" s="16">
        <v>1</v>
      </c>
      <c r="D673" s="16" t="s">
        <v>948</v>
      </c>
      <c r="E673" s="16" t="s">
        <v>50</v>
      </c>
      <c r="F673" s="23">
        <v>46155</v>
      </c>
      <c r="G673" s="24">
        <v>10</v>
      </c>
      <c r="H673" s="24" t="s">
        <v>144</v>
      </c>
      <c r="I673" s="27">
        <v>224</v>
      </c>
      <c r="J673" s="47">
        <v>987605942</v>
      </c>
      <c r="K673" s="5" t="s">
        <v>538</v>
      </c>
      <c r="L673" s="54"/>
      <c r="M673" s="15" t="s">
        <v>12</v>
      </c>
    </row>
    <row r="674" spans="1:13" ht="19.149999999999999" customHeight="1" x14ac:dyDescent="0.3">
      <c r="A674" s="16">
        <v>1719279398</v>
      </c>
      <c r="B674" s="16" t="s">
        <v>279</v>
      </c>
      <c r="C674" s="16">
        <v>1</v>
      </c>
      <c r="D674" s="16" t="s">
        <v>931</v>
      </c>
      <c r="E674" s="16" t="s">
        <v>294</v>
      </c>
      <c r="F674" s="23">
        <v>46155</v>
      </c>
      <c r="G674" s="24">
        <v>25</v>
      </c>
      <c r="H674" s="24" t="s">
        <v>144</v>
      </c>
      <c r="I674" s="27">
        <v>223</v>
      </c>
      <c r="J674" s="47">
        <v>987109273</v>
      </c>
      <c r="K674" s="5" t="s">
        <v>494</v>
      </c>
      <c r="L674" s="54"/>
      <c r="M674" s="15" t="s">
        <v>12</v>
      </c>
    </row>
    <row r="675" spans="1:13" ht="19.149999999999999" customHeight="1" x14ac:dyDescent="0.3">
      <c r="A675" s="16">
        <v>1707963227</v>
      </c>
      <c r="B675" s="16" t="s">
        <v>33</v>
      </c>
      <c r="C675" s="16">
        <v>1</v>
      </c>
      <c r="D675" s="16" t="s">
        <v>6</v>
      </c>
      <c r="E675" s="16" t="s">
        <v>294</v>
      </c>
      <c r="F675" s="23">
        <v>46156</v>
      </c>
      <c r="G675" s="24">
        <v>12</v>
      </c>
      <c r="H675" s="24" t="s">
        <v>144</v>
      </c>
      <c r="I675" s="27">
        <v>226</v>
      </c>
      <c r="J675" s="47">
        <v>962842721</v>
      </c>
      <c r="K675" s="5" t="s">
        <v>399</v>
      </c>
      <c r="L675" s="64">
        <v>46242</v>
      </c>
      <c r="M675" s="62" t="s">
        <v>12</v>
      </c>
    </row>
    <row r="676" spans="1:13" ht="19.149999999999999" customHeight="1" x14ac:dyDescent="0.3">
      <c r="A676" s="16">
        <v>171943099</v>
      </c>
      <c r="B676" s="16" t="s">
        <v>289</v>
      </c>
      <c r="C676" s="16">
        <v>1</v>
      </c>
      <c r="D676" s="16" t="s">
        <v>699</v>
      </c>
      <c r="E676" s="16" t="s">
        <v>294</v>
      </c>
      <c r="F676" s="23">
        <v>46157</v>
      </c>
      <c r="G676" s="24">
        <v>19</v>
      </c>
      <c r="H676" s="24" t="s">
        <v>270</v>
      </c>
      <c r="I676" s="27">
        <v>71035926</v>
      </c>
      <c r="J676" s="47">
        <v>998950453</v>
      </c>
      <c r="K676" s="5" t="s">
        <v>503</v>
      </c>
      <c r="L676" s="54"/>
      <c r="M676" s="15" t="s">
        <v>12</v>
      </c>
    </row>
    <row r="677" spans="1:13" ht="19.149999999999999" customHeight="1" x14ac:dyDescent="0.3">
      <c r="A677" s="16">
        <v>1721402657</v>
      </c>
      <c r="B677" s="16" t="s">
        <v>953</v>
      </c>
      <c r="C677" s="16">
        <v>1</v>
      </c>
      <c r="D677" s="16" t="s">
        <v>726</v>
      </c>
      <c r="E677" s="16" t="s">
        <v>294</v>
      </c>
      <c r="F677" s="23">
        <v>46157</v>
      </c>
      <c r="G677" s="24">
        <v>4</v>
      </c>
      <c r="H677" s="24" t="s">
        <v>270</v>
      </c>
      <c r="I677" s="27">
        <v>55360245</v>
      </c>
      <c r="J677" s="47">
        <v>3431233</v>
      </c>
      <c r="K677" s="5" t="s">
        <v>539</v>
      </c>
      <c r="L677" s="54"/>
      <c r="M677" s="15" t="s">
        <v>12</v>
      </c>
    </row>
    <row r="678" spans="1:13" ht="19.149999999999999" customHeight="1" x14ac:dyDescent="0.3">
      <c r="A678" s="16">
        <v>1717630113</v>
      </c>
      <c r="B678" s="16" t="s">
        <v>318</v>
      </c>
      <c r="C678" s="16">
        <v>1</v>
      </c>
      <c r="D678" s="16" t="s">
        <v>893</v>
      </c>
      <c r="E678" s="16" t="s">
        <v>50</v>
      </c>
      <c r="F678" s="23">
        <v>46157</v>
      </c>
      <c r="G678" s="24">
        <v>22</v>
      </c>
      <c r="H678" s="24" t="s">
        <v>270</v>
      </c>
      <c r="I678" s="27">
        <v>55360245</v>
      </c>
      <c r="J678" s="47">
        <v>987425149</v>
      </c>
      <c r="K678" s="5" t="s">
        <v>420</v>
      </c>
      <c r="L678" s="54"/>
      <c r="M678" s="15" t="s">
        <v>12</v>
      </c>
    </row>
    <row r="679" spans="1:13" ht="19.149999999999999" customHeight="1" x14ac:dyDescent="0.3">
      <c r="A679" s="16">
        <v>1725206369</v>
      </c>
      <c r="B679" s="16" t="s">
        <v>1045</v>
      </c>
      <c r="C679" s="16">
        <v>1</v>
      </c>
      <c r="D679" s="16" t="s">
        <v>693</v>
      </c>
      <c r="E679" s="16" t="s">
        <v>50</v>
      </c>
      <c r="F679" s="23">
        <v>46158</v>
      </c>
      <c r="G679" s="24">
        <f>15+20</f>
        <v>35</v>
      </c>
      <c r="H679" s="24" t="s">
        <v>17</v>
      </c>
      <c r="I679" s="27"/>
      <c r="J679" s="47">
        <v>992433299</v>
      </c>
      <c r="K679" s="5" t="s">
        <v>489</v>
      </c>
      <c r="L679" s="54"/>
      <c r="M679" s="15" t="s">
        <v>12</v>
      </c>
    </row>
    <row r="680" spans="1:13" ht="19.149999999999999" customHeight="1" x14ac:dyDescent="0.3">
      <c r="A680" s="16">
        <v>1720537651</v>
      </c>
      <c r="B680" s="16" t="s">
        <v>964</v>
      </c>
      <c r="C680" s="16">
        <v>1</v>
      </c>
      <c r="D680" s="16" t="s">
        <v>695</v>
      </c>
      <c r="E680" s="16" t="s">
        <v>294</v>
      </c>
      <c r="F680" s="23">
        <v>46158</v>
      </c>
      <c r="G680" s="24">
        <f>10+12</f>
        <v>22</v>
      </c>
      <c r="H680" s="24" t="s">
        <v>17</v>
      </c>
      <c r="I680" s="27"/>
      <c r="J680" s="87"/>
    </row>
    <row r="681" spans="1:13" ht="19.149999999999999" customHeight="1" x14ac:dyDescent="0.3">
      <c r="A681" s="16">
        <v>800610388</v>
      </c>
      <c r="B681" s="16" t="s">
        <v>331</v>
      </c>
      <c r="C681" s="16">
        <v>1</v>
      </c>
      <c r="D681" s="16" t="s">
        <v>28</v>
      </c>
      <c r="E681" s="16" t="s">
        <v>294</v>
      </c>
      <c r="F681" s="23">
        <v>46158</v>
      </c>
      <c r="G681" s="24">
        <v>15</v>
      </c>
      <c r="H681" s="24" t="s">
        <v>17</v>
      </c>
      <c r="I681" s="26"/>
      <c r="J681" s="81">
        <v>983514810</v>
      </c>
      <c r="K681" s="12" t="s">
        <v>566</v>
      </c>
      <c r="L681" s="12"/>
      <c r="M681" s="15" t="s">
        <v>12</v>
      </c>
    </row>
    <row r="682" spans="1:13" ht="19.149999999999999" customHeight="1" x14ac:dyDescent="0.3">
      <c r="A682" s="16">
        <v>1718848987</v>
      </c>
      <c r="B682" s="16" t="s">
        <v>330</v>
      </c>
      <c r="C682" s="16">
        <v>1</v>
      </c>
      <c r="D682" s="16" t="s">
        <v>28</v>
      </c>
      <c r="E682" s="16" t="s">
        <v>294</v>
      </c>
      <c r="F682" s="23">
        <v>46158</v>
      </c>
      <c r="G682" s="24">
        <v>15</v>
      </c>
      <c r="H682" s="24" t="s">
        <v>17</v>
      </c>
      <c r="I682" s="26"/>
      <c r="J682" s="47">
        <v>998600589</v>
      </c>
      <c r="K682" s="5" t="s">
        <v>540</v>
      </c>
      <c r="L682" s="54"/>
      <c r="M682" s="15" t="s">
        <v>12</v>
      </c>
    </row>
    <row r="683" spans="1:13" ht="19.149999999999999" customHeight="1" x14ac:dyDescent="0.3">
      <c r="A683" s="16" t="s">
        <v>658</v>
      </c>
      <c r="B683" s="16" t="s">
        <v>333</v>
      </c>
      <c r="C683" s="16">
        <v>1</v>
      </c>
      <c r="D683" s="16" t="s">
        <v>102</v>
      </c>
      <c r="E683" s="16" t="s">
        <v>294</v>
      </c>
      <c r="F683" s="23">
        <v>46158</v>
      </c>
      <c r="G683" s="24">
        <v>10</v>
      </c>
      <c r="H683" s="24" t="s">
        <v>17</v>
      </c>
      <c r="I683" s="27"/>
      <c r="J683" s="87"/>
    </row>
    <row r="684" spans="1:13" ht="19.149999999999999" customHeight="1" x14ac:dyDescent="0.3">
      <c r="A684" s="16" t="s">
        <v>658</v>
      </c>
      <c r="B684" s="16" t="s">
        <v>334</v>
      </c>
      <c r="C684" s="16">
        <v>1</v>
      </c>
      <c r="D684" s="16" t="s">
        <v>215</v>
      </c>
      <c r="E684" s="16" t="s">
        <v>50</v>
      </c>
      <c r="F684" s="23">
        <v>46158</v>
      </c>
      <c r="G684" s="24">
        <v>2</v>
      </c>
      <c r="H684" s="24" t="s">
        <v>17</v>
      </c>
      <c r="I684" s="27"/>
      <c r="J684" s="87"/>
    </row>
    <row r="685" spans="1:13" ht="19.149999999999999" customHeight="1" x14ac:dyDescent="0.3">
      <c r="A685" s="16">
        <v>1714063292</v>
      </c>
      <c r="B685" s="16" t="s">
        <v>29</v>
      </c>
      <c r="C685" s="16">
        <v>1</v>
      </c>
      <c r="D685" s="16" t="s">
        <v>882</v>
      </c>
      <c r="E685" s="16" t="s">
        <v>294</v>
      </c>
      <c r="F685" s="23">
        <v>46158</v>
      </c>
      <c r="G685" s="24">
        <f>20+4+15</f>
        <v>39</v>
      </c>
      <c r="H685" s="24" t="s">
        <v>17</v>
      </c>
      <c r="I685" s="26"/>
      <c r="J685" s="47">
        <v>995674830</v>
      </c>
      <c r="K685" s="5" t="s">
        <v>430</v>
      </c>
      <c r="L685" s="54"/>
      <c r="M685" s="15" t="s">
        <v>12</v>
      </c>
    </row>
    <row r="686" spans="1:13" ht="19.149999999999999" customHeight="1" x14ac:dyDescent="0.3">
      <c r="A686" s="16">
        <v>1712865870</v>
      </c>
      <c r="B686" s="16" t="s">
        <v>976</v>
      </c>
      <c r="C686" s="16">
        <v>1</v>
      </c>
      <c r="D686" s="16" t="s">
        <v>712</v>
      </c>
      <c r="E686" s="16" t="s">
        <v>294</v>
      </c>
      <c r="F686" s="23">
        <v>46159</v>
      </c>
      <c r="G686" s="24">
        <f>10+17+15</f>
        <v>42</v>
      </c>
      <c r="H686" s="24" t="s">
        <v>17</v>
      </c>
      <c r="I686" s="27"/>
      <c r="J686" s="47">
        <v>995266643</v>
      </c>
      <c r="K686" s="5" t="s">
        <v>542</v>
      </c>
      <c r="L686" s="54"/>
      <c r="M686" s="15" t="s">
        <v>12</v>
      </c>
    </row>
    <row r="687" spans="1:13" ht="19.149999999999999" customHeight="1" x14ac:dyDescent="0.3">
      <c r="A687" s="16">
        <v>1712865870</v>
      </c>
      <c r="B687" s="16" t="s">
        <v>976</v>
      </c>
      <c r="C687" s="16">
        <v>1</v>
      </c>
      <c r="D687" s="16" t="s">
        <v>52</v>
      </c>
      <c r="E687" s="16" t="s">
        <v>50</v>
      </c>
      <c r="F687" s="23">
        <v>46159</v>
      </c>
      <c r="G687" s="24">
        <v>17</v>
      </c>
      <c r="H687" s="24" t="s">
        <v>17</v>
      </c>
      <c r="I687" s="27"/>
      <c r="J687" s="47">
        <v>995266643</v>
      </c>
      <c r="K687" s="5" t="s">
        <v>542</v>
      </c>
      <c r="L687" s="54"/>
      <c r="M687" s="15" t="s">
        <v>12</v>
      </c>
    </row>
    <row r="688" spans="1:13" ht="19.149999999999999" customHeight="1" x14ac:dyDescent="0.3">
      <c r="A688" s="16">
        <v>930394861</v>
      </c>
      <c r="B688" s="16" t="s">
        <v>276</v>
      </c>
      <c r="C688" s="16">
        <v>1</v>
      </c>
      <c r="D688" s="16" t="s">
        <v>932</v>
      </c>
      <c r="E688" s="16" t="s">
        <v>50</v>
      </c>
      <c r="F688" s="23">
        <v>46159</v>
      </c>
      <c r="G688" s="24">
        <f>20+2+6</f>
        <v>28</v>
      </c>
      <c r="H688" s="24" t="s">
        <v>37</v>
      </c>
      <c r="I688" s="26"/>
      <c r="J688" s="47">
        <v>967477481</v>
      </c>
      <c r="K688" s="5" t="s">
        <v>491</v>
      </c>
      <c r="L688" s="54"/>
      <c r="M688" s="15" t="s">
        <v>12</v>
      </c>
    </row>
    <row r="689" spans="1:13" ht="19.149999999999999" customHeight="1" x14ac:dyDescent="0.3">
      <c r="A689" s="16">
        <v>1713781126</v>
      </c>
      <c r="B689" s="16" t="s">
        <v>974</v>
      </c>
      <c r="C689" s="16">
        <v>1</v>
      </c>
      <c r="D689" s="16" t="s">
        <v>700</v>
      </c>
      <c r="E689" s="16" t="s">
        <v>50</v>
      </c>
      <c r="F689" s="23">
        <v>46159</v>
      </c>
      <c r="G689" s="24">
        <f>20+12</f>
        <v>32</v>
      </c>
      <c r="H689" s="24" t="s">
        <v>37</v>
      </c>
      <c r="I689" s="26">
        <v>73320445</v>
      </c>
      <c r="J689" s="47">
        <v>993360523</v>
      </c>
      <c r="K689" s="5" t="s">
        <v>541</v>
      </c>
      <c r="L689" s="54"/>
      <c r="M689" s="15" t="s">
        <v>12</v>
      </c>
    </row>
    <row r="690" spans="1:13" ht="19.149999999999999" customHeight="1" x14ac:dyDescent="0.3">
      <c r="A690" s="16">
        <v>1713781126</v>
      </c>
      <c r="B690" s="16" t="s">
        <v>974</v>
      </c>
      <c r="C690" s="16">
        <v>1</v>
      </c>
      <c r="D690" s="16" t="s">
        <v>759</v>
      </c>
      <c r="E690" s="16" t="s">
        <v>294</v>
      </c>
      <c r="F690" s="23">
        <v>46159</v>
      </c>
      <c r="G690" s="24">
        <f>10+25+8</f>
        <v>43</v>
      </c>
      <c r="H690" s="24" t="s">
        <v>37</v>
      </c>
      <c r="I690" s="26">
        <v>73320445</v>
      </c>
      <c r="J690" s="47">
        <v>993360523</v>
      </c>
      <c r="K690" s="5" t="s">
        <v>541</v>
      </c>
      <c r="L690" s="54"/>
      <c r="M690" s="15" t="s">
        <v>12</v>
      </c>
    </row>
    <row r="691" spans="1:13" ht="19.149999999999999" customHeight="1" x14ac:dyDescent="0.3">
      <c r="A691" s="16">
        <v>1802650844</v>
      </c>
      <c r="B691" s="16" t="s">
        <v>36</v>
      </c>
      <c r="C691" s="16">
        <v>1</v>
      </c>
      <c r="D691" s="16" t="s">
        <v>102</v>
      </c>
      <c r="E691" s="16" t="s">
        <v>50</v>
      </c>
      <c r="F691" s="23">
        <v>46159</v>
      </c>
      <c r="G691" s="24">
        <v>10</v>
      </c>
      <c r="H691" s="24" t="s">
        <v>17</v>
      </c>
      <c r="I691" s="27"/>
      <c r="J691" s="73">
        <v>997760897</v>
      </c>
      <c r="K691" s="17"/>
      <c r="L691" s="51"/>
      <c r="M691" s="15" t="s">
        <v>12</v>
      </c>
    </row>
    <row r="692" spans="1:13" ht="19.149999999999999" customHeight="1" x14ac:dyDescent="0.3">
      <c r="A692" s="16">
        <v>1802650844</v>
      </c>
      <c r="B692" s="16" t="s">
        <v>35</v>
      </c>
      <c r="C692" s="16">
        <v>1</v>
      </c>
      <c r="D692" s="16" t="s">
        <v>102</v>
      </c>
      <c r="E692" s="16" t="s">
        <v>294</v>
      </c>
      <c r="F692" s="23">
        <v>46159</v>
      </c>
      <c r="G692" s="24">
        <v>10</v>
      </c>
      <c r="H692" s="24" t="s">
        <v>17</v>
      </c>
      <c r="I692" s="27"/>
      <c r="J692" s="73">
        <v>997760897</v>
      </c>
      <c r="K692" s="17"/>
      <c r="L692" s="51"/>
      <c r="M692" s="15" t="s">
        <v>12</v>
      </c>
    </row>
    <row r="693" spans="1:13" ht="19.149999999999999" customHeight="1" x14ac:dyDescent="0.3">
      <c r="A693" s="16">
        <v>1702327655</v>
      </c>
      <c r="B693" s="16" t="s">
        <v>684</v>
      </c>
      <c r="C693" s="16">
        <v>1</v>
      </c>
      <c r="D693" s="16" t="s">
        <v>893</v>
      </c>
      <c r="E693" s="16" t="s">
        <v>50</v>
      </c>
      <c r="F693" s="23">
        <v>46160</v>
      </c>
      <c r="G693" s="24">
        <v>22</v>
      </c>
      <c r="H693" s="24" t="s">
        <v>17</v>
      </c>
      <c r="I693" s="27"/>
      <c r="J693" s="47">
        <v>994988133</v>
      </c>
      <c r="K693" s="5" t="s">
        <v>544</v>
      </c>
      <c r="L693" s="54"/>
      <c r="M693" s="15" t="s">
        <v>12</v>
      </c>
    </row>
    <row r="694" spans="1:13" ht="19.149999999999999" customHeight="1" x14ac:dyDescent="0.3">
      <c r="A694" s="16">
        <v>1707124341</v>
      </c>
      <c r="B694" s="16" t="s">
        <v>286</v>
      </c>
      <c r="C694" s="16">
        <v>1</v>
      </c>
      <c r="D694" s="16" t="s">
        <v>893</v>
      </c>
      <c r="E694" s="16" t="s">
        <v>50</v>
      </c>
      <c r="F694" s="23">
        <v>46160</v>
      </c>
      <c r="G694" s="24">
        <v>22</v>
      </c>
      <c r="H694" s="24" t="s">
        <v>17</v>
      </c>
      <c r="I694" s="27"/>
      <c r="J694" s="47">
        <v>999947475</v>
      </c>
      <c r="K694" s="5" t="s">
        <v>499</v>
      </c>
      <c r="L694" s="54"/>
      <c r="M694" s="15" t="s">
        <v>12</v>
      </c>
    </row>
    <row r="695" spans="1:13" ht="19.149999999999999" customHeight="1" x14ac:dyDescent="0.3">
      <c r="A695" s="16">
        <v>172665534</v>
      </c>
      <c r="B695" s="16" t="s">
        <v>316</v>
      </c>
      <c r="C695" s="16">
        <v>1</v>
      </c>
      <c r="D695" s="16" t="s">
        <v>829</v>
      </c>
      <c r="E695" s="16" t="s">
        <v>50</v>
      </c>
      <c r="F695" s="23">
        <v>46160</v>
      </c>
      <c r="G695" s="24">
        <v>8</v>
      </c>
      <c r="H695" s="24" t="s">
        <v>17</v>
      </c>
      <c r="I695" s="27"/>
      <c r="J695" s="47">
        <v>999207538</v>
      </c>
      <c r="K695" s="5" t="s">
        <v>543</v>
      </c>
      <c r="L695" s="54"/>
      <c r="M695" s="15" t="s">
        <v>12</v>
      </c>
    </row>
    <row r="696" spans="1:13" ht="19.149999999999999" customHeight="1" x14ac:dyDescent="0.3">
      <c r="A696" s="16">
        <v>172665534</v>
      </c>
      <c r="B696" s="16" t="s">
        <v>316</v>
      </c>
      <c r="C696" s="16">
        <v>1</v>
      </c>
      <c r="D696" s="16" t="s">
        <v>335</v>
      </c>
      <c r="E696" s="16" t="s">
        <v>50</v>
      </c>
      <c r="F696" s="23">
        <v>46160</v>
      </c>
      <c r="G696" s="24">
        <v>20</v>
      </c>
      <c r="H696" s="24" t="s">
        <v>17</v>
      </c>
      <c r="I696" s="27"/>
      <c r="J696" s="47">
        <v>999207538</v>
      </c>
      <c r="K696" s="5" t="s">
        <v>543</v>
      </c>
      <c r="L696" s="54"/>
      <c r="M696" s="15" t="s">
        <v>12</v>
      </c>
    </row>
    <row r="697" spans="1:13" ht="19.149999999999999" customHeight="1" x14ac:dyDescent="0.3">
      <c r="A697" s="16">
        <v>1711306199</v>
      </c>
      <c r="B697" s="16" t="s">
        <v>336</v>
      </c>
      <c r="C697" s="16">
        <v>1</v>
      </c>
      <c r="D697" s="16" t="s">
        <v>801</v>
      </c>
      <c r="E697" s="16" t="s">
        <v>294</v>
      </c>
      <c r="F697" s="23">
        <v>46161</v>
      </c>
      <c r="G697" s="24">
        <v>34</v>
      </c>
      <c r="H697" s="24" t="s">
        <v>270</v>
      </c>
      <c r="I697" s="27">
        <v>29537603</v>
      </c>
      <c r="J697" s="47">
        <v>998135335</v>
      </c>
      <c r="K697" s="5" t="s">
        <v>545</v>
      </c>
      <c r="L697" s="54"/>
      <c r="M697" s="15" t="s">
        <v>12</v>
      </c>
    </row>
    <row r="698" spans="1:13" ht="19.149999999999999" customHeight="1" x14ac:dyDescent="0.3">
      <c r="A698" s="16">
        <v>40099587</v>
      </c>
      <c r="B698" s="16" t="s">
        <v>174</v>
      </c>
      <c r="C698" s="16">
        <v>1</v>
      </c>
      <c r="D698" s="16" t="s">
        <v>876</v>
      </c>
      <c r="E698" s="16" t="s">
        <v>50</v>
      </c>
      <c r="F698" s="23">
        <v>46161</v>
      </c>
      <c r="G698" s="24">
        <v>24</v>
      </c>
      <c r="H698" s="24" t="s">
        <v>270</v>
      </c>
      <c r="I698" s="27">
        <v>55160227</v>
      </c>
      <c r="J698" s="47">
        <v>981396657</v>
      </c>
      <c r="K698" s="16"/>
      <c r="L698" s="45"/>
      <c r="M698" s="15" t="s">
        <v>12</v>
      </c>
    </row>
    <row r="699" spans="1:13" ht="19.149999999999999" customHeight="1" x14ac:dyDescent="0.3">
      <c r="A699" s="16">
        <v>40099587</v>
      </c>
      <c r="B699" s="16" t="s">
        <v>174</v>
      </c>
      <c r="C699" s="16">
        <v>1</v>
      </c>
      <c r="D699" s="16" t="s">
        <v>6</v>
      </c>
      <c r="E699" s="16" t="s">
        <v>294</v>
      </c>
      <c r="F699" s="23">
        <v>46161</v>
      </c>
      <c r="G699" s="24">
        <v>12</v>
      </c>
      <c r="H699" s="24" t="s">
        <v>270</v>
      </c>
      <c r="I699" s="27">
        <v>55160227</v>
      </c>
      <c r="J699" s="47">
        <v>981396657</v>
      </c>
      <c r="K699" s="5"/>
      <c r="L699" s="54"/>
      <c r="M699" s="15" t="s">
        <v>12</v>
      </c>
    </row>
    <row r="700" spans="1:13" ht="19.149999999999999" customHeight="1" x14ac:dyDescent="0.3">
      <c r="A700" s="16">
        <v>1713660825</v>
      </c>
      <c r="B700" s="16" t="s">
        <v>1200</v>
      </c>
      <c r="C700" s="16">
        <v>1</v>
      </c>
      <c r="D700" s="16" t="s">
        <v>340</v>
      </c>
      <c r="E700" s="16" t="s">
        <v>294</v>
      </c>
      <c r="F700" s="23">
        <v>46161</v>
      </c>
      <c r="G700" s="24">
        <v>9</v>
      </c>
      <c r="H700" s="24" t="s">
        <v>17</v>
      </c>
      <c r="I700" s="27"/>
      <c r="J700" s="47">
        <v>999091551</v>
      </c>
      <c r="K700" s="5" t="s">
        <v>548</v>
      </c>
      <c r="L700" s="54"/>
      <c r="M700" s="15" t="s">
        <v>12</v>
      </c>
    </row>
    <row r="701" spans="1:13" ht="19.149999999999999" customHeight="1" x14ac:dyDescent="0.3">
      <c r="A701" s="16">
        <v>1706811757</v>
      </c>
      <c r="B701" s="16" t="s">
        <v>676</v>
      </c>
      <c r="C701" s="16">
        <v>1</v>
      </c>
      <c r="D701" s="16" t="s">
        <v>28</v>
      </c>
      <c r="E701" s="16" t="s">
        <v>50</v>
      </c>
      <c r="F701" s="23">
        <v>46161</v>
      </c>
      <c r="G701" s="24">
        <v>15</v>
      </c>
      <c r="H701" s="24" t="s">
        <v>17</v>
      </c>
      <c r="I701" s="27"/>
      <c r="J701" s="47">
        <v>981396657</v>
      </c>
      <c r="K701" s="5"/>
      <c r="L701" s="54"/>
      <c r="M701" s="15" t="s">
        <v>12</v>
      </c>
    </row>
    <row r="702" spans="1:13" ht="19.149999999999999" customHeight="1" x14ac:dyDescent="0.3">
      <c r="A702" s="16">
        <v>3050432586</v>
      </c>
      <c r="B702" s="16" t="s">
        <v>338</v>
      </c>
      <c r="C702" s="16">
        <v>1</v>
      </c>
      <c r="D702" s="16" t="s">
        <v>102</v>
      </c>
      <c r="E702" s="16" t="s">
        <v>294</v>
      </c>
      <c r="F702" s="23">
        <v>46161</v>
      </c>
      <c r="G702" s="24">
        <v>10</v>
      </c>
      <c r="H702" s="24" t="s">
        <v>144</v>
      </c>
      <c r="I702" s="27">
        <v>231</v>
      </c>
      <c r="J702" s="47">
        <v>959988138</v>
      </c>
      <c r="K702" s="5" t="s">
        <v>546</v>
      </c>
      <c r="L702" s="54"/>
      <c r="M702" s="15" t="s">
        <v>12</v>
      </c>
    </row>
    <row r="703" spans="1:13" ht="19.149999999999999" customHeight="1" x14ac:dyDescent="0.3">
      <c r="A703" s="16">
        <v>3050432586</v>
      </c>
      <c r="B703" s="16" t="s">
        <v>338</v>
      </c>
      <c r="C703" s="16">
        <v>1</v>
      </c>
      <c r="D703" s="16" t="s">
        <v>339</v>
      </c>
      <c r="E703" s="16" t="s">
        <v>103</v>
      </c>
      <c r="F703" s="23">
        <v>46161</v>
      </c>
      <c r="G703" s="24">
        <v>8</v>
      </c>
      <c r="H703" s="24" t="s">
        <v>144</v>
      </c>
      <c r="I703" s="27">
        <v>231</v>
      </c>
      <c r="J703" s="47">
        <v>959988138</v>
      </c>
      <c r="K703" s="5" t="s">
        <v>546</v>
      </c>
      <c r="L703" s="54"/>
      <c r="M703" s="15" t="s">
        <v>12</v>
      </c>
    </row>
    <row r="704" spans="1:13" ht="19.149999999999999" customHeight="1" x14ac:dyDescent="0.3">
      <c r="A704" s="16">
        <v>502138340</v>
      </c>
      <c r="B704" s="16" t="s">
        <v>365</v>
      </c>
      <c r="C704" s="16">
        <v>1</v>
      </c>
      <c r="D704" s="16" t="s">
        <v>102</v>
      </c>
      <c r="E704" s="16" t="s">
        <v>294</v>
      </c>
      <c r="F704" s="23">
        <v>46161</v>
      </c>
      <c r="G704" s="24">
        <v>10</v>
      </c>
      <c r="H704" s="24" t="s">
        <v>270</v>
      </c>
      <c r="I704" s="27">
        <v>56780043</v>
      </c>
      <c r="J704" s="47">
        <v>996439660</v>
      </c>
      <c r="K704" s="5" t="s">
        <v>547</v>
      </c>
      <c r="L704" s="54"/>
      <c r="M704" s="15" t="s">
        <v>12</v>
      </c>
    </row>
    <row r="705" spans="1:13" ht="19.149999999999999" customHeight="1" x14ac:dyDescent="0.3">
      <c r="A705" s="16">
        <v>901090167</v>
      </c>
      <c r="B705" s="16" t="s">
        <v>337</v>
      </c>
      <c r="C705" s="16">
        <v>1</v>
      </c>
      <c r="D705" s="16" t="s">
        <v>133</v>
      </c>
      <c r="E705" s="16" t="s">
        <v>50</v>
      </c>
      <c r="F705" s="23">
        <v>46161</v>
      </c>
      <c r="G705" s="24">
        <v>20</v>
      </c>
      <c r="H705" s="24" t="s">
        <v>144</v>
      </c>
      <c r="I705" s="27">
        <v>231</v>
      </c>
      <c r="J705" s="47">
        <v>988591003</v>
      </c>
      <c r="K705" s="5"/>
      <c r="L705" s="54"/>
      <c r="M705" s="15" t="s">
        <v>12</v>
      </c>
    </row>
    <row r="706" spans="1:13" ht="19.149999999999999" customHeight="1" x14ac:dyDescent="0.3">
      <c r="A706" s="16">
        <v>1708634033</v>
      </c>
      <c r="B706" s="16" t="s">
        <v>341</v>
      </c>
      <c r="C706" s="16">
        <v>1</v>
      </c>
      <c r="D706" s="16" t="s">
        <v>6</v>
      </c>
      <c r="E706" s="16" t="s">
        <v>50</v>
      </c>
      <c r="F706" s="23">
        <v>46162</v>
      </c>
      <c r="G706" s="24">
        <v>12</v>
      </c>
      <c r="H706" s="24" t="s">
        <v>144</v>
      </c>
      <c r="I706" s="27">
        <v>233</v>
      </c>
      <c r="J706" s="47">
        <v>982347887</v>
      </c>
      <c r="K706" s="5" t="s">
        <v>549</v>
      </c>
      <c r="L706" s="54"/>
      <c r="M706" s="15" t="s">
        <v>12</v>
      </c>
    </row>
    <row r="707" spans="1:13" ht="19.149999999999999" customHeight="1" x14ac:dyDescent="0.3">
      <c r="A707" s="16">
        <v>1757151921</v>
      </c>
      <c r="B707" s="16" t="s">
        <v>342</v>
      </c>
      <c r="C707" s="16">
        <v>1</v>
      </c>
      <c r="D707" s="16" t="s">
        <v>727</v>
      </c>
      <c r="E707" s="16" t="s">
        <v>294</v>
      </c>
      <c r="F707" s="23">
        <v>46162</v>
      </c>
      <c r="G707" s="24">
        <v>28</v>
      </c>
      <c r="H707" s="24" t="s">
        <v>270</v>
      </c>
      <c r="I707" s="27">
        <v>54188300</v>
      </c>
      <c r="J707" s="47">
        <v>939698814</v>
      </c>
      <c r="K707" s="5" t="s">
        <v>550</v>
      </c>
      <c r="L707" s="54"/>
      <c r="M707" s="15" t="s">
        <v>12</v>
      </c>
    </row>
    <row r="708" spans="1:13" ht="19.149999999999999" customHeight="1" x14ac:dyDescent="0.3">
      <c r="A708" s="16">
        <v>1717869984</v>
      </c>
      <c r="B708" s="16" t="s">
        <v>308</v>
      </c>
      <c r="C708" s="16">
        <v>1</v>
      </c>
      <c r="D708" s="16" t="s">
        <v>739</v>
      </c>
      <c r="E708" s="16" t="s">
        <v>50</v>
      </c>
      <c r="F708" s="23">
        <v>46163</v>
      </c>
      <c r="G708" s="24">
        <v>20</v>
      </c>
      <c r="H708" s="24" t="s">
        <v>270</v>
      </c>
      <c r="I708" s="27">
        <v>50119970</v>
      </c>
      <c r="J708" s="47">
        <v>984253456</v>
      </c>
      <c r="K708" s="5" t="s">
        <v>524</v>
      </c>
      <c r="L708" s="54"/>
      <c r="M708" s="15" t="s">
        <v>12</v>
      </c>
    </row>
    <row r="709" spans="1:13" ht="19.149999999999999" customHeight="1" x14ac:dyDescent="0.3">
      <c r="A709" s="16">
        <v>1003432422</v>
      </c>
      <c r="B709" s="16" t="s">
        <v>343</v>
      </c>
      <c r="C709" s="16">
        <v>1</v>
      </c>
      <c r="D709" s="16" t="s">
        <v>739</v>
      </c>
      <c r="E709" s="16" t="s">
        <v>50</v>
      </c>
      <c r="F709" s="23">
        <v>46163</v>
      </c>
      <c r="G709" s="24">
        <v>20</v>
      </c>
      <c r="H709" s="29" t="s">
        <v>270</v>
      </c>
      <c r="I709" s="27">
        <v>39844810</v>
      </c>
      <c r="J709" s="47">
        <v>982241388</v>
      </c>
      <c r="K709" s="5" t="s">
        <v>960</v>
      </c>
      <c r="L709" s="54"/>
      <c r="M709" s="15" t="s">
        <v>12</v>
      </c>
    </row>
    <row r="710" spans="1:13" ht="19.149999999999999" customHeight="1" x14ac:dyDescent="0.3">
      <c r="A710" s="16">
        <v>1003432422</v>
      </c>
      <c r="B710" s="16" t="s">
        <v>343</v>
      </c>
      <c r="C710" s="16">
        <v>1</v>
      </c>
      <c r="D710" s="16" t="s">
        <v>52</v>
      </c>
      <c r="E710" s="16" t="s">
        <v>294</v>
      </c>
      <c r="F710" s="23">
        <v>46163</v>
      </c>
      <c r="G710" s="24">
        <v>17</v>
      </c>
      <c r="H710" s="24" t="s">
        <v>270</v>
      </c>
      <c r="I710" s="27">
        <v>39844810</v>
      </c>
      <c r="J710" s="47">
        <v>982241388</v>
      </c>
      <c r="K710" s="5" t="s">
        <v>960</v>
      </c>
      <c r="L710" s="54"/>
      <c r="M710" s="15" t="s">
        <v>12</v>
      </c>
    </row>
    <row r="711" spans="1:13" ht="19.149999999999999" customHeight="1" x14ac:dyDescent="0.3">
      <c r="A711" s="16">
        <v>1720226214</v>
      </c>
      <c r="B711" s="16" t="s">
        <v>205</v>
      </c>
      <c r="C711" s="16">
        <v>1</v>
      </c>
      <c r="D711" s="16" t="s">
        <v>797</v>
      </c>
      <c r="E711" s="16" t="s">
        <v>50</v>
      </c>
      <c r="F711" s="23">
        <v>46163</v>
      </c>
      <c r="G711" s="24">
        <v>32</v>
      </c>
      <c r="H711" s="24" t="s">
        <v>270</v>
      </c>
      <c r="I711" s="27">
        <v>58060427</v>
      </c>
      <c r="J711" s="47">
        <v>984342245</v>
      </c>
      <c r="K711" s="5" t="s">
        <v>521</v>
      </c>
      <c r="L711" s="54"/>
      <c r="M711" s="15" t="s">
        <v>12</v>
      </c>
    </row>
    <row r="712" spans="1:13" ht="19.149999999999999" customHeight="1" x14ac:dyDescent="0.3">
      <c r="A712" s="16">
        <v>1718245012</v>
      </c>
      <c r="B712" s="16" t="s">
        <v>99</v>
      </c>
      <c r="C712" s="16">
        <v>1</v>
      </c>
      <c r="D712" s="16" t="s">
        <v>739</v>
      </c>
      <c r="E712" s="16" t="s">
        <v>294</v>
      </c>
      <c r="F712" s="23">
        <v>46163</v>
      </c>
      <c r="G712" s="24">
        <v>20</v>
      </c>
      <c r="H712" s="24" t="s">
        <v>270</v>
      </c>
      <c r="I712" s="27">
        <v>51498962</v>
      </c>
      <c r="J712" s="49">
        <v>998770121</v>
      </c>
      <c r="K712" s="2" t="s">
        <v>432</v>
      </c>
      <c r="L712" s="52"/>
      <c r="M712" s="15" t="s">
        <v>12</v>
      </c>
    </row>
    <row r="713" spans="1:13" ht="19.149999999999999" customHeight="1" x14ac:dyDescent="0.3">
      <c r="A713" s="16">
        <v>1724828932</v>
      </c>
      <c r="B713" s="16" t="s">
        <v>344</v>
      </c>
      <c r="C713" s="16">
        <v>1</v>
      </c>
      <c r="D713" s="16" t="s">
        <v>28</v>
      </c>
      <c r="E713" s="16" t="s">
        <v>50</v>
      </c>
      <c r="F713" s="23">
        <v>46164</v>
      </c>
      <c r="G713" s="24">
        <v>15</v>
      </c>
      <c r="H713" s="24" t="s">
        <v>270</v>
      </c>
      <c r="I713" s="27">
        <v>55328396</v>
      </c>
      <c r="J713" s="47">
        <v>980683465</v>
      </c>
      <c r="K713" s="5" t="s">
        <v>551</v>
      </c>
      <c r="L713" s="54"/>
      <c r="M713" s="15" t="s">
        <v>12</v>
      </c>
    </row>
    <row r="714" spans="1:13" ht="19.149999999999999" customHeight="1" x14ac:dyDescent="0.3">
      <c r="A714" s="16">
        <v>1719051631</v>
      </c>
      <c r="B714" s="16" t="s">
        <v>227</v>
      </c>
      <c r="C714" s="16">
        <v>1</v>
      </c>
      <c r="D714" s="16" t="s">
        <v>787</v>
      </c>
      <c r="E714" s="16" t="s">
        <v>50</v>
      </c>
      <c r="F714" s="23">
        <v>46164</v>
      </c>
      <c r="G714" s="24">
        <v>27</v>
      </c>
      <c r="H714" s="24" t="s">
        <v>270</v>
      </c>
      <c r="I714" s="27">
        <v>62358603</v>
      </c>
      <c r="J714" s="47">
        <v>987066795</v>
      </c>
      <c r="K714" s="5" t="s">
        <v>457</v>
      </c>
      <c r="L714" s="54"/>
      <c r="M714" s="15" t="s">
        <v>12</v>
      </c>
    </row>
    <row r="715" spans="1:13" ht="19.149999999999999" customHeight="1" x14ac:dyDescent="0.3">
      <c r="A715" s="16">
        <v>1717177966</v>
      </c>
      <c r="B715" s="16" t="s">
        <v>60</v>
      </c>
      <c r="C715" s="16">
        <v>1</v>
      </c>
      <c r="D715" s="16" t="s">
        <v>28</v>
      </c>
      <c r="E715" s="16" t="s">
        <v>50</v>
      </c>
      <c r="F715" s="23">
        <v>46164</v>
      </c>
      <c r="G715" s="24">
        <v>15</v>
      </c>
      <c r="H715" s="24" t="s">
        <v>270</v>
      </c>
      <c r="I715" s="27">
        <v>6247435</v>
      </c>
      <c r="J715" s="47">
        <v>987830893</v>
      </c>
      <c r="K715" s="5" t="s">
        <v>553</v>
      </c>
      <c r="L715" s="54"/>
      <c r="M715" s="15" t="s">
        <v>12</v>
      </c>
    </row>
    <row r="716" spans="1:13" ht="19.149999999999999" customHeight="1" x14ac:dyDescent="0.3">
      <c r="A716" s="16">
        <v>1717177966</v>
      </c>
      <c r="B716" s="16" t="s">
        <v>60</v>
      </c>
      <c r="C716" s="16">
        <v>1</v>
      </c>
      <c r="D716" s="16" t="s">
        <v>339</v>
      </c>
      <c r="E716" s="16" t="s">
        <v>103</v>
      </c>
      <c r="F716" s="23">
        <v>46164</v>
      </c>
      <c r="G716" s="24">
        <v>10</v>
      </c>
      <c r="H716" s="24" t="s">
        <v>270</v>
      </c>
      <c r="I716" s="27">
        <v>62531468</v>
      </c>
      <c r="J716" s="47">
        <v>987830893</v>
      </c>
      <c r="K716" s="5" t="s">
        <v>553</v>
      </c>
      <c r="L716" s="54"/>
      <c r="M716" s="15" t="s">
        <v>12</v>
      </c>
    </row>
    <row r="717" spans="1:13" ht="19.149999999999999" customHeight="1" x14ac:dyDescent="0.3">
      <c r="A717" s="16">
        <v>1717932964</v>
      </c>
      <c r="B717" s="16" t="s">
        <v>345</v>
      </c>
      <c r="C717" s="16">
        <v>1</v>
      </c>
      <c r="D717" s="16" t="s">
        <v>379</v>
      </c>
      <c r="E717" s="16" t="s">
        <v>294</v>
      </c>
      <c r="F717" s="23">
        <v>46164</v>
      </c>
      <c r="G717" s="24">
        <v>21</v>
      </c>
      <c r="H717" s="24" t="s">
        <v>144</v>
      </c>
      <c r="I717" s="27">
        <v>235</v>
      </c>
      <c r="J717" s="47">
        <v>995403522</v>
      </c>
      <c r="K717" s="5" t="s">
        <v>552</v>
      </c>
      <c r="L717" s="54"/>
      <c r="M717" s="15" t="s">
        <v>12</v>
      </c>
    </row>
    <row r="718" spans="1:13" ht="19.149999999999999" customHeight="1" x14ac:dyDescent="0.3">
      <c r="A718" s="16">
        <v>2300544950</v>
      </c>
      <c r="B718" s="16" t="s">
        <v>346</v>
      </c>
      <c r="C718" s="16">
        <v>1</v>
      </c>
      <c r="D718" s="16" t="s">
        <v>28</v>
      </c>
      <c r="E718" s="16" t="s">
        <v>50</v>
      </c>
      <c r="F718" s="23">
        <v>46174</v>
      </c>
      <c r="G718" s="24">
        <v>15</v>
      </c>
      <c r="H718" s="24" t="s">
        <v>270</v>
      </c>
      <c r="I718" s="26">
        <v>179752701</v>
      </c>
      <c r="J718" s="47">
        <v>997375983</v>
      </c>
      <c r="K718" s="5" t="s">
        <v>554</v>
      </c>
      <c r="L718" s="54"/>
      <c r="M718" s="15" t="s">
        <v>12</v>
      </c>
    </row>
    <row r="719" spans="1:13" ht="19.149999999999999" customHeight="1" x14ac:dyDescent="0.3">
      <c r="A719" s="16">
        <v>1707063227</v>
      </c>
      <c r="B719" s="16" t="s">
        <v>33</v>
      </c>
      <c r="C719" s="16">
        <v>1</v>
      </c>
      <c r="D719" s="16" t="s">
        <v>28</v>
      </c>
      <c r="E719" s="16" t="s">
        <v>294</v>
      </c>
      <c r="F719" s="23">
        <v>46174</v>
      </c>
      <c r="G719" s="24">
        <v>15</v>
      </c>
      <c r="H719" s="24" t="s">
        <v>17</v>
      </c>
      <c r="I719" s="26"/>
      <c r="J719" s="47">
        <v>962842721</v>
      </c>
      <c r="K719" s="5" t="s">
        <v>399</v>
      </c>
      <c r="L719" s="64">
        <v>46242</v>
      </c>
      <c r="M719" s="62" t="s">
        <v>12</v>
      </c>
    </row>
    <row r="720" spans="1:13" ht="19.149999999999999" customHeight="1" x14ac:dyDescent="0.3">
      <c r="A720" s="16">
        <v>1716862840</v>
      </c>
      <c r="B720" s="16" t="s">
        <v>275</v>
      </c>
      <c r="C720" s="16">
        <v>1</v>
      </c>
      <c r="D720" s="88" t="s">
        <v>52</v>
      </c>
      <c r="E720" s="16" t="s">
        <v>50</v>
      </c>
      <c r="F720" s="23">
        <v>46175</v>
      </c>
      <c r="G720" s="24">
        <v>17</v>
      </c>
      <c r="H720" s="24" t="s">
        <v>144</v>
      </c>
      <c r="I720" s="26">
        <v>242</v>
      </c>
      <c r="J720" s="47">
        <v>984907880</v>
      </c>
      <c r="K720" s="5" t="s">
        <v>490</v>
      </c>
      <c r="L720" s="54"/>
      <c r="M720" s="15" t="s">
        <v>12</v>
      </c>
    </row>
    <row r="721" spans="1:13" ht="19.149999999999999" customHeight="1" x14ac:dyDescent="0.3">
      <c r="A721" s="16">
        <v>1716862840</v>
      </c>
      <c r="B721" s="16" t="s">
        <v>275</v>
      </c>
      <c r="C721" s="16">
        <v>1</v>
      </c>
      <c r="D721" s="16" t="s">
        <v>102</v>
      </c>
      <c r="E721" s="16" t="s">
        <v>294</v>
      </c>
      <c r="F721" s="23">
        <v>46175</v>
      </c>
      <c r="G721" s="24">
        <v>10</v>
      </c>
      <c r="H721" s="24" t="s">
        <v>144</v>
      </c>
      <c r="I721" s="26">
        <v>242</v>
      </c>
      <c r="J721" s="47">
        <v>984907880</v>
      </c>
      <c r="K721" s="5" t="s">
        <v>490</v>
      </c>
      <c r="L721" s="54"/>
      <c r="M721" s="15" t="s">
        <v>12</v>
      </c>
    </row>
    <row r="722" spans="1:13" ht="19.149999999999999" customHeight="1" x14ac:dyDescent="0.3">
      <c r="A722" s="16">
        <v>1701127514</v>
      </c>
      <c r="B722" s="16" t="s">
        <v>349</v>
      </c>
      <c r="C722" s="16">
        <v>1</v>
      </c>
      <c r="D722" s="16" t="s">
        <v>739</v>
      </c>
      <c r="E722" s="16" t="s">
        <v>294</v>
      </c>
      <c r="F722" s="23">
        <v>46176</v>
      </c>
      <c r="G722" s="24">
        <v>20</v>
      </c>
      <c r="H722" s="24" t="s">
        <v>40</v>
      </c>
      <c r="I722" s="26">
        <v>75344020900</v>
      </c>
      <c r="J722" s="47">
        <v>983974701</v>
      </c>
      <c r="K722" s="5" t="s">
        <v>556</v>
      </c>
      <c r="L722" s="54"/>
      <c r="M722" s="15" t="s">
        <v>12</v>
      </c>
    </row>
    <row r="723" spans="1:13" ht="19.149999999999999" customHeight="1" x14ac:dyDescent="0.3">
      <c r="A723" s="16">
        <v>401094149</v>
      </c>
      <c r="B723" s="16" t="s">
        <v>348</v>
      </c>
      <c r="C723" s="16">
        <v>1</v>
      </c>
      <c r="D723" s="16" t="s">
        <v>28</v>
      </c>
      <c r="E723" s="16" t="s">
        <v>50</v>
      </c>
      <c r="F723" s="23">
        <v>46176</v>
      </c>
      <c r="G723" s="24">
        <v>15</v>
      </c>
      <c r="H723" s="24" t="s">
        <v>270</v>
      </c>
      <c r="I723" s="26">
        <v>54793240</v>
      </c>
      <c r="J723" s="47">
        <v>997235655</v>
      </c>
      <c r="K723" s="5"/>
      <c r="L723" s="54"/>
      <c r="M723" s="15" t="s">
        <v>12</v>
      </c>
    </row>
    <row r="724" spans="1:13" ht="19.149999999999999" customHeight="1" x14ac:dyDescent="0.3">
      <c r="A724" s="16">
        <v>1726528696</v>
      </c>
      <c r="B724" s="16" t="s">
        <v>954</v>
      </c>
      <c r="C724" s="16">
        <v>1</v>
      </c>
      <c r="D724" s="16" t="s">
        <v>347</v>
      </c>
      <c r="E724" s="16" t="s">
        <v>294</v>
      </c>
      <c r="F724" s="23">
        <v>46176</v>
      </c>
      <c r="G724" s="24">
        <v>25</v>
      </c>
      <c r="H724" s="24" t="s">
        <v>270</v>
      </c>
      <c r="I724" s="26">
        <v>35471586</v>
      </c>
      <c r="J724" s="47">
        <v>96931896</v>
      </c>
      <c r="K724" s="5" t="s">
        <v>555</v>
      </c>
      <c r="L724" s="54"/>
      <c r="M724" s="15" t="s">
        <v>12</v>
      </c>
    </row>
    <row r="725" spans="1:13" ht="19.149999999999999" customHeight="1" x14ac:dyDescent="0.3">
      <c r="A725" s="16">
        <v>2000054730</v>
      </c>
      <c r="B725" s="16" t="s">
        <v>350</v>
      </c>
      <c r="C725" s="16">
        <v>1</v>
      </c>
      <c r="D725" s="16" t="s">
        <v>52</v>
      </c>
      <c r="E725" s="16" t="s">
        <v>50</v>
      </c>
      <c r="F725" s="23">
        <v>46177</v>
      </c>
      <c r="G725" s="24">
        <v>17</v>
      </c>
      <c r="H725" s="24" t="s">
        <v>144</v>
      </c>
      <c r="I725" s="26">
        <v>244</v>
      </c>
      <c r="J725" s="87">
        <v>994075804</v>
      </c>
      <c r="K725" s="12" t="s">
        <v>578</v>
      </c>
      <c r="L725" s="12"/>
      <c r="M725" s="15" t="s">
        <v>12</v>
      </c>
    </row>
    <row r="726" spans="1:13" ht="19.149999999999999" customHeight="1" x14ac:dyDescent="0.3">
      <c r="A726" s="16">
        <v>2000054730</v>
      </c>
      <c r="B726" s="16" t="s">
        <v>350</v>
      </c>
      <c r="C726" s="16">
        <v>1</v>
      </c>
      <c r="D726" s="16" t="s">
        <v>933</v>
      </c>
      <c r="E726" s="16" t="s">
        <v>294</v>
      </c>
      <c r="F726" s="23">
        <v>46177</v>
      </c>
      <c r="G726" s="24">
        <v>61</v>
      </c>
      <c r="H726" s="24" t="s">
        <v>144</v>
      </c>
      <c r="I726" s="26">
        <v>244</v>
      </c>
      <c r="J726" s="87">
        <v>994075804</v>
      </c>
      <c r="K726" s="12" t="s">
        <v>578</v>
      </c>
      <c r="L726" s="12"/>
      <c r="M726" s="15" t="s">
        <v>12</v>
      </c>
    </row>
    <row r="727" spans="1:13" ht="19.149999999999999" customHeight="1" x14ac:dyDescent="0.3">
      <c r="A727" s="16">
        <v>1721555850</v>
      </c>
      <c r="B727" s="16" t="s">
        <v>351</v>
      </c>
      <c r="C727" s="16">
        <v>1</v>
      </c>
      <c r="D727" s="16" t="s">
        <v>102</v>
      </c>
      <c r="E727" s="16" t="s">
        <v>50</v>
      </c>
      <c r="F727" s="23">
        <v>46177</v>
      </c>
      <c r="G727" s="24">
        <v>10</v>
      </c>
      <c r="H727" s="24" t="s">
        <v>17</v>
      </c>
      <c r="I727" s="26"/>
      <c r="J727" s="47">
        <v>997942349</v>
      </c>
      <c r="K727" s="5" t="s">
        <v>557</v>
      </c>
      <c r="L727" s="54"/>
      <c r="M727" s="15" t="s">
        <v>12</v>
      </c>
    </row>
    <row r="728" spans="1:13" ht="19.149999999999999" customHeight="1" x14ac:dyDescent="0.3">
      <c r="A728" s="16">
        <v>1721555850</v>
      </c>
      <c r="B728" s="16" t="s">
        <v>351</v>
      </c>
      <c r="C728" s="16">
        <v>1</v>
      </c>
      <c r="D728" s="16" t="s">
        <v>719</v>
      </c>
      <c r="E728" s="16" t="s">
        <v>294</v>
      </c>
      <c r="F728" s="23">
        <v>46177</v>
      </c>
      <c r="G728" s="24">
        <v>10</v>
      </c>
      <c r="H728" s="24" t="s">
        <v>17</v>
      </c>
      <c r="I728" s="26"/>
      <c r="J728" s="47">
        <v>997942349</v>
      </c>
      <c r="K728" s="5" t="s">
        <v>557</v>
      </c>
      <c r="L728" s="54"/>
      <c r="M728" s="15" t="s">
        <v>12</v>
      </c>
    </row>
    <row r="729" spans="1:13" ht="19.149999999999999" customHeight="1" x14ac:dyDescent="0.3">
      <c r="A729" s="16">
        <v>1714063292</v>
      </c>
      <c r="B729" s="16" t="s">
        <v>29</v>
      </c>
      <c r="C729" s="16">
        <v>1</v>
      </c>
      <c r="D729" s="16" t="s">
        <v>52</v>
      </c>
      <c r="E729" s="16" t="s">
        <v>50</v>
      </c>
      <c r="F729" s="23">
        <v>46177</v>
      </c>
      <c r="G729" s="24">
        <v>12</v>
      </c>
      <c r="H729" s="24" t="s">
        <v>17</v>
      </c>
      <c r="I729" s="26"/>
      <c r="J729" s="47">
        <v>995674830</v>
      </c>
      <c r="K729" s="5" t="s">
        <v>430</v>
      </c>
      <c r="L729" s="54"/>
      <c r="M729" s="15" t="s">
        <v>12</v>
      </c>
    </row>
    <row r="730" spans="1:13" ht="19.149999999999999" customHeight="1" x14ac:dyDescent="0.3">
      <c r="A730" s="16">
        <v>1714063292</v>
      </c>
      <c r="B730" s="16" t="s">
        <v>29</v>
      </c>
      <c r="C730" s="16">
        <v>1</v>
      </c>
      <c r="D730" s="16" t="s">
        <v>102</v>
      </c>
      <c r="E730" s="16" t="s">
        <v>294</v>
      </c>
      <c r="F730" s="23">
        <v>46177</v>
      </c>
      <c r="G730" s="24">
        <v>10</v>
      </c>
      <c r="H730" s="24" t="s">
        <v>17</v>
      </c>
      <c r="I730" s="26"/>
      <c r="J730" s="47">
        <v>995674830</v>
      </c>
      <c r="K730" s="5" t="s">
        <v>430</v>
      </c>
      <c r="L730" s="54"/>
      <c r="M730" s="15" t="s">
        <v>12</v>
      </c>
    </row>
    <row r="731" spans="1:13" ht="19.149999999999999" customHeight="1" x14ac:dyDescent="0.3">
      <c r="A731" s="16">
        <v>1704180577</v>
      </c>
      <c r="B731" s="16" t="s">
        <v>961</v>
      </c>
      <c r="C731" s="16">
        <v>1</v>
      </c>
      <c r="D731" s="16" t="s">
        <v>739</v>
      </c>
      <c r="E731" s="16" t="s">
        <v>294</v>
      </c>
      <c r="F731" s="23">
        <v>46178</v>
      </c>
      <c r="G731" s="24">
        <v>20</v>
      </c>
      <c r="H731" s="24" t="s">
        <v>270</v>
      </c>
      <c r="I731" s="16">
        <v>63101801</v>
      </c>
      <c r="J731" s="47">
        <v>982267410</v>
      </c>
      <c r="K731" s="6" t="s">
        <v>561</v>
      </c>
      <c r="L731" s="55"/>
      <c r="M731" s="15" t="s">
        <v>12</v>
      </c>
    </row>
    <row r="732" spans="1:13" ht="19.149999999999999" customHeight="1" x14ac:dyDescent="0.3">
      <c r="A732" s="16">
        <v>1720921368</v>
      </c>
      <c r="B732" s="16" t="s">
        <v>354</v>
      </c>
      <c r="C732" s="16">
        <v>1</v>
      </c>
      <c r="D732" s="16" t="s">
        <v>379</v>
      </c>
      <c r="E732" s="16" t="s">
        <v>50</v>
      </c>
      <c r="F732" s="23">
        <v>46178</v>
      </c>
      <c r="G732" s="24">
        <v>21</v>
      </c>
      <c r="H732" s="24" t="s">
        <v>270</v>
      </c>
      <c r="I732" s="16"/>
      <c r="J732" s="47">
        <v>998583955</v>
      </c>
      <c r="K732" s="6" t="s">
        <v>562</v>
      </c>
      <c r="L732" s="55"/>
      <c r="M732" s="15" t="s">
        <v>12</v>
      </c>
    </row>
    <row r="733" spans="1:13" ht="19.149999999999999" customHeight="1" x14ac:dyDescent="0.3">
      <c r="A733" s="16">
        <v>1709047482</v>
      </c>
      <c r="B733" s="16" t="s">
        <v>378</v>
      </c>
      <c r="C733" s="16">
        <v>1</v>
      </c>
      <c r="D733" s="16" t="s">
        <v>6</v>
      </c>
      <c r="E733" s="16" t="s">
        <v>50</v>
      </c>
      <c r="F733" s="23">
        <v>46178</v>
      </c>
      <c r="G733" s="24">
        <v>12</v>
      </c>
      <c r="H733" s="24" t="s">
        <v>17</v>
      </c>
      <c r="I733" s="26"/>
      <c r="J733" s="87">
        <v>995066742</v>
      </c>
      <c r="K733" s="12" t="s">
        <v>591</v>
      </c>
      <c r="L733" s="12"/>
      <c r="M733" s="15" t="s">
        <v>12</v>
      </c>
    </row>
    <row r="734" spans="1:13" ht="19.149999999999999" customHeight="1" x14ac:dyDescent="0.3">
      <c r="A734" s="16">
        <v>1350764880</v>
      </c>
      <c r="B734" s="16" t="s">
        <v>958</v>
      </c>
      <c r="C734" s="16">
        <v>1</v>
      </c>
      <c r="D734" s="16" t="s">
        <v>739</v>
      </c>
      <c r="E734" s="16" t="s">
        <v>50</v>
      </c>
      <c r="F734" s="23">
        <v>46178</v>
      </c>
      <c r="G734" s="24">
        <v>20</v>
      </c>
      <c r="H734" s="24" t="s">
        <v>270</v>
      </c>
      <c r="I734" s="16"/>
      <c r="J734" s="75">
        <v>963942797</v>
      </c>
      <c r="K734" s="6" t="s">
        <v>957</v>
      </c>
      <c r="L734" s="48"/>
      <c r="M734" s="15" t="s">
        <v>12</v>
      </c>
    </row>
    <row r="735" spans="1:13" ht="19.149999999999999" customHeight="1" x14ac:dyDescent="0.3">
      <c r="A735" s="16">
        <v>1715780837</v>
      </c>
      <c r="B735" s="16" t="s">
        <v>660</v>
      </c>
      <c r="C735" s="16">
        <v>1</v>
      </c>
      <c r="D735" s="16" t="s">
        <v>728</v>
      </c>
      <c r="E735" s="16" t="s">
        <v>294</v>
      </c>
      <c r="F735" s="23">
        <v>46178</v>
      </c>
      <c r="G735" s="24">
        <v>28</v>
      </c>
      <c r="H735" s="24" t="s">
        <v>144</v>
      </c>
      <c r="I735" s="16">
        <v>247</v>
      </c>
      <c r="J735" s="87"/>
    </row>
    <row r="736" spans="1:13" ht="19.149999999999999" customHeight="1" x14ac:dyDescent="0.3">
      <c r="A736" s="16">
        <v>1723007686</v>
      </c>
      <c r="B736" s="16" t="s">
        <v>352</v>
      </c>
      <c r="C736" s="16">
        <v>1</v>
      </c>
      <c r="D736" s="16" t="s">
        <v>779</v>
      </c>
      <c r="E736" s="16" t="s">
        <v>50</v>
      </c>
      <c r="F736" s="23">
        <v>46178</v>
      </c>
      <c r="G736" s="24">
        <v>27</v>
      </c>
      <c r="H736" s="24" t="s">
        <v>144</v>
      </c>
      <c r="I736" s="26">
        <v>246</v>
      </c>
      <c r="J736" s="87"/>
    </row>
    <row r="737" spans="1:13" ht="19.149999999999999" customHeight="1" x14ac:dyDescent="0.3">
      <c r="A737" s="16">
        <v>1600377980</v>
      </c>
      <c r="B737" s="16" t="s">
        <v>327</v>
      </c>
      <c r="C737" s="16">
        <v>1</v>
      </c>
      <c r="D737" s="16" t="s">
        <v>274</v>
      </c>
      <c r="E737" s="16" t="s">
        <v>50</v>
      </c>
      <c r="F737" s="23">
        <v>46178</v>
      </c>
      <c r="G737" s="24">
        <v>5</v>
      </c>
      <c r="H737" s="24" t="s">
        <v>270</v>
      </c>
      <c r="I737" s="16">
        <v>63585602</v>
      </c>
      <c r="J737" s="47">
        <v>997520009</v>
      </c>
      <c r="K737" s="5" t="s">
        <v>536</v>
      </c>
      <c r="L737" s="54"/>
      <c r="M737" s="15" t="s">
        <v>12</v>
      </c>
    </row>
    <row r="738" spans="1:13" ht="19.149999999999999" customHeight="1" x14ac:dyDescent="0.3">
      <c r="A738" s="16">
        <v>1704180577</v>
      </c>
      <c r="B738" s="16" t="s">
        <v>961</v>
      </c>
      <c r="C738" s="16">
        <v>1</v>
      </c>
      <c r="D738" s="16" t="s">
        <v>738</v>
      </c>
      <c r="E738" s="16" t="s">
        <v>294</v>
      </c>
      <c r="F738" s="23">
        <v>46178</v>
      </c>
      <c r="G738" s="24">
        <v>22</v>
      </c>
      <c r="H738" s="24" t="s">
        <v>17</v>
      </c>
      <c r="I738" s="16"/>
      <c r="J738" s="47">
        <v>982267410</v>
      </c>
      <c r="K738" s="6" t="s">
        <v>561</v>
      </c>
      <c r="L738" s="55"/>
      <c r="M738" s="15" t="s">
        <v>12</v>
      </c>
    </row>
    <row r="739" spans="1:13" ht="19.149999999999999" customHeight="1" x14ac:dyDescent="0.3">
      <c r="A739" s="16">
        <v>1705687948</v>
      </c>
      <c r="B739" s="16" t="s">
        <v>661</v>
      </c>
      <c r="C739" s="16">
        <v>1</v>
      </c>
      <c r="D739" s="16" t="s">
        <v>102</v>
      </c>
      <c r="E739" s="16" t="s">
        <v>50</v>
      </c>
      <c r="F739" s="23">
        <v>46178</v>
      </c>
      <c r="G739" s="24">
        <v>10</v>
      </c>
      <c r="H739" s="24" t="s">
        <v>17</v>
      </c>
      <c r="I739" s="26"/>
      <c r="J739" s="87"/>
    </row>
    <row r="740" spans="1:13" ht="19.149999999999999" customHeight="1" x14ac:dyDescent="0.3">
      <c r="A740" s="16">
        <v>1705996229</v>
      </c>
      <c r="B740" s="16" t="s">
        <v>353</v>
      </c>
      <c r="C740" s="16">
        <v>1</v>
      </c>
      <c r="D740" s="16" t="s">
        <v>28</v>
      </c>
      <c r="E740" s="16" t="s">
        <v>50</v>
      </c>
      <c r="F740" s="23">
        <v>46178</v>
      </c>
      <c r="G740" s="24">
        <v>15</v>
      </c>
      <c r="H740" s="16" t="s">
        <v>17</v>
      </c>
      <c r="I740" s="16"/>
      <c r="J740" s="47">
        <v>958891795</v>
      </c>
      <c r="K740" s="6" t="s">
        <v>560</v>
      </c>
      <c r="L740" s="55"/>
      <c r="M740" s="15" t="s">
        <v>12</v>
      </c>
    </row>
    <row r="741" spans="1:13" ht="19.149999999999999" customHeight="1" x14ac:dyDescent="0.3">
      <c r="A741" s="16">
        <v>1717991879</v>
      </c>
      <c r="B741" s="16" t="s">
        <v>677</v>
      </c>
      <c r="C741" s="16">
        <v>1</v>
      </c>
      <c r="D741" s="16" t="s">
        <v>28</v>
      </c>
      <c r="E741" s="16" t="s">
        <v>294</v>
      </c>
      <c r="F741" s="23">
        <v>46178</v>
      </c>
      <c r="G741" s="24">
        <v>15</v>
      </c>
      <c r="H741" s="16" t="s">
        <v>17</v>
      </c>
      <c r="I741" s="16"/>
      <c r="J741" s="75">
        <v>991330563</v>
      </c>
      <c r="K741" s="6" t="s">
        <v>559</v>
      </c>
      <c r="L741" s="55"/>
      <c r="M741" s="15" t="s">
        <v>12</v>
      </c>
    </row>
    <row r="742" spans="1:13" ht="19.149999999999999" customHeight="1" x14ac:dyDescent="0.3">
      <c r="A742" s="16">
        <v>1753633344</v>
      </c>
      <c r="B742" s="16" t="s">
        <v>357</v>
      </c>
      <c r="C742" s="16">
        <v>1</v>
      </c>
      <c r="D742" s="16" t="s">
        <v>716</v>
      </c>
      <c r="E742" s="16" t="s">
        <v>50</v>
      </c>
      <c r="F742" s="23">
        <v>46179</v>
      </c>
      <c r="G742" s="24">
        <v>36</v>
      </c>
      <c r="H742" s="16" t="s">
        <v>270</v>
      </c>
      <c r="I742" s="16">
        <v>44428620</v>
      </c>
      <c r="J742" s="75">
        <v>995652190</v>
      </c>
      <c r="K742" s="6" t="s">
        <v>564</v>
      </c>
      <c r="L742" s="55"/>
      <c r="M742" s="15" t="s">
        <v>12</v>
      </c>
    </row>
    <row r="743" spans="1:13" ht="19.149999999999999" customHeight="1" x14ac:dyDescent="0.3">
      <c r="A743" s="16">
        <v>1708000698</v>
      </c>
      <c r="B743" s="16" t="s">
        <v>355</v>
      </c>
      <c r="C743" s="16">
        <v>1</v>
      </c>
      <c r="D743" s="16" t="s">
        <v>786</v>
      </c>
      <c r="E743" s="16" t="s">
        <v>294</v>
      </c>
      <c r="F743" s="23">
        <v>46179</v>
      </c>
      <c r="G743" s="24">
        <v>21</v>
      </c>
      <c r="H743" s="24" t="s">
        <v>270</v>
      </c>
      <c r="I743" s="16">
        <v>27679137</v>
      </c>
      <c r="J743" s="80">
        <v>999782426</v>
      </c>
      <c r="K743" s="5" t="s">
        <v>523</v>
      </c>
      <c r="L743" s="54"/>
      <c r="M743" s="15" t="s">
        <v>12</v>
      </c>
    </row>
    <row r="744" spans="1:13" ht="19.149999999999999" customHeight="1" x14ac:dyDescent="0.3">
      <c r="A744" s="16">
        <v>1713498507</v>
      </c>
      <c r="B744" s="16" t="s">
        <v>394</v>
      </c>
      <c r="C744" s="16">
        <v>1</v>
      </c>
      <c r="D744" s="16" t="s">
        <v>934</v>
      </c>
      <c r="E744" s="16" t="s">
        <v>294</v>
      </c>
      <c r="F744" s="23">
        <v>46179</v>
      </c>
      <c r="G744" s="24">
        <v>26</v>
      </c>
      <c r="H744" s="16" t="s">
        <v>270</v>
      </c>
      <c r="I744" s="16">
        <v>44428620</v>
      </c>
      <c r="J744" s="75">
        <v>984878267</v>
      </c>
      <c r="K744" s="6" t="s">
        <v>565</v>
      </c>
      <c r="L744" s="55"/>
      <c r="M744" s="15" t="s">
        <v>12</v>
      </c>
    </row>
    <row r="745" spans="1:13" ht="19.149999999999999" customHeight="1" x14ac:dyDescent="0.3">
      <c r="A745" s="16">
        <v>800610388</v>
      </c>
      <c r="B745" s="16" t="s">
        <v>358</v>
      </c>
      <c r="C745" s="16">
        <v>1</v>
      </c>
      <c r="D745" s="16" t="s">
        <v>102</v>
      </c>
      <c r="E745" s="16" t="s">
        <v>50</v>
      </c>
      <c r="F745" s="23">
        <v>46179</v>
      </c>
      <c r="G745" s="24">
        <v>10</v>
      </c>
      <c r="H745" s="16" t="s">
        <v>17</v>
      </c>
      <c r="I745" s="16"/>
      <c r="J745" s="81">
        <v>983514810</v>
      </c>
      <c r="K745" s="12" t="s">
        <v>566</v>
      </c>
      <c r="L745" s="12"/>
      <c r="M745" s="15" t="s">
        <v>12</v>
      </c>
    </row>
    <row r="746" spans="1:13" ht="19.149999999999999" customHeight="1" x14ac:dyDescent="0.3">
      <c r="A746" s="16">
        <v>800610388</v>
      </c>
      <c r="B746" s="16" t="s">
        <v>331</v>
      </c>
      <c r="C746" s="16">
        <v>1</v>
      </c>
      <c r="D746" s="16" t="s">
        <v>28</v>
      </c>
      <c r="E746" s="16" t="s">
        <v>294</v>
      </c>
      <c r="F746" s="23">
        <v>46179</v>
      </c>
      <c r="G746" s="24">
        <v>15</v>
      </c>
      <c r="H746" s="16" t="s">
        <v>17</v>
      </c>
      <c r="I746" s="16"/>
      <c r="J746" s="81">
        <v>983514810</v>
      </c>
      <c r="K746" s="12" t="s">
        <v>566</v>
      </c>
      <c r="L746" s="12"/>
      <c r="M746" s="15" t="s">
        <v>12</v>
      </c>
    </row>
    <row r="747" spans="1:13" ht="19.149999999999999" customHeight="1" x14ac:dyDescent="0.3">
      <c r="A747" s="16">
        <v>1350764880</v>
      </c>
      <c r="B747" s="16" t="s">
        <v>958</v>
      </c>
      <c r="C747" s="16">
        <v>1</v>
      </c>
      <c r="D747" s="16" t="s">
        <v>52</v>
      </c>
      <c r="E747" s="16" t="s">
        <v>294</v>
      </c>
      <c r="F747" s="23">
        <v>46179</v>
      </c>
      <c r="G747" s="24">
        <v>17</v>
      </c>
      <c r="H747" s="24" t="s">
        <v>270</v>
      </c>
      <c r="I747" s="16"/>
      <c r="J747" s="75">
        <v>963942797</v>
      </c>
      <c r="K747" s="6" t="s">
        <v>957</v>
      </c>
      <c r="L747" s="48"/>
      <c r="M747" s="15" t="s">
        <v>12</v>
      </c>
    </row>
    <row r="748" spans="1:13" ht="19.149999999999999" customHeight="1" x14ac:dyDescent="0.3">
      <c r="A748" s="16">
        <v>1315499424</v>
      </c>
      <c r="B748" s="16" t="s">
        <v>356</v>
      </c>
      <c r="C748" s="16">
        <v>1</v>
      </c>
      <c r="D748" s="16" t="s">
        <v>894</v>
      </c>
      <c r="E748" s="16" t="s">
        <v>50</v>
      </c>
      <c r="F748" s="23">
        <v>46179</v>
      </c>
      <c r="G748" s="24">
        <v>32</v>
      </c>
      <c r="H748" s="16" t="s">
        <v>270</v>
      </c>
      <c r="I748" s="16"/>
      <c r="J748" s="75">
        <v>958664774</v>
      </c>
      <c r="K748" s="6" t="s">
        <v>563</v>
      </c>
      <c r="L748" s="55"/>
      <c r="M748" s="15" t="s">
        <v>12</v>
      </c>
    </row>
    <row r="749" spans="1:13" ht="19.149999999999999" customHeight="1" x14ac:dyDescent="0.3">
      <c r="A749" s="16">
        <v>1719932079</v>
      </c>
      <c r="B749" s="16" t="s">
        <v>360</v>
      </c>
      <c r="C749" s="16">
        <v>1</v>
      </c>
      <c r="D749" s="16" t="s">
        <v>816</v>
      </c>
      <c r="E749" s="16" t="s">
        <v>50</v>
      </c>
      <c r="F749" s="23">
        <v>46180</v>
      </c>
      <c r="G749" s="24">
        <v>34</v>
      </c>
      <c r="H749" s="16" t="s">
        <v>270</v>
      </c>
      <c r="I749" s="16"/>
      <c r="J749" s="87">
        <v>987510455</v>
      </c>
      <c r="M749" s="15" t="s">
        <v>12</v>
      </c>
    </row>
    <row r="750" spans="1:13" ht="19.149999999999999" customHeight="1" x14ac:dyDescent="0.3">
      <c r="A750" s="16">
        <v>1720226214</v>
      </c>
      <c r="B750" s="16" t="s">
        <v>205</v>
      </c>
      <c r="C750" s="16">
        <v>1</v>
      </c>
      <c r="D750" s="16" t="s">
        <v>28</v>
      </c>
      <c r="E750" s="16" t="s">
        <v>50</v>
      </c>
      <c r="F750" s="23">
        <v>46180</v>
      </c>
      <c r="G750" s="24">
        <v>15</v>
      </c>
      <c r="H750" s="16" t="s">
        <v>270</v>
      </c>
      <c r="I750" s="16"/>
      <c r="J750" s="47">
        <v>984342245</v>
      </c>
      <c r="K750" s="5" t="s">
        <v>521</v>
      </c>
      <c r="L750" s="54"/>
      <c r="M750" s="15" t="s">
        <v>12</v>
      </c>
    </row>
    <row r="751" spans="1:13" ht="19.149999999999999" customHeight="1" x14ac:dyDescent="0.3">
      <c r="A751" s="16" t="s">
        <v>658</v>
      </c>
      <c r="B751" s="16" t="s">
        <v>296</v>
      </c>
      <c r="C751" s="16">
        <v>1</v>
      </c>
      <c r="D751" s="16" t="s">
        <v>790</v>
      </c>
      <c r="E751" s="16" t="s">
        <v>50</v>
      </c>
      <c r="F751" s="23">
        <v>46180</v>
      </c>
      <c r="G751" s="24">
        <v>32</v>
      </c>
      <c r="H751" s="24" t="s">
        <v>17</v>
      </c>
      <c r="I751" s="16"/>
      <c r="J751" s="47">
        <v>983815656</v>
      </c>
      <c r="K751" s="5" t="s">
        <v>512</v>
      </c>
      <c r="L751" s="54"/>
      <c r="M751" s="15" t="s">
        <v>12</v>
      </c>
    </row>
    <row r="752" spans="1:13" ht="19.149999999999999" customHeight="1" x14ac:dyDescent="0.3">
      <c r="A752" s="16" t="s">
        <v>658</v>
      </c>
      <c r="B752" s="16" t="s">
        <v>359</v>
      </c>
      <c r="C752" s="16">
        <v>1</v>
      </c>
      <c r="D752" s="16" t="s">
        <v>133</v>
      </c>
      <c r="E752" s="16" t="s">
        <v>50</v>
      </c>
      <c r="F752" s="23">
        <v>46180</v>
      </c>
      <c r="G752" s="24">
        <v>20</v>
      </c>
      <c r="H752" s="16" t="s">
        <v>270</v>
      </c>
      <c r="I752" s="16"/>
      <c r="J752" s="87"/>
    </row>
    <row r="753" spans="1:13" ht="19.149999999999999" customHeight="1" x14ac:dyDescent="0.3">
      <c r="A753" s="16">
        <v>1721946067</v>
      </c>
      <c r="B753" s="16" t="s">
        <v>31</v>
      </c>
      <c r="C753" s="16">
        <v>1</v>
      </c>
      <c r="D753" s="16" t="s">
        <v>791</v>
      </c>
      <c r="E753" s="16" t="s">
        <v>50</v>
      </c>
      <c r="F753" s="23">
        <v>46180</v>
      </c>
      <c r="G753" s="24">
        <f>15+6</f>
        <v>21</v>
      </c>
      <c r="H753" s="24" t="s">
        <v>17</v>
      </c>
      <c r="I753" s="16"/>
      <c r="J753" s="47">
        <v>997562221</v>
      </c>
      <c r="K753" s="5" t="s">
        <v>433</v>
      </c>
      <c r="L753" s="64">
        <v>46322</v>
      </c>
      <c r="M753" s="15" t="s">
        <v>12</v>
      </c>
    </row>
    <row r="754" spans="1:13" ht="19.149999999999999" customHeight="1" x14ac:dyDescent="0.3">
      <c r="A754" s="16">
        <v>1721946067</v>
      </c>
      <c r="B754" s="16" t="s">
        <v>31</v>
      </c>
      <c r="C754" s="16">
        <v>1</v>
      </c>
      <c r="D754" s="16" t="s">
        <v>853</v>
      </c>
      <c r="E754" s="16" t="s">
        <v>103</v>
      </c>
      <c r="F754" s="23">
        <v>46180</v>
      </c>
      <c r="G754" s="24">
        <f>10+4</f>
        <v>14</v>
      </c>
      <c r="H754" s="24" t="s">
        <v>17</v>
      </c>
      <c r="I754" s="16"/>
      <c r="J754" s="47">
        <v>997562221</v>
      </c>
      <c r="K754" s="5" t="s">
        <v>433</v>
      </c>
      <c r="L754" s="64">
        <v>46322</v>
      </c>
      <c r="M754" s="15" t="s">
        <v>12</v>
      </c>
    </row>
    <row r="755" spans="1:13" ht="19.149999999999999" customHeight="1" x14ac:dyDescent="0.3">
      <c r="A755" s="16">
        <v>1716497159</v>
      </c>
      <c r="B755" s="16" t="s">
        <v>1215</v>
      </c>
      <c r="C755" s="16">
        <v>1</v>
      </c>
      <c r="D755" s="16" t="s">
        <v>706</v>
      </c>
      <c r="E755" s="16" t="s">
        <v>50</v>
      </c>
      <c r="F755" s="23">
        <v>46181</v>
      </c>
      <c r="G755" s="24" t="s">
        <v>361</v>
      </c>
      <c r="H755" s="16" t="s">
        <v>270</v>
      </c>
      <c r="I755" s="16">
        <v>139884603</v>
      </c>
      <c r="J755" s="76">
        <v>991951765</v>
      </c>
      <c r="K755" s="9" t="s">
        <v>467</v>
      </c>
      <c r="L755" s="58"/>
      <c r="M755" s="15" t="s">
        <v>12</v>
      </c>
    </row>
    <row r="756" spans="1:13" ht="19.149999999999999" customHeight="1" x14ac:dyDescent="0.3">
      <c r="A756" s="16">
        <v>1725899734</v>
      </c>
      <c r="B756" s="16" t="s">
        <v>362</v>
      </c>
      <c r="C756" s="16">
        <v>1</v>
      </c>
      <c r="D756" s="16" t="s">
        <v>363</v>
      </c>
      <c r="E756" s="16" t="s">
        <v>294</v>
      </c>
      <c r="F756" s="23">
        <v>46181</v>
      </c>
      <c r="G756" s="24">
        <v>24</v>
      </c>
      <c r="H756" s="16" t="s">
        <v>270</v>
      </c>
      <c r="I756" s="16">
        <v>153866484</v>
      </c>
      <c r="J756" s="87">
        <v>984108310</v>
      </c>
      <c r="K756" s="12" t="s">
        <v>567</v>
      </c>
      <c r="L756" s="12"/>
      <c r="M756" s="15" t="s">
        <v>12</v>
      </c>
    </row>
    <row r="757" spans="1:13" ht="19.149999999999999" customHeight="1" x14ac:dyDescent="0.3">
      <c r="A757" s="16">
        <v>1317975173</v>
      </c>
      <c r="B757" s="16" t="s">
        <v>669</v>
      </c>
      <c r="C757" s="16">
        <v>1</v>
      </c>
      <c r="D757" s="16" t="s">
        <v>899</v>
      </c>
      <c r="E757" s="16" t="s">
        <v>294</v>
      </c>
      <c r="F757" s="23">
        <v>46182</v>
      </c>
      <c r="G757" s="24">
        <v>15</v>
      </c>
      <c r="H757" s="16" t="s">
        <v>270</v>
      </c>
      <c r="I757" s="16">
        <v>20027294</v>
      </c>
      <c r="J757" s="87">
        <v>984412304</v>
      </c>
      <c r="K757" s="12" t="s">
        <v>568</v>
      </c>
      <c r="L757" s="12"/>
      <c r="M757" s="15" t="s">
        <v>12</v>
      </c>
    </row>
    <row r="758" spans="1:13" ht="19.149999999999999" customHeight="1" x14ac:dyDescent="0.3">
      <c r="A758" s="16">
        <v>930394861</v>
      </c>
      <c r="B758" s="16" t="s">
        <v>276</v>
      </c>
      <c r="C758" s="16">
        <v>1</v>
      </c>
      <c r="D758" s="16" t="s">
        <v>28</v>
      </c>
      <c r="E758" s="16" t="s">
        <v>50</v>
      </c>
      <c r="F758" s="23">
        <v>46183</v>
      </c>
      <c r="G758" s="24">
        <v>15</v>
      </c>
      <c r="H758" s="16" t="s">
        <v>270</v>
      </c>
      <c r="I758" s="16">
        <v>619835576</v>
      </c>
      <c r="J758" s="47">
        <v>967477481</v>
      </c>
      <c r="K758" s="5" t="s">
        <v>491</v>
      </c>
      <c r="L758" s="54"/>
      <c r="M758" s="15" t="s">
        <v>12</v>
      </c>
    </row>
    <row r="759" spans="1:13" ht="19.149999999999999" customHeight="1" x14ac:dyDescent="0.3">
      <c r="A759" s="16">
        <v>930394861</v>
      </c>
      <c r="B759" s="16" t="s">
        <v>276</v>
      </c>
      <c r="C759" s="16">
        <v>1</v>
      </c>
      <c r="D759" s="16" t="s">
        <v>6</v>
      </c>
      <c r="E759" s="16" t="s">
        <v>294</v>
      </c>
      <c r="F759" s="23">
        <v>46183</v>
      </c>
      <c r="G759" s="24">
        <v>12</v>
      </c>
      <c r="H759" s="16" t="s">
        <v>270</v>
      </c>
      <c r="I759" s="16">
        <v>619835576</v>
      </c>
      <c r="J759" s="47">
        <v>967477481</v>
      </c>
      <c r="K759" s="5" t="s">
        <v>491</v>
      </c>
      <c r="L759" s="54"/>
      <c r="M759" s="15" t="s">
        <v>12</v>
      </c>
    </row>
    <row r="760" spans="1:13" ht="19.149999999999999" customHeight="1" x14ac:dyDescent="0.3">
      <c r="A760" s="16" t="s">
        <v>658</v>
      </c>
      <c r="B760" s="16" t="s">
        <v>364</v>
      </c>
      <c r="C760" s="16">
        <v>1</v>
      </c>
      <c r="D760" s="16" t="s">
        <v>28</v>
      </c>
      <c r="E760" s="16" t="s">
        <v>294</v>
      </c>
      <c r="F760" s="23">
        <v>46183</v>
      </c>
      <c r="G760" s="24">
        <v>15</v>
      </c>
      <c r="H760" s="16" t="s">
        <v>144</v>
      </c>
      <c r="I760" s="16">
        <v>249</v>
      </c>
      <c r="J760" s="87">
        <v>963569877</v>
      </c>
      <c r="K760" s="12" t="s">
        <v>569</v>
      </c>
      <c r="L760" s="12"/>
      <c r="M760" s="15" t="s">
        <v>12</v>
      </c>
    </row>
    <row r="761" spans="1:13" ht="19.149999999999999" customHeight="1" x14ac:dyDescent="0.3">
      <c r="A761" s="16">
        <v>502138340</v>
      </c>
      <c r="B761" s="16" t="s">
        <v>365</v>
      </c>
      <c r="C761" s="16">
        <v>1</v>
      </c>
      <c r="D761" s="16" t="s">
        <v>102</v>
      </c>
      <c r="E761" s="16" t="s">
        <v>50</v>
      </c>
      <c r="F761" s="23">
        <v>46183</v>
      </c>
      <c r="G761" s="24">
        <v>10</v>
      </c>
      <c r="H761" s="16" t="s">
        <v>270</v>
      </c>
      <c r="I761" s="16">
        <v>34102316</v>
      </c>
      <c r="J761" s="47">
        <v>996439660</v>
      </c>
      <c r="K761" s="5" t="s">
        <v>547</v>
      </c>
      <c r="L761" s="54"/>
      <c r="M761" s="15" t="s">
        <v>12</v>
      </c>
    </row>
    <row r="762" spans="1:13" ht="19.149999999999999" customHeight="1" x14ac:dyDescent="0.3">
      <c r="A762" s="16">
        <v>502138340</v>
      </c>
      <c r="B762" s="16" t="s">
        <v>365</v>
      </c>
      <c r="C762" s="16">
        <v>1</v>
      </c>
      <c r="D762" s="16" t="s">
        <v>366</v>
      </c>
      <c r="E762" s="16" t="s">
        <v>50</v>
      </c>
      <c r="F762" s="23">
        <v>46183</v>
      </c>
      <c r="G762" s="24">
        <v>4.5</v>
      </c>
      <c r="H762" s="16" t="s">
        <v>270</v>
      </c>
      <c r="I762" s="16">
        <v>34102316</v>
      </c>
      <c r="J762" s="47">
        <v>996439660</v>
      </c>
      <c r="K762" s="5" t="s">
        <v>547</v>
      </c>
      <c r="L762" s="54"/>
      <c r="M762" s="15" t="s">
        <v>12</v>
      </c>
    </row>
    <row r="763" spans="1:13" ht="19.149999999999999" customHeight="1" x14ac:dyDescent="0.3">
      <c r="A763" s="16">
        <v>1714348651</v>
      </c>
      <c r="B763" s="16" t="s">
        <v>367</v>
      </c>
      <c r="C763" s="16">
        <v>1</v>
      </c>
      <c r="D763" s="16" t="s">
        <v>739</v>
      </c>
      <c r="E763" s="16" t="s">
        <v>50</v>
      </c>
      <c r="F763" s="23">
        <v>46184</v>
      </c>
      <c r="G763" s="24">
        <v>20</v>
      </c>
      <c r="H763" s="16" t="s">
        <v>270</v>
      </c>
      <c r="I763" s="16">
        <v>56625601</v>
      </c>
      <c r="J763" s="87">
        <v>997767882</v>
      </c>
      <c r="K763" s="12" t="s">
        <v>570</v>
      </c>
      <c r="L763" s="12"/>
      <c r="M763" s="15" t="s">
        <v>12</v>
      </c>
    </row>
    <row r="764" spans="1:13" ht="19.149999999999999" customHeight="1" x14ac:dyDescent="0.3">
      <c r="A764" s="16">
        <v>1801336106</v>
      </c>
      <c r="B764" s="16" t="s">
        <v>1201</v>
      </c>
      <c r="C764" s="16">
        <v>1</v>
      </c>
      <c r="D764" s="16" t="s">
        <v>739</v>
      </c>
      <c r="E764" s="16" t="s">
        <v>50</v>
      </c>
      <c r="F764" s="23">
        <v>46184</v>
      </c>
      <c r="G764" s="24">
        <v>20</v>
      </c>
      <c r="H764" s="16" t="s">
        <v>40</v>
      </c>
      <c r="I764" s="16">
        <v>703165020900</v>
      </c>
      <c r="J764" s="87">
        <v>998371527</v>
      </c>
      <c r="K764" s="12" t="s">
        <v>571</v>
      </c>
      <c r="L764" s="12"/>
      <c r="M764" s="15" t="s">
        <v>12</v>
      </c>
    </row>
    <row r="765" spans="1:13" ht="19.149999999999999" customHeight="1" x14ac:dyDescent="0.3">
      <c r="A765" s="16">
        <v>1722909361</v>
      </c>
      <c r="B765" s="16" t="s">
        <v>369</v>
      </c>
      <c r="C765" s="16">
        <v>1</v>
      </c>
      <c r="D765" s="16" t="s">
        <v>913</v>
      </c>
      <c r="E765" s="16" t="s">
        <v>50</v>
      </c>
      <c r="F765" s="23">
        <v>46184</v>
      </c>
      <c r="G765" s="24">
        <v>35</v>
      </c>
      <c r="H765" s="16" t="s">
        <v>40</v>
      </c>
      <c r="I765" s="16">
        <v>22100</v>
      </c>
      <c r="J765" s="87">
        <v>939541882</v>
      </c>
      <c r="K765" s="12" t="s">
        <v>573</v>
      </c>
      <c r="L765" s="12"/>
      <c r="M765" s="15" t="s">
        <v>12</v>
      </c>
    </row>
    <row r="766" spans="1:13" ht="19.149999999999999" customHeight="1" x14ac:dyDescent="0.3">
      <c r="A766" s="16">
        <v>1712750023</v>
      </c>
      <c r="B766" s="16" t="s">
        <v>368</v>
      </c>
      <c r="C766" s="16">
        <v>1</v>
      </c>
      <c r="D766" s="16" t="s">
        <v>895</v>
      </c>
      <c r="E766" s="16" t="s">
        <v>294</v>
      </c>
      <c r="F766" s="23">
        <v>46184</v>
      </c>
      <c r="G766" s="24">
        <v>44</v>
      </c>
      <c r="H766" s="16" t="s">
        <v>40</v>
      </c>
      <c r="I766" s="16">
        <v>22100</v>
      </c>
      <c r="J766" s="87">
        <v>993547192</v>
      </c>
      <c r="K766" s="12" t="s">
        <v>572</v>
      </c>
      <c r="L766" s="12"/>
      <c r="M766" s="15" t="s">
        <v>12</v>
      </c>
    </row>
    <row r="767" spans="1:13" ht="19.149999999999999" customHeight="1" x14ac:dyDescent="0.3">
      <c r="A767" s="16">
        <v>1712750023</v>
      </c>
      <c r="B767" s="16" t="s">
        <v>368</v>
      </c>
      <c r="C767" s="16">
        <v>1</v>
      </c>
      <c r="D767" s="16" t="s">
        <v>379</v>
      </c>
      <c r="E767" s="16" t="s">
        <v>50</v>
      </c>
      <c r="F767" s="23">
        <v>46184</v>
      </c>
      <c r="G767" s="24">
        <v>9</v>
      </c>
      <c r="H767" s="16" t="s">
        <v>40</v>
      </c>
      <c r="I767" s="16">
        <v>22202</v>
      </c>
      <c r="J767" s="87">
        <v>993547192</v>
      </c>
      <c r="K767" s="12" t="s">
        <v>572</v>
      </c>
      <c r="L767" s="12"/>
      <c r="M767" s="15" t="s">
        <v>12</v>
      </c>
    </row>
    <row r="768" spans="1:13" ht="19.149999999999999" customHeight="1" x14ac:dyDescent="0.3">
      <c r="A768" s="16">
        <v>1717932964</v>
      </c>
      <c r="B768" s="16" t="s">
        <v>345</v>
      </c>
      <c r="C768" s="16">
        <v>1</v>
      </c>
      <c r="D768" s="16" t="s">
        <v>28</v>
      </c>
      <c r="E768" s="16" t="s">
        <v>294</v>
      </c>
      <c r="F768" s="23">
        <v>46184</v>
      </c>
      <c r="G768" s="24">
        <v>15</v>
      </c>
      <c r="H768" s="16" t="s">
        <v>18</v>
      </c>
      <c r="I768" s="16">
        <v>33753007</v>
      </c>
      <c r="J768" s="47">
        <v>995403522</v>
      </c>
      <c r="K768" s="5" t="s">
        <v>552</v>
      </c>
      <c r="L768" s="54"/>
      <c r="M768" s="15" t="s">
        <v>12</v>
      </c>
    </row>
    <row r="769" spans="1:13" ht="19.149999999999999" customHeight="1" x14ac:dyDescent="0.3">
      <c r="A769" s="16">
        <v>1756301618</v>
      </c>
      <c r="B769" s="16" t="s">
        <v>969</v>
      </c>
      <c r="C769" s="16">
        <v>1</v>
      </c>
      <c r="D769" s="16" t="s">
        <v>830</v>
      </c>
      <c r="E769" s="16" t="s">
        <v>294</v>
      </c>
      <c r="F769" s="23">
        <v>46185</v>
      </c>
      <c r="G769" s="24">
        <v>38</v>
      </c>
      <c r="H769" s="16" t="s">
        <v>270</v>
      </c>
      <c r="I769" s="16">
        <v>57769154</v>
      </c>
      <c r="J769" s="87">
        <v>995403522</v>
      </c>
      <c r="K769" s="12" t="s">
        <v>552</v>
      </c>
      <c r="L769" s="12"/>
      <c r="M769" s="15" t="s">
        <v>12</v>
      </c>
    </row>
    <row r="770" spans="1:13" ht="19.149999999999999" customHeight="1" x14ac:dyDescent="0.3">
      <c r="A770" s="16">
        <v>1756301618</v>
      </c>
      <c r="B770" s="16" t="s">
        <v>969</v>
      </c>
      <c r="C770" s="16">
        <v>1</v>
      </c>
      <c r="D770" s="16" t="s">
        <v>871</v>
      </c>
      <c r="E770" s="16" t="s">
        <v>50</v>
      </c>
      <c r="F770" s="23">
        <v>46185</v>
      </c>
      <c r="G770" s="24">
        <v>2</v>
      </c>
      <c r="H770" s="16" t="s">
        <v>270</v>
      </c>
      <c r="I770" s="16">
        <v>28993021</v>
      </c>
      <c r="J770" s="87">
        <v>987761571</v>
      </c>
      <c r="K770" s="12" t="s">
        <v>575</v>
      </c>
      <c r="L770" s="12"/>
      <c r="M770" s="15" t="s">
        <v>12</v>
      </c>
    </row>
    <row r="771" spans="1:13" ht="19.149999999999999" customHeight="1" x14ac:dyDescent="0.3">
      <c r="A771" s="16">
        <v>1717151136</v>
      </c>
      <c r="B771" s="16" t="s">
        <v>678</v>
      </c>
      <c r="C771" s="16">
        <v>1</v>
      </c>
      <c r="D771" s="16" t="s">
        <v>937</v>
      </c>
      <c r="E771" s="16" t="s">
        <v>50</v>
      </c>
      <c r="F771" s="23">
        <v>46185</v>
      </c>
      <c r="G771" s="24">
        <v>23</v>
      </c>
      <c r="H771" s="16" t="s">
        <v>270</v>
      </c>
      <c r="I771" s="16">
        <v>57769154</v>
      </c>
      <c r="J771" s="87">
        <v>987066415</v>
      </c>
      <c r="K771" s="12" t="s">
        <v>574</v>
      </c>
      <c r="L771" s="12"/>
      <c r="M771" s="15" t="s">
        <v>12</v>
      </c>
    </row>
    <row r="772" spans="1:13" ht="19.149999999999999" customHeight="1" x14ac:dyDescent="0.3">
      <c r="A772" s="16">
        <v>1718093238</v>
      </c>
      <c r="B772" s="16" t="s">
        <v>177</v>
      </c>
      <c r="C772" s="16">
        <v>1</v>
      </c>
      <c r="D772" s="16" t="s">
        <v>102</v>
      </c>
      <c r="E772" s="16" t="s">
        <v>294</v>
      </c>
      <c r="F772" s="23">
        <v>46186</v>
      </c>
      <c r="G772" s="24">
        <v>10</v>
      </c>
      <c r="H772" s="16" t="s">
        <v>281</v>
      </c>
      <c r="I772" s="16">
        <v>32373519</v>
      </c>
      <c r="J772" s="49">
        <v>959997754</v>
      </c>
      <c r="K772" s="2" t="s">
        <v>436</v>
      </c>
      <c r="L772" s="52"/>
      <c r="M772" s="15" t="s">
        <v>12</v>
      </c>
    </row>
    <row r="773" spans="1:13" ht="19.149999999999999" customHeight="1" x14ac:dyDescent="0.3">
      <c r="A773" s="16">
        <v>1725206369</v>
      </c>
      <c r="B773" s="16" t="s">
        <v>1045</v>
      </c>
      <c r="C773" s="16">
        <v>1</v>
      </c>
      <c r="D773" s="16" t="s">
        <v>102</v>
      </c>
      <c r="E773" s="16" t="s">
        <v>294</v>
      </c>
      <c r="F773" s="23">
        <v>46186</v>
      </c>
      <c r="G773" s="24">
        <v>20</v>
      </c>
      <c r="H773" s="16" t="s">
        <v>144</v>
      </c>
      <c r="I773" s="16"/>
      <c r="J773" s="47">
        <v>992433299</v>
      </c>
      <c r="K773" s="5" t="s">
        <v>489</v>
      </c>
      <c r="L773" s="54"/>
      <c r="M773" s="15" t="s">
        <v>12</v>
      </c>
    </row>
    <row r="774" spans="1:13" ht="19.149999999999999" customHeight="1" x14ac:dyDescent="0.3">
      <c r="A774" s="16">
        <v>1725206369</v>
      </c>
      <c r="B774" s="16" t="s">
        <v>1045</v>
      </c>
      <c r="C774" s="16">
        <v>1</v>
      </c>
      <c r="D774" s="16" t="s">
        <v>370</v>
      </c>
      <c r="E774" s="16" t="s">
        <v>50</v>
      </c>
      <c r="F774" s="23">
        <v>46186</v>
      </c>
      <c r="G774" s="24">
        <v>20</v>
      </c>
      <c r="H774" s="16" t="s">
        <v>144</v>
      </c>
      <c r="I774" s="16"/>
      <c r="J774" s="47">
        <v>992433299</v>
      </c>
      <c r="K774" s="5" t="s">
        <v>489</v>
      </c>
      <c r="L774" s="54"/>
      <c r="M774" s="15" t="s">
        <v>12</v>
      </c>
    </row>
    <row r="775" spans="1:13" ht="19.149999999999999" customHeight="1" x14ac:dyDescent="0.3">
      <c r="A775" s="16">
        <v>1725206369</v>
      </c>
      <c r="B775" s="16" t="s">
        <v>1045</v>
      </c>
      <c r="C775" s="16">
        <v>1</v>
      </c>
      <c r="D775" s="16" t="s">
        <v>883</v>
      </c>
      <c r="E775" s="16" t="s">
        <v>50</v>
      </c>
      <c r="F775" s="23">
        <v>46186</v>
      </c>
      <c r="G775" s="24">
        <v>2</v>
      </c>
      <c r="H775" s="16" t="s">
        <v>144</v>
      </c>
      <c r="I775" s="16"/>
      <c r="J775" s="47">
        <v>992433299</v>
      </c>
      <c r="K775" s="5" t="s">
        <v>489</v>
      </c>
      <c r="L775" s="54"/>
      <c r="M775" s="15" t="s">
        <v>12</v>
      </c>
    </row>
    <row r="776" spans="1:13" ht="19.149999999999999" customHeight="1" x14ac:dyDescent="0.3">
      <c r="A776" s="16">
        <v>1701432229</v>
      </c>
      <c r="B776" s="16" t="s">
        <v>58</v>
      </c>
      <c r="C776" s="16">
        <v>1</v>
      </c>
      <c r="D776" s="16" t="s">
        <v>28</v>
      </c>
      <c r="E776" s="16" t="s">
        <v>50</v>
      </c>
      <c r="F776" s="23">
        <v>46186</v>
      </c>
      <c r="G776" s="24">
        <v>15</v>
      </c>
      <c r="H776" s="24" t="s">
        <v>17</v>
      </c>
      <c r="I776" s="16"/>
      <c r="J776" s="47">
        <v>962842721</v>
      </c>
      <c r="K776" s="5" t="s">
        <v>1192</v>
      </c>
      <c r="L776" s="64">
        <v>46033</v>
      </c>
      <c r="M776" s="62" t="s">
        <v>12</v>
      </c>
    </row>
    <row r="777" spans="1:13" ht="19.149999999999999" customHeight="1" x14ac:dyDescent="0.3">
      <c r="A777" s="16">
        <v>1752842184</v>
      </c>
      <c r="B777" s="16" t="s">
        <v>371</v>
      </c>
      <c r="C777" s="16">
        <v>1</v>
      </c>
      <c r="D777" s="16" t="s">
        <v>28</v>
      </c>
      <c r="E777" s="16" t="s">
        <v>294</v>
      </c>
      <c r="F777" s="23">
        <v>46186</v>
      </c>
      <c r="G777" s="24">
        <v>17</v>
      </c>
      <c r="H777" s="16" t="s">
        <v>281</v>
      </c>
      <c r="I777" s="16"/>
      <c r="J777" s="87">
        <v>983702942</v>
      </c>
      <c r="K777" s="12" t="s">
        <v>576</v>
      </c>
      <c r="L777" s="12"/>
      <c r="M777" s="15" t="s">
        <v>12</v>
      </c>
    </row>
    <row r="778" spans="1:13" ht="19.149999999999999" customHeight="1" x14ac:dyDescent="0.3">
      <c r="A778" s="16">
        <v>1723424790</v>
      </c>
      <c r="B778" s="16" t="s">
        <v>162</v>
      </c>
      <c r="C778" s="16">
        <v>1</v>
      </c>
      <c r="D778" s="16" t="s">
        <v>28</v>
      </c>
      <c r="E778" s="16" t="s">
        <v>294</v>
      </c>
      <c r="F778" s="23">
        <v>46186</v>
      </c>
      <c r="G778" s="24">
        <v>15</v>
      </c>
      <c r="H778" s="16" t="s">
        <v>281</v>
      </c>
      <c r="I778" s="16">
        <v>20120588</v>
      </c>
      <c r="J778" s="77">
        <v>998142119</v>
      </c>
      <c r="K778" s="8" t="s">
        <v>427</v>
      </c>
      <c r="L778" s="54"/>
      <c r="M778" s="15" t="s">
        <v>12</v>
      </c>
    </row>
    <row r="779" spans="1:13" ht="19.149999999999999" customHeight="1" x14ac:dyDescent="0.3">
      <c r="A779" s="16">
        <v>1723424790</v>
      </c>
      <c r="B779" s="16" t="s">
        <v>162</v>
      </c>
      <c r="C779" s="16">
        <v>1</v>
      </c>
      <c r="D779" s="16" t="s">
        <v>885</v>
      </c>
      <c r="E779" s="16" t="s">
        <v>294</v>
      </c>
      <c r="F779" s="23">
        <v>46186</v>
      </c>
      <c r="G779" s="24">
        <v>15</v>
      </c>
      <c r="H779" s="16" t="s">
        <v>281</v>
      </c>
      <c r="I779" s="16">
        <v>20120588</v>
      </c>
      <c r="J779" s="77">
        <v>998142119</v>
      </c>
      <c r="K779" s="8" t="s">
        <v>427</v>
      </c>
      <c r="L779" s="54"/>
      <c r="M779" s="15" t="s">
        <v>12</v>
      </c>
    </row>
    <row r="780" spans="1:13" ht="19.149999999999999" customHeight="1" x14ac:dyDescent="0.3">
      <c r="A780" s="16">
        <v>1751554377</v>
      </c>
      <c r="B780" s="16" t="s">
        <v>372</v>
      </c>
      <c r="C780" s="16">
        <v>1</v>
      </c>
      <c r="D780" s="16" t="s">
        <v>28</v>
      </c>
      <c r="E780" s="16" t="s">
        <v>50</v>
      </c>
      <c r="F780" s="23">
        <v>46187</v>
      </c>
      <c r="G780" s="24">
        <v>15</v>
      </c>
      <c r="H780" s="16" t="s">
        <v>37</v>
      </c>
      <c r="I780" s="16">
        <v>68078569</v>
      </c>
      <c r="J780" s="87">
        <v>987186254</v>
      </c>
      <c r="K780" s="12" t="s">
        <v>577</v>
      </c>
      <c r="L780" s="12"/>
      <c r="M780" s="15" t="s">
        <v>12</v>
      </c>
    </row>
    <row r="781" spans="1:13" ht="19.149999999999999" customHeight="1" x14ac:dyDescent="0.3">
      <c r="A781" s="16">
        <v>2000054730</v>
      </c>
      <c r="B781" s="16" t="s">
        <v>350</v>
      </c>
      <c r="C781" s="16">
        <v>1</v>
      </c>
      <c r="D781" s="16" t="s">
        <v>6</v>
      </c>
      <c r="E781" s="16" t="s">
        <v>50</v>
      </c>
      <c r="F781" s="23">
        <v>46187</v>
      </c>
      <c r="G781" s="24">
        <v>12</v>
      </c>
      <c r="H781" s="16" t="s">
        <v>17</v>
      </c>
      <c r="I781" s="16"/>
      <c r="J781" s="87">
        <v>994075804</v>
      </c>
      <c r="K781" s="12" t="s">
        <v>578</v>
      </c>
      <c r="L781" s="12"/>
      <c r="M781" s="15" t="s">
        <v>12</v>
      </c>
    </row>
    <row r="782" spans="1:13" ht="19.149999999999999" customHeight="1" x14ac:dyDescent="0.3">
      <c r="A782" s="16">
        <v>2000054730</v>
      </c>
      <c r="B782" s="16" t="s">
        <v>350</v>
      </c>
      <c r="C782" s="16">
        <v>1</v>
      </c>
      <c r="D782" s="16" t="s">
        <v>6</v>
      </c>
      <c r="E782" s="16" t="s">
        <v>294</v>
      </c>
      <c r="F782" s="23">
        <v>46187</v>
      </c>
      <c r="G782" s="24">
        <v>12</v>
      </c>
      <c r="H782" s="16" t="s">
        <v>17</v>
      </c>
      <c r="I782" s="16"/>
      <c r="J782" s="87">
        <v>994075804</v>
      </c>
      <c r="K782" s="12" t="s">
        <v>578</v>
      </c>
      <c r="L782" s="12"/>
      <c r="M782" s="15" t="s">
        <v>12</v>
      </c>
    </row>
    <row r="783" spans="1:13" ht="19.149999999999999" customHeight="1" x14ac:dyDescent="0.3">
      <c r="A783" s="16">
        <v>1718764119</v>
      </c>
      <c r="B783" s="16" t="s">
        <v>1212</v>
      </c>
      <c r="C783" s="16">
        <v>1</v>
      </c>
      <c r="D783" s="16" t="s">
        <v>102</v>
      </c>
      <c r="E783" s="16" t="s">
        <v>50</v>
      </c>
      <c r="F783" s="23">
        <v>46187</v>
      </c>
      <c r="G783" s="24">
        <v>10</v>
      </c>
      <c r="H783" s="16" t="s">
        <v>37</v>
      </c>
      <c r="I783" s="16">
        <v>82543465</v>
      </c>
      <c r="J783" s="75">
        <v>999380328</v>
      </c>
      <c r="K783" s="3" t="s">
        <v>400</v>
      </c>
      <c r="L783" s="53"/>
      <c r="M783" s="15" t="s">
        <v>12</v>
      </c>
    </row>
    <row r="784" spans="1:13" ht="19.149999999999999" customHeight="1" x14ac:dyDescent="0.3">
      <c r="A784" s="16">
        <v>1718764119</v>
      </c>
      <c r="B784" s="16" t="s">
        <v>1212</v>
      </c>
      <c r="C784" s="16">
        <v>1</v>
      </c>
      <c r="D784" s="16" t="s">
        <v>6</v>
      </c>
      <c r="E784" s="16" t="s">
        <v>50</v>
      </c>
      <c r="F784" s="23">
        <v>46187</v>
      </c>
      <c r="G784" s="24">
        <v>12</v>
      </c>
      <c r="H784" s="16" t="s">
        <v>37</v>
      </c>
      <c r="I784" s="16">
        <v>82543465</v>
      </c>
      <c r="J784" s="75">
        <v>999380328</v>
      </c>
      <c r="K784" s="3" t="s">
        <v>400</v>
      </c>
      <c r="L784" s="53"/>
      <c r="M784" s="15" t="s">
        <v>12</v>
      </c>
    </row>
    <row r="785" spans="1:13" ht="19.149999999999999" customHeight="1" x14ac:dyDescent="0.3">
      <c r="A785" s="16">
        <v>1718764119</v>
      </c>
      <c r="B785" s="16" t="s">
        <v>1212</v>
      </c>
      <c r="C785" s="16">
        <v>1</v>
      </c>
      <c r="D785" s="16" t="s">
        <v>102</v>
      </c>
      <c r="E785" s="16" t="s">
        <v>294</v>
      </c>
      <c r="F785" s="23">
        <v>46187</v>
      </c>
      <c r="G785" s="24">
        <v>10</v>
      </c>
      <c r="H785" s="16" t="s">
        <v>37</v>
      </c>
      <c r="I785" s="16">
        <v>82543465</v>
      </c>
      <c r="J785" s="75">
        <v>999380328</v>
      </c>
      <c r="K785" s="3" t="s">
        <v>400</v>
      </c>
      <c r="L785" s="53"/>
      <c r="M785" s="15" t="s">
        <v>12</v>
      </c>
    </row>
    <row r="786" spans="1:13" ht="19.149999999999999" customHeight="1" x14ac:dyDescent="0.3">
      <c r="A786" s="16">
        <v>1718764119</v>
      </c>
      <c r="B786" s="16" t="s">
        <v>1212</v>
      </c>
      <c r="C786" s="16">
        <v>1</v>
      </c>
      <c r="D786" s="16" t="s">
        <v>45</v>
      </c>
      <c r="E786" s="16" t="s">
        <v>294</v>
      </c>
      <c r="F786" s="23">
        <v>46187</v>
      </c>
      <c r="G786" s="24">
        <v>4</v>
      </c>
      <c r="H786" s="16" t="s">
        <v>37</v>
      </c>
      <c r="I786" s="16">
        <v>82543465</v>
      </c>
      <c r="J786" s="75">
        <v>999380328</v>
      </c>
      <c r="K786" s="3" t="s">
        <v>400</v>
      </c>
      <c r="L786" s="53"/>
      <c r="M786" s="15" t="s">
        <v>12</v>
      </c>
    </row>
    <row r="787" spans="1:13" ht="19.149999999999999" customHeight="1" x14ac:dyDescent="0.3">
      <c r="A787" s="16">
        <v>1718764119</v>
      </c>
      <c r="B787" s="16" t="s">
        <v>1212</v>
      </c>
      <c r="C787" s="16">
        <v>1</v>
      </c>
      <c r="D787" s="16" t="s">
        <v>6</v>
      </c>
      <c r="E787" s="16" t="s">
        <v>294</v>
      </c>
      <c r="F787" s="23">
        <v>46187</v>
      </c>
      <c r="G787" s="24">
        <v>12</v>
      </c>
      <c r="H787" s="16" t="s">
        <v>37</v>
      </c>
      <c r="I787" s="16">
        <v>82543465</v>
      </c>
      <c r="J787" s="75">
        <v>999380328</v>
      </c>
      <c r="K787" s="3" t="s">
        <v>400</v>
      </c>
      <c r="L787" s="53"/>
      <c r="M787" s="15" t="s">
        <v>12</v>
      </c>
    </row>
    <row r="788" spans="1:13" ht="19.149999999999999" customHeight="1" x14ac:dyDescent="0.3">
      <c r="A788" s="16">
        <v>1724355944</v>
      </c>
      <c r="B788" s="16" t="s">
        <v>373</v>
      </c>
      <c r="C788" s="16">
        <v>1</v>
      </c>
      <c r="D788" s="16" t="s">
        <v>28</v>
      </c>
      <c r="E788" s="16" t="s">
        <v>50</v>
      </c>
      <c r="F788" s="23">
        <v>46189</v>
      </c>
      <c r="G788" s="24">
        <v>15</v>
      </c>
      <c r="H788" s="16" t="s">
        <v>144</v>
      </c>
      <c r="I788" s="16">
        <v>254</v>
      </c>
      <c r="J788" s="87">
        <v>984932066</v>
      </c>
      <c r="K788" s="12" t="s">
        <v>579</v>
      </c>
      <c r="L788" s="12"/>
      <c r="M788" s="15" t="s">
        <v>12</v>
      </c>
    </row>
    <row r="789" spans="1:13" ht="19.149999999999999" customHeight="1" x14ac:dyDescent="0.3">
      <c r="A789" s="16" t="s">
        <v>658</v>
      </c>
      <c r="B789" s="16" t="s">
        <v>967</v>
      </c>
      <c r="C789" s="16">
        <v>1</v>
      </c>
      <c r="D789" s="16" t="s">
        <v>831</v>
      </c>
      <c r="E789" s="16" t="s">
        <v>294</v>
      </c>
      <c r="F789" s="23">
        <v>46191</v>
      </c>
      <c r="G789" s="24">
        <v>29</v>
      </c>
      <c r="H789" s="16" t="s">
        <v>40</v>
      </c>
      <c r="I789" s="16">
        <v>231676</v>
      </c>
      <c r="J789" s="87"/>
    </row>
    <row r="790" spans="1:13" ht="19.149999999999999" customHeight="1" x14ac:dyDescent="0.3">
      <c r="A790" s="16">
        <v>401388814</v>
      </c>
      <c r="B790" s="16" t="s">
        <v>290</v>
      </c>
      <c r="C790" s="16">
        <v>1</v>
      </c>
      <c r="D790" s="16" t="s">
        <v>379</v>
      </c>
      <c r="E790" s="16" t="s">
        <v>50</v>
      </c>
      <c r="F790" s="23">
        <v>46191</v>
      </c>
      <c r="G790" s="24">
        <v>22</v>
      </c>
      <c r="H790" s="16" t="s">
        <v>270</v>
      </c>
      <c r="I790" s="16">
        <v>25006807</v>
      </c>
      <c r="J790" s="47">
        <v>987346064</v>
      </c>
      <c r="K790" s="5" t="s">
        <v>504</v>
      </c>
      <c r="L790" s="54"/>
      <c r="M790" s="15" t="s">
        <v>12</v>
      </c>
    </row>
    <row r="791" spans="1:13" ht="19.149999999999999" customHeight="1" x14ac:dyDescent="0.3">
      <c r="A791" s="16">
        <v>1714735311</v>
      </c>
      <c r="B791" s="16" t="s">
        <v>391</v>
      </c>
      <c r="C791" s="16">
        <v>1</v>
      </c>
      <c r="D791" s="16" t="s">
        <v>739</v>
      </c>
      <c r="E791" s="16" t="s">
        <v>50</v>
      </c>
      <c r="F791" s="23">
        <v>46191</v>
      </c>
      <c r="G791" s="24">
        <v>20</v>
      </c>
      <c r="H791" s="16" t="s">
        <v>270</v>
      </c>
      <c r="I791" s="16">
        <v>55319757</v>
      </c>
      <c r="J791" s="87">
        <v>987779851</v>
      </c>
      <c r="K791" s="12" t="s">
        <v>580</v>
      </c>
      <c r="L791" s="12"/>
      <c r="M791" s="15" t="s">
        <v>12</v>
      </c>
    </row>
    <row r="792" spans="1:13" ht="19.149999999999999" customHeight="1" x14ac:dyDescent="0.3">
      <c r="A792" s="16">
        <v>1724076037</v>
      </c>
      <c r="B792" s="16" t="s">
        <v>374</v>
      </c>
      <c r="C792" s="16">
        <v>1</v>
      </c>
      <c r="D792" s="16" t="s">
        <v>760</v>
      </c>
      <c r="E792" s="16" t="s">
        <v>294</v>
      </c>
      <c r="F792" s="23">
        <v>46191</v>
      </c>
      <c r="G792" s="24">
        <v>10</v>
      </c>
      <c r="H792" s="16" t="s">
        <v>144</v>
      </c>
      <c r="I792" s="16">
        <v>256</v>
      </c>
      <c r="J792" s="87">
        <v>984912381</v>
      </c>
      <c r="K792" s="12" t="s">
        <v>581</v>
      </c>
      <c r="L792" s="12"/>
      <c r="M792" s="15" t="s">
        <v>12</v>
      </c>
    </row>
    <row r="793" spans="1:13" ht="19.149999999999999" customHeight="1" x14ac:dyDescent="0.3">
      <c r="A793" s="16" t="s">
        <v>658</v>
      </c>
      <c r="B793" s="16" t="s">
        <v>376</v>
      </c>
      <c r="C793" s="16">
        <v>1</v>
      </c>
      <c r="D793" s="16" t="s">
        <v>6</v>
      </c>
      <c r="E793" s="16" t="s">
        <v>50</v>
      </c>
      <c r="F793" s="23">
        <v>46192</v>
      </c>
      <c r="G793" s="24">
        <v>12</v>
      </c>
      <c r="H793" s="16" t="s">
        <v>144</v>
      </c>
      <c r="I793" s="16">
        <v>258</v>
      </c>
      <c r="J793" s="87">
        <v>958859443</v>
      </c>
      <c r="K793" s="12" t="s">
        <v>584</v>
      </c>
      <c r="L793" s="12"/>
      <c r="M793" s="15" t="s">
        <v>12</v>
      </c>
    </row>
    <row r="794" spans="1:13" ht="19.149999999999999" customHeight="1" x14ac:dyDescent="0.3">
      <c r="A794" s="16" t="s">
        <v>658</v>
      </c>
      <c r="B794" s="16" t="s">
        <v>376</v>
      </c>
      <c r="C794" s="16">
        <v>1</v>
      </c>
      <c r="D794" s="16" t="s">
        <v>594</v>
      </c>
      <c r="E794" s="16" t="s">
        <v>294</v>
      </c>
      <c r="F794" s="23">
        <v>46192</v>
      </c>
      <c r="G794" s="24">
        <v>10</v>
      </c>
      <c r="H794" s="16" t="s">
        <v>144</v>
      </c>
      <c r="I794" s="16">
        <v>258</v>
      </c>
      <c r="J794" s="87">
        <v>958859443</v>
      </c>
      <c r="K794" s="12" t="s">
        <v>584</v>
      </c>
      <c r="L794" s="12"/>
      <c r="M794" s="15" t="s">
        <v>12</v>
      </c>
    </row>
    <row r="795" spans="1:13" ht="19.149999999999999" customHeight="1" x14ac:dyDescent="0.3">
      <c r="A795" s="16">
        <v>1713500245</v>
      </c>
      <c r="B795" s="16" t="s">
        <v>1202</v>
      </c>
      <c r="C795" s="16">
        <v>1</v>
      </c>
      <c r="D795" s="16" t="s">
        <v>28</v>
      </c>
      <c r="E795" s="16" t="s">
        <v>50</v>
      </c>
      <c r="F795" s="23">
        <v>46192</v>
      </c>
      <c r="G795" s="24">
        <v>15</v>
      </c>
      <c r="H795" s="16" t="s">
        <v>144</v>
      </c>
      <c r="I795" s="16">
        <v>259</v>
      </c>
      <c r="J795" s="87">
        <v>992949688</v>
      </c>
      <c r="K795" s="12" t="s">
        <v>583</v>
      </c>
      <c r="L795" s="12"/>
      <c r="M795" s="15" t="s">
        <v>12</v>
      </c>
    </row>
    <row r="796" spans="1:13" ht="19.149999999999999" customHeight="1" x14ac:dyDescent="0.3">
      <c r="A796" s="16" t="s">
        <v>658</v>
      </c>
      <c r="B796" s="16" t="s">
        <v>375</v>
      </c>
      <c r="C796" s="16">
        <v>1</v>
      </c>
      <c r="D796" s="16" t="s">
        <v>893</v>
      </c>
      <c r="E796" s="16" t="s">
        <v>50</v>
      </c>
      <c r="F796" s="23">
        <v>46192</v>
      </c>
      <c r="G796" s="24">
        <v>22</v>
      </c>
      <c r="H796" s="16" t="s">
        <v>270</v>
      </c>
      <c r="I796" s="16">
        <v>53513224</v>
      </c>
      <c r="J796" s="87">
        <v>983325288</v>
      </c>
      <c r="K796" s="12" t="s">
        <v>582</v>
      </c>
      <c r="L796" s="12"/>
      <c r="M796" s="15" t="s">
        <v>12</v>
      </c>
    </row>
    <row r="797" spans="1:13" ht="19.149999999999999" customHeight="1" x14ac:dyDescent="0.3">
      <c r="A797" s="16">
        <v>1716954423</v>
      </c>
      <c r="B797" s="16" t="s">
        <v>280</v>
      </c>
      <c r="C797" s="16">
        <v>1</v>
      </c>
      <c r="D797" s="16" t="s">
        <v>28</v>
      </c>
      <c r="E797" s="16" t="s">
        <v>294</v>
      </c>
      <c r="F797" s="23">
        <v>46192</v>
      </c>
      <c r="G797" s="24">
        <v>15</v>
      </c>
      <c r="H797" s="16" t="s">
        <v>270</v>
      </c>
      <c r="I797" s="16">
        <v>53096627</v>
      </c>
      <c r="J797" s="47">
        <v>984634793</v>
      </c>
      <c r="K797" s="5" t="s">
        <v>495</v>
      </c>
      <c r="L797" s="54"/>
      <c r="M797" s="15" t="s">
        <v>12</v>
      </c>
    </row>
    <row r="798" spans="1:13" ht="19.149999999999999" customHeight="1" x14ac:dyDescent="0.3">
      <c r="A798" s="16">
        <v>1707779961</v>
      </c>
      <c r="B798" s="16" t="s">
        <v>377</v>
      </c>
      <c r="C798" s="16">
        <v>1</v>
      </c>
      <c r="D798" s="16" t="s">
        <v>6</v>
      </c>
      <c r="E798" s="16" t="s">
        <v>50</v>
      </c>
      <c r="F798" s="23">
        <v>46193</v>
      </c>
      <c r="G798" s="24">
        <v>12</v>
      </c>
      <c r="H798" s="16" t="s">
        <v>144</v>
      </c>
      <c r="I798" s="16"/>
      <c r="J798" s="87">
        <v>999600900</v>
      </c>
      <c r="M798" s="15" t="s">
        <v>12</v>
      </c>
    </row>
    <row r="799" spans="1:13" ht="19.149999999999999" customHeight="1" x14ac:dyDescent="0.3">
      <c r="A799" s="16">
        <v>1707779961</v>
      </c>
      <c r="B799" s="16" t="s">
        <v>377</v>
      </c>
      <c r="C799" s="16">
        <v>1</v>
      </c>
      <c r="D799" s="16" t="s">
        <v>28</v>
      </c>
      <c r="E799" s="16" t="s">
        <v>294</v>
      </c>
      <c r="F799" s="23">
        <v>46193</v>
      </c>
      <c r="G799" s="24">
        <v>15</v>
      </c>
      <c r="H799" s="16" t="s">
        <v>144</v>
      </c>
      <c r="I799" s="16"/>
      <c r="J799" s="87">
        <v>999600900</v>
      </c>
      <c r="M799" s="15" t="s">
        <v>12</v>
      </c>
    </row>
    <row r="800" spans="1:13" ht="19.149999999999999" customHeight="1" x14ac:dyDescent="0.3">
      <c r="A800" s="16">
        <v>1719118695</v>
      </c>
      <c r="B800" s="16" t="s">
        <v>148</v>
      </c>
      <c r="C800" s="16">
        <v>1</v>
      </c>
      <c r="D800" s="16" t="s">
        <v>379</v>
      </c>
      <c r="E800" s="16" t="s">
        <v>50</v>
      </c>
      <c r="F800" s="23">
        <v>46193</v>
      </c>
      <c r="G800" s="24">
        <v>18</v>
      </c>
      <c r="H800" s="16" t="s">
        <v>18</v>
      </c>
      <c r="I800" s="16"/>
      <c r="J800" s="47">
        <v>984163500</v>
      </c>
      <c r="K800" s="5" t="s">
        <v>416</v>
      </c>
      <c r="L800" s="54"/>
      <c r="M800" s="15" t="s">
        <v>12</v>
      </c>
    </row>
    <row r="801" spans="1:13" ht="19.149999999999999" customHeight="1" x14ac:dyDescent="0.3">
      <c r="A801" s="16">
        <v>1714400965</v>
      </c>
      <c r="B801" s="16" t="s">
        <v>685</v>
      </c>
      <c r="C801" s="16">
        <v>1</v>
      </c>
      <c r="D801" s="16" t="s">
        <v>102</v>
      </c>
      <c r="E801" s="16" t="s">
        <v>50</v>
      </c>
      <c r="F801" s="23">
        <v>46193</v>
      </c>
      <c r="G801" s="24">
        <v>10</v>
      </c>
      <c r="H801" s="16" t="s">
        <v>37</v>
      </c>
      <c r="I801" s="16"/>
      <c r="J801" s="47">
        <v>985305885</v>
      </c>
      <c r="K801" s="5" t="s">
        <v>498</v>
      </c>
      <c r="L801" s="54"/>
      <c r="M801" s="15" t="s">
        <v>12</v>
      </c>
    </row>
    <row r="802" spans="1:13" ht="19.149999999999999" customHeight="1" x14ac:dyDescent="0.3">
      <c r="A802" s="16">
        <v>1715072128</v>
      </c>
      <c r="B802" s="16" t="s">
        <v>955</v>
      </c>
      <c r="C802" s="16">
        <v>1</v>
      </c>
      <c r="D802" s="16" t="s">
        <v>28</v>
      </c>
      <c r="E802" s="16" t="s">
        <v>294</v>
      </c>
      <c r="F802" s="23">
        <v>46193</v>
      </c>
      <c r="G802" s="24">
        <v>15</v>
      </c>
      <c r="H802" s="16" t="s">
        <v>18</v>
      </c>
      <c r="I802" s="16"/>
      <c r="J802" s="87">
        <v>98413152</v>
      </c>
      <c r="K802" s="12" t="s">
        <v>1211</v>
      </c>
      <c r="L802" s="12"/>
      <c r="M802" s="15" t="s">
        <v>12</v>
      </c>
    </row>
    <row r="803" spans="1:13" ht="19.149999999999999" customHeight="1" x14ac:dyDescent="0.3">
      <c r="A803" s="16">
        <v>1709047482</v>
      </c>
      <c r="B803" s="16" t="s">
        <v>378</v>
      </c>
      <c r="C803" s="16">
        <v>1</v>
      </c>
      <c r="D803" s="16" t="s">
        <v>133</v>
      </c>
      <c r="E803" s="16" t="s">
        <v>50</v>
      </c>
      <c r="F803" s="23">
        <v>46193</v>
      </c>
      <c r="G803" s="24">
        <v>20</v>
      </c>
      <c r="H803" s="16" t="s">
        <v>17</v>
      </c>
      <c r="I803" s="16"/>
      <c r="J803" s="87">
        <v>995066742</v>
      </c>
      <c r="K803" s="12" t="s">
        <v>591</v>
      </c>
      <c r="L803" s="12"/>
      <c r="M803" s="15" t="s">
        <v>12</v>
      </c>
    </row>
    <row r="804" spans="1:13" ht="19.149999999999999" customHeight="1" x14ac:dyDescent="0.3">
      <c r="A804" s="16">
        <v>1714063292</v>
      </c>
      <c r="B804" s="16" t="s">
        <v>29</v>
      </c>
      <c r="C804" s="16">
        <v>1</v>
      </c>
      <c r="D804" s="16" t="s">
        <v>102</v>
      </c>
      <c r="E804" s="16" t="s">
        <v>294</v>
      </c>
      <c r="F804" s="23">
        <v>46193</v>
      </c>
      <c r="G804" s="24"/>
      <c r="H804" s="24" t="s">
        <v>17</v>
      </c>
      <c r="I804" s="16"/>
      <c r="J804" s="47">
        <v>995674830</v>
      </c>
      <c r="K804" s="5" t="s">
        <v>430</v>
      </c>
      <c r="L804" s="54"/>
      <c r="M804" s="15" t="s">
        <v>12</v>
      </c>
    </row>
    <row r="805" spans="1:13" ht="19.149999999999999" customHeight="1" x14ac:dyDescent="0.3">
      <c r="A805" s="16">
        <v>1716971575</v>
      </c>
      <c r="B805" s="16" t="s">
        <v>381</v>
      </c>
      <c r="C805" s="16">
        <v>1</v>
      </c>
      <c r="D805" s="16" t="s">
        <v>6</v>
      </c>
      <c r="E805" s="16" t="s">
        <v>294</v>
      </c>
      <c r="F805" s="23">
        <v>46194</v>
      </c>
      <c r="G805" s="24">
        <v>12</v>
      </c>
      <c r="H805" s="16" t="s">
        <v>144</v>
      </c>
      <c r="I805" s="16"/>
      <c r="J805" s="87">
        <v>984073409</v>
      </c>
      <c r="K805" s="12" t="s">
        <v>585</v>
      </c>
      <c r="L805" s="12"/>
      <c r="M805" s="15" t="s">
        <v>12</v>
      </c>
    </row>
    <row r="806" spans="1:13" ht="19.149999999999999" customHeight="1" x14ac:dyDescent="0.3">
      <c r="A806" s="16">
        <v>1716971575</v>
      </c>
      <c r="B806" s="16" t="s">
        <v>381</v>
      </c>
      <c r="C806" s="16">
        <v>1</v>
      </c>
      <c r="D806" s="16" t="s">
        <v>102</v>
      </c>
      <c r="E806" s="16" t="s">
        <v>50</v>
      </c>
      <c r="F806" s="23">
        <v>46194</v>
      </c>
      <c r="G806" s="24">
        <v>10</v>
      </c>
      <c r="H806" s="16" t="s">
        <v>144</v>
      </c>
      <c r="I806" s="16"/>
      <c r="J806" s="87">
        <v>984073409</v>
      </c>
      <c r="K806" s="12" t="s">
        <v>585</v>
      </c>
      <c r="L806" s="12"/>
      <c r="M806" s="15" t="s">
        <v>12</v>
      </c>
    </row>
    <row r="807" spans="1:13" ht="19.149999999999999" customHeight="1" x14ac:dyDescent="0.3">
      <c r="A807" s="16">
        <v>2300642077</v>
      </c>
      <c r="B807" s="16" t="s">
        <v>278</v>
      </c>
      <c r="C807" s="16">
        <v>1</v>
      </c>
      <c r="D807" s="16" t="s">
        <v>877</v>
      </c>
      <c r="E807" s="16" t="s">
        <v>294</v>
      </c>
      <c r="F807" s="23">
        <v>46194</v>
      </c>
      <c r="G807" s="24">
        <v>4</v>
      </c>
      <c r="H807" s="16" t="s">
        <v>17</v>
      </c>
      <c r="I807" s="16"/>
      <c r="J807" s="47">
        <v>979508940</v>
      </c>
      <c r="K807" s="5" t="s">
        <v>493</v>
      </c>
      <c r="L807" s="54"/>
      <c r="M807" s="15" t="s">
        <v>12</v>
      </c>
    </row>
    <row r="808" spans="1:13" ht="19.149999999999999" customHeight="1" x14ac:dyDescent="0.3">
      <c r="A808" s="16">
        <v>1721946067</v>
      </c>
      <c r="B808" s="16" t="s">
        <v>31</v>
      </c>
      <c r="C808" s="16">
        <v>1</v>
      </c>
      <c r="D808" s="16" t="s">
        <v>878</v>
      </c>
      <c r="E808" s="16" t="s">
        <v>50</v>
      </c>
      <c r="F808" s="86">
        <v>46194</v>
      </c>
      <c r="G808" s="24">
        <f>15+6+1</f>
        <v>22</v>
      </c>
      <c r="H808" s="24" t="s">
        <v>17</v>
      </c>
      <c r="I808" s="16"/>
      <c r="J808" s="47">
        <v>997562221</v>
      </c>
      <c r="K808" s="5" t="s">
        <v>433</v>
      </c>
      <c r="L808" s="64">
        <v>46322</v>
      </c>
      <c r="M808" s="15" t="s">
        <v>12</v>
      </c>
    </row>
    <row r="809" spans="1:13" ht="19.149999999999999" customHeight="1" x14ac:dyDescent="0.3">
      <c r="A809" s="16">
        <v>1721946067</v>
      </c>
      <c r="B809" s="16" t="s">
        <v>31</v>
      </c>
      <c r="C809" s="16">
        <v>1</v>
      </c>
      <c r="D809" s="16" t="s">
        <v>380</v>
      </c>
      <c r="E809" s="16" t="s">
        <v>294</v>
      </c>
      <c r="F809" s="86">
        <v>46194</v>
      </c>
      <c r="G809" s="24">
        <v>19</v>
      </c>
      <c r="H809" s="24" t="s">
        <v>17</v>
      </c>
      <c r="I809" s="16"/>
      <c r="J809" s="47">
        <v>997562221</v>
      </c>
      <c r="K809" s="5" t="s">
        <v>433</v>
      </c>
      <c r="L809" s="64">
        <v>46322</v>
      </c>
      <c r="M809" s="15" t="s">
        <v>12</v>
      </c>
    </row>
    <row r="810" spans="1:13" ht="19.149999999999999" customHeight="1" x14ac:dyDescent="0.3">
      <c r="A810" s="16" t="s">
        <v>658</v>
      </c>
      <c r="B810" s="16" t="s">
        <v>364</v>
      </c>
      <c r="C810" s="16">
        <v>1</v>
      </c>
      <c r="D810" s="16" t="s">
        <v>706</v>
      </c>
      <c r="E810" s="16" t="s">
        <v>50</v>
      </c>
      <c r="F810" s="23">
        <v>46195</v>
      </c>
      <c r="G810" s="24">
        <v>5</v>
      </c>
      <c r="H810" s="16" t="s">
        <v>17</v>
      </c>
      <c r="I810" s="16"/>
      <c r="J810" s="87">
        <v>963569877</v>
      </c>
      <c r="K810" s="12" t="s">
        <v>569</v>
      </c>
      <c r="L810" s="12"/>
      <c r="M810" s="15" t="s">
        <v>12</v>
      </c>
    </row>
    <row r="811" spans="1:13" ht="19.149999999999999" customHeight="1" x14ac:dyDescent="0.3">
      <c r="A811" s="16">
        <v>1718245012</v>
      </c>
      <c r="B811" s="16" t="s">
        <v>99</v>
      </c>
      <c r="C811" s="16">
        <v>1</v>
      </c>
      <c r="D811" s="16" t="s">
        <v>739</v>
      </c>
      <c r="E811" s="16" t="s">
        <v>50</v>
      </c>
      <c r="F811" s="23">
        <v>46195</v>
      </c>
      <c r="G811" s="24">
        <v>20</v>
      </c>
      <c r="H811" s="16" t="s">
        <v>270</v>
      </c>
      <c r="I811" s="16">
        <v>158668611</v>
      </c>
      <c r="J811" s="49">
        <v>998770121</v>
      </c>
      <c r="K811" s="2" t="s">
        <v>432</v>
      </c>
      <c r="L811" s="52"/>
      <c r="M811" s="15" t="s">
        <v>12</v>
      </c>
    </row>
    <row r="812" spans="1:13" ht="19.149999999999999" customHeight="1" x14ac:dyDescent="0.3">
      <c r="A812" s="16">
        <v>1721675153</v>
      </c>
      <c r="B812" s="16" t="s">
        <v>156</v>
      </c>
      <c r="C812" s="16">
        <v>1</v>
      </c>
      <c r="D812" s="16" t="s">
        <v>792</v>
      </c>
      <c r="E812" s="16" t="s">
        <v>294</v>
      </c>
      <c r="F812" s="23">
        <v>46196</v>
      </c>
      <c r="G812" s="24">
        <v>46</v>
      </c>
      <c r="H812" s="16" t="s">
        <v>40</v>
      </c>
      <c r="I812" s="16">
        <v>58450198</v>
      </c>
      <c r="J812" s="47">
        <v>992877753</v>
      </c>
      <c r="K812" s="5" t="s">
        <v>464</v>
      </c>
      <c r="L812" s="54"/>
      <c r="M812" s="15" t="s">
        <v>12</v>
      </c>
    </row>
    <row r="813" spans="1:13" ht="19.149999999999999" customHeight="1" x14ac:dyDescent="0.3">
      <c r="A813" s="16" t="s">
        <v>658</v>
      </c>
      <c r="B813" s="16" t="s">
        <v>296</v>
      </c>
      <c r="C813" s="16">
        <v>1</v>
      </c>
      <c r="D813" s="16" t="s">
        <v>28</v>
      </c>
      <c r="E813" s="16" t="s">
        <v>294</v>
      </c>
      <c r="F813" s="23">
        <v>46196</v>
      </c>
      <c r="G813" s="24">
        <v>15</v>
      </c>
      <c r="H813" s="16" t="s">
        <v>270</v>
      </c>
      <c r="I813" s="16">
        <v>31985399</v>
      </c>
      <c r="J813" s="47">
        <v>983815656</v>
      </c>
      <c r="K813" s="5" t="s">
        <v>512</v>
      </c>
      <c r="L813" s="54"/>
      <c r="M813" s="15" t="s">
        <v>12</v>
      </c>
    </row>
    <row r="814" spans="1:13" ht="19.149999999999999" customHeight="1" x14ac:dyDescent="0.3">
      <c r="A814" s="16">
        <v>1712991023</v>
      </c>
      <c r="B814" s="16" t="s">
        <v>250</v>
      </c>
      <c r="C814" s="16">
        <v>1</v>
      </c>
      <c r="D814" s="16" t="s">
        <v>893</v>
      </c>
      <c r="E814" s="16" t="s">
        <v>50</v>
      </c>
      <c r="F814" s="23">
        <v>46197</v>
      </c>
      <c r="G814" s="24">
        <v>22</v>
      </c>
      <c r="H814" s="16" t="s">
        <v>17</v>
      </c>
      <c r="I814" s="16"/>
      <c r="J814" s="49">
        <v>958970192</v>
      </c>
      <c r="K814" s="2" t="s">
        <v>474</v>
      </c>
      <c r="L814" s="52"/>
      <c r="M814" s="15" t="s">
        <v>12</v>
      </c>
    </row>
    <row r="815" spans="1:13" ht="19.149999999999999" customHeight="1" x14ac:dyDescent="0.3">
      <c r="A815" s="16">
        <v>1719320655</v>
      </c>
      <c r="B815" s="16" t="s">
        <v>382</v>
      </c>
      <c r="C815" s="16">
        <v>1</v>
      </c>
      <c r="D815" s="16" t="s">
        <v>927</v>
      </c>
      <c r="E815" s="16" t="s">
        <v>294</v>
      </c>
      <c r="F815" s="23">
        <v>46197</v>
      </c>
      <c r="G815" s="24">
        <v>24</v>
      </c>
      <c r="H815" s="16" t="s">
        <v>270</v>
      </c>
      <c r="I815" s="16">
        <v>51822789</v>
      </c>
      <c r="J815" s="87">
        <v>969043463</v>
      </c>
      <c r="K815" s="12" t="s">
        <v>586</v>
      </c>
      <c r="L815" s="12"/>
      <c r="M815" s="15" t="s">
        <v>12</v>
      </c>
    </row>
    <row r="816" spans="1:13" ht="19.149999999999999" customHeight="1" x14ac:dyDescent="0.3">
      <c r="A816" s="16">
        <v>930394861</v>
      </c>
      <c r="B816" s="16" t="s">
        <v>276</v>
      </c>
      <c r="C816" s="16">
        <v>1</v>
      </c>
      <c r="D816" s="16" t="s">
        <v>102</v>
      </c>
      <c r="E816" s="16" t="s">
        <v>50</v>
      </c>
      <c r="F816" s="23">
        <v>46198</v>
      </c>
      <c r="G816" s="24">
        <v>10</v>
      </c>
      <c r="H816" s="24" t="s">
        <v>37</v>
      </c>
      <c r="I816" s="16">
        <v>49990438</v>
      </c>
      <c r="J816" s="47">
        <v>967477481</v>
      </c>
      <c r="K816" s="5" t="s">
        <v>491</v>
      </c>
      <c r="L816" s="54"/>
      <c r="M816" s="15" t="s">
        <v>12</v>
      </c>
    </row>
    <row r="817" spans="1:13" ht="19.149999999999999" customHeight="1" x14ac:dyDescent="0.3">
      <c r="A817" s="16">
        <v>179952289</v>
      </c>
      <c r="B817" s="16" t="s">
        <v>1198</v>
      </c>
      <c r="C817" s="16">
        <v>1</v>
      </c>
      <c r="D817" s="16" t="s">
        <v>828</v>
      </c>
      <c r="E817" s="16" t="s">
        <v>50</v>
      </c>
      <c r="F817" s="23">
        <v>46198</v>
      </c>
      <c r="G817" s="24">
        <v>23</v>
      </c>
      <c r="H817" s="16" t="s">
        <v>144</v>
      </c>
      <c r="I817" s="16">
        <v>267</v>
      </c>
      <c r="J817" s="87">
        <v>973943694</v>
      </c>
      <c r="K817" s="12" t="s">
        <v>1199</v>
      </c>
      <c r="L817" s="12"/>
      <c r="M817" s="15" t="s">
        <v>12</v>
      </c>
    </row>
    <row r="818" spans="1:13" ht="19.149999999999999" customHeight="1" x14ac:dyDescent="0.3">
      <c r="A818" s="16">
        <v>179952289</v>
      </c>
      <c r="B818" s="16" t="s">
        <v>1198</v>
      </c>
      <c r="C818" s="16">
        <v>1</v>
      </c>
      <c r="D818" s="16" t="s">
        <v>719</v>
      </c>
      <c r="E818" s="16" t="s">
        <v>294</v>
      </c>
      <c r="F818" s="23">
        <v>46198</v>
      </c>
      <c r="G818" s="24">
        <v>10</v>
      </c>
      <c r="H818" s="16" t="s">
        <v>144</v>
      </c>
      <c r="I818" s="16">
        <v>267</v>
      </c>
      <c r="J818" s="87">
        <v>973943694</v>
      </c>
      <c r="K818" s="12" t="s">
        <v>1199</v>
      </c>
      <c r="L818" s="12"/>
      <c r="M818" s="15" t="s">
        <v>12</v>
      </c>
    </row>
    <row r="819" spans="1:13" ht="19.149999999999999" customHeight="1" x14ac:dyDescent="0.3">
      <c r="A819" s="16">
        <v>1714650379</v>
      </c>
      <c r="B819" s="16" t="s">
        <v>664</v>
      </c>
      <c r="C819" s="16">
        <v>1</v>
      </c>
      <c r="D819" s="16" t="s">
        <v>896</v>
      </c>
      <c r="E819" s="16" t="s">
        <v>50</v>
      </c>
      <c r="F819" s="23">
        <v>46198</v>
      </c>
      <c r="G819" s="24">
        <v>33</v>
      </c>
      <c r="H819" s="16" t="s">
        <v>270</v>
      </c>
      <c r="I819" s="16">
        <v>26093718</v>
      </c>
      <c r="J819" s="49">
        <v>982663163</v>
      </c>
      <c r="K819" s="2" t="s">
        <v>475</v>
      </c>
      <c r="L819" s="52"/>
      <c r="M819" s="15" t="s">
        <v>12</v>
      </c>
    </row>
    <row r="820" spans="1:13" ht="19.149999999999999" customHeight="1" x14ac:dyDescent="0.3">
      <c r="A820" s="16">
        <v>1721555850</v>
      </c>
      <c r="B820" s="16" t="s">
        <v>351</v>
      </c>
      <c r="C820" s="16">
        <v>1</v>
      </c>
      <c r="D820" s="16" t="s">
        <v>902</v>
      </c>
      <c r="E820" s="16" t="s">
        <v>50</v>
      </c>
      <c r="F820" s="23">
        <v>46198</v>
      </c>
      <c r="G820" s="24">
        <v>32</v>
      </c>
      <c r="H820" s="16" t="s">
        <v>17</v>
      </c>
      <c r="I820" s="16"/>
      <c r="J820" s="47">
        <v>997942349</v>
      </c>
      <c r="K820" s="5" t="s">
        <v>557</v>
      </c>
      <c r="L820" s="54"/>
      <c r="M820" s="15" t="s">
        <v>12</v>
      </c>
    </row>
    <row r="821" spans="1:13" ht="19.149999999999999" customHeight="1" x14ac:dyDescent="0.3">
      <c r="A821" s="16">
        <v>1707963227</v>
      </c>
      <c r="B821" s="16" t="s">
        <v>33</v>
      </c>
      <c r="C821" s="16">
        <v>1</v>
      </c>
      <c r="D821" s="16" t="s">
        <v>133</v>
      </c>
      <c r="E821" s="16" t="s">
        <v>294</v>
      </c>
      <c r="F821" s="23">
        <v>46198</v>
      </c>
      <c r="G821" s="24">
        <v>20</v>
      </c>
      <c r="H821" s="24" t="s">
        <v>17</v>
      </c>
      <c r="I821" s="16"/>
      <c r="J821" s="47">
        <v>962842721</v>
      </c>
      <c r="K821" s="5" t="s">
        <v>399</v>
      </c>
      <c r="L821" s="64">
        <v>46242</v>
      </c>
      <c r="M821" s="62" t="s">
        <v>12</v>
      </c>
    </row>
    <row r="822" spans="1:13" ht="19.149999999999999" customHeight="1" x14ac:dyDescent="0.3">
      <c r="A822" s="16">
        <v>1726893504</v>
      </c>
      <c r="B822" s="16" t="s">
        <v>383</v>
      </c>
      <c r="C822" s="16">
        <v>1</v>
      </c>
      <c r="D822" s="16" t="s">
        <v>28</v>
      </c>
      <c r="E822" s="16" t="s">
        <v>294</v>
      </c>
      <c r="F822" s="23">
        <v>46198</v>
      </c>
      <c r="G822" s="24">
        <v>15</v>
      </c>
      <c r="H822" s="16" t="s">
        <v>144</v>
      </c>
      <c r="I822" s="16">
        <v>266</v>
      </c>
      <c r="J822" s="87">
        <v>987043550</v>
      </c>
      <c r="K822" s="12" t="s">
        <v>588</v>
      </c>
      <c r="L822" s="12"/>
      <c r="M822" s="15" t="s">
        <v>12</v>
      </c>
    </row>
    <row r="823" spans="1:13" ht="19.149999999999999" customHeight="1" x14ac:dyDescent="0.3">
      <c r="A823" s="16">
        <v>1713498507</v>
      </c>
      <c r="B823" s="16" t="s">
        <v>394</v>
      </c>
      <c r="C823" s="16">
        <v>1</v>
      </c>
      <c r="D823" s="16" t="s">
        <v>6</v>
      </c>
      <c r="E823" s="16" t="s">
        <v>50</v>
      </c>
      <c r="F823" s="23">
        <v>46199</v>
      </c>
      <c r="G823" s="24">
        <v>12</v>
      </c>
      <c r="H823" s="16" t="s">
        <v>270</v>
      </c>
      <c r="I823" s="16">
        <v>41836118</v>
      </c>
      <c r="J823" s="75">
        <v>984878267</v>
      </c>
      <c r="K823" s="6" t="s">
        <v>565</v>
      </c>
      <c r="L823" s="55"/>
      <c r="M823" s="15" t="s">
        <v>12</v>
      </c>
    </row>
    <row r="824" spans="1:13" ht="19.149999999999999" customHeight="1" x14ac:dyDescent="0.3">
      <c r="A824" s="16">
        <v>1713498507</v>
      </c>
      <c r="B824" s="16" t="s">
        <v>394</v>
      </c>
      <c r="C824" s="16">
        <v>1</v>
      </c>
      <c r="D824" s="16" t="s">
        <v>133</v>
      </c>
      <c r="E824" s="16" t="s">
        <v>294</v>
      </c>
      <c r="F824" s="23">
        <v>46199</v>
      </c>
      <c r="G824" s="24">
        <v>20</v>
      </c>
      <c r="H824" s="16" t="s">
        <v>270</v>
      </c>
      <c r="I824" s="16">
        <v>41836118</v>
      </c>
      <c r="J824" s="75">
        <v>984878267</v>
      </c>
      <c r="K824" s="6" t="s">
        <v>565</v>
      </c>
      <c r="L824" s="55"/>
      <c r="M824" s="15" t="s">
        <v>12</v>
      </c>
    </row>
    <row r="825" spans="1:13" ht="19.149999999999999" customHeight="1" x14ac:dyDescent="0.3">
      <c r="A825" s="16">
        <v>1716270929</v>
      </c>
      <c r="B825" s="16" t="s">
        <v>385</v>
      </c>
      <c r="C825" s="16">
        <v>1</v>
      </c>
      <c r="D825" s="16" t="s">
        <v>379</v>
      </c>
      <c r="E825" s="16" t="s">
        <v>294</v>
      </c>
      <c r="F825" s="23">
        <v>46199</v>
      </c>
      <c r="G825" s="24">
        <v>21</v>
      </c>
      <c r="H825" s="16" t="s">
        <v>144</v>
      </c>
      <c r="I825" s="16">
        <v>269</v>
      </c>
      <c r="J825" s="87"/>
    </row>
    <row r="826" spans="1:13" ht="19.149999999999999" customHeight="1" x14ac:dyDescent="0.3">
      <c r="A826" s="16">
        <v>1716270929</v>
      </c>
      <c r="B826" s="16" t="s">
        <v>385</v>
      </c>
      <c r="C826" s="16">
        <v>1</v>
      </c>
      <c r="D826" s="16" t="s">
        <v>28</v>
      </c>
      <c r="E826" s="16" t="s">
        <v>50</v>
      </c>
      <c r="F826" s="23">
        <v>46199</v>
      </c>
      <c r="G826" s="24">
        <v>15</v>
      </c>
      <c r="H826" s="16" t="s">
        <v>144</v>
      </c>
      <c r="I826" s="16">
        <v>269</v>
      </c>
      <c r="J826" s="87"/>
    </row>
    <row r="827" spans="1:13" ht="19.149999999999999" customHeight="1" x14ac:dyDescent="0.3">
      <c r="A827" s="16">
        <v>1720921368</v>
      </c>
      <c r="B827" s="16" t="s">
        <v>354</v>
      </c>
      <c r="C827" s="16">
        <v>1</v>
      </c>
      <c r="D827" s="16" t="s">
        <v>28</v>
      </c>
      <c r="E827" s="16" t="s">
        <v>50</v>
      </c>
      <c r="F827" s="23">
        <v>46199</v>
      </c>
      <c r="G827" s="24">
        <v>15</v>
      </c>
      <c r="H827" s="16" t="s">
        <v>270</v>
      </c>
      <c r="I827" s="16">
        <v>47128240</v>
      </c>
      <c r="J827" s="47">
        <v>998583955</v>
      </c>
      <c r="K827" s="6" t="s">
        <v>562</v>
      </c>
      <c r="L827" s="55"/>
      <c r="M827" s="15" t="s">
        <v>12</v>
      </c>
    </row>
    <row r="828" spans="1:13" ht="19.149999999999999" customHeight="1" x14ac:dyDescent="0.3">
      <c r="A828" s="16">
        <v>1751817857</v>
      </c>
      <c r="B828" s="16" t="s">
        <v>386</v>
      </c>
      <c r="C828" s="16">
        <v>1</v>
      </c>
      <c r="D828" s="16" t="s">
        <v>793</v>
      </c>
      <c r="E828" s="16" t="s">
        <v>294</v>
      </c>
      <c r="F828" s="23">
        <v>46199</v>
      </c>
      <c r="G828" s="24">
        <v>15</v>
      </c>
      <c r="H828" s="16" t="s">
        <v>270</v>
      </c>
      <c r="I828" s="16">
        <v>51347957</v>
      </c>
      <c r="J828" s="87">
        <v>992802984</v>
      </c>
      <c r="K828" s="12" t="s">
        <v>589</v>
      </c>
      <c r="L828" s="12"/>
      <c r="M828" s="15" t="s">
        <v>12</v>
      </c>
    </row>
    <row r="829" spans="1:13" ht="19.149999999999999" customHeight="1" x14ac:dyDescent="0.3">
      <c r="A829" s="16">
        <v>1753278652</v>
      </c>
      <c r="B829" s="16" t="s">
        <v>384</v>
      </c>
      <c r="C829" s="16">
        <v>1</v>
      </c>
      <c r="D829" s="16" t="s">
        <v>706</v>
      </c>
      <c r="E829" s="16" t="s">
        <v>50</v>
      </c>
      <c r="F829" s="23">
        <v>46199</v>
      </c>
      <c r="G829" s="24">
        <v>5</v>
      </c>
      <c r="H829" s="16" t="s">
        <v>270</v>
      </c>
      <c r="I829" s="16">
        <v>13737640</v>
      </c>
      <c r="J829" s="47">
        <v>987131214</v>
      </c>
      <c r="K829" s="5" t="s">
        <v>501</v>
      </c>
      <c r="L829" s="54"/>
      <c r="M829" s="15" t="s">
        <v>12</v>
      </c>
    </row>
    <row r="830" spans="1:13" ht="19.149999999999999" customHeight="1" x14ac:dyDescent="0.3">
      <c r="A830" s="16" t="s">
        <v>658</v>
      </c>
      <c r="B830" s="16" t="s">
        <v>1219</v>
      </c>
      <c r="C830" s="16">
        <v>1</v>
      </c>
      <c r="D830" s="16" t="s">
        <v>32</v>
      </c>
      <c r="E830" s="16" t="s">
        <v>294</v>
      </c>
      <c r="F830" s="23">
        <v>46199</v>
      </c>
      <c r="G830" s="24">
        <v>10</v>
      </c>
      <c r="H830" s="16" t="s">
        <v>270</v>
      </c>
      <c r="I830" s="16">
        <v>19471465</v>
      </c>
      <c r="J830" s="87"/>
    </row>
    <row r="831" spans="1:13" ht="19.149999999999999" customHeight="1" x14ac:dyDescent="0.3">
      <c r="A831" s="16">
        <v>1713498507</v>
      </c>
      <c r="B831" s="16" t="s">
        <v>394</v>
      </c>
      <c r="C831" s="16">
        <v>1</v>
      </c>
      <c r="D831" s="16" t="s">
        <v>937</v>
      </c>
      <c r="E831" s="16" t="s">
        <v>50</v>
      </c>
      <c r="F831" s="23">
        <v>46200</v>
      </c>
      <c r="G831" s="24">
        <v>23</v>
      </c>
      <c r="H831" s="16" t="s">
        <v>37</v>
      </c>
      <c r="I831" s="16"/>
      <c r="J831" s="75">
        <v>984878267</v>
      </c>
      <c r="K831" s="6" t="s">
        <v>565</v>
      </c>
      <c r="L831" s="55"/>
      <c r="M831" s="15" t="s">
        <v>12</v>
      </c>
    </row>
    <row r="832" spans="1:13" ht="19.149999999999999" customHeight="1" x14ac:dyDescent="0.3">
      <c r="A832" s="16">
        <v>1713498507</v>
      </c>
      <c r="B832" s="16" t="s">
        <v>394</v>
      </c>
      <c r="C832" s="16">
        <v>1</v>
      </c>
      <c r="D832" s="16" t="s">
        <v>395</v>
      </c>
      <c r="E832" s="16" t="s">
        <v>294</v>
      </c>
      <c r="F832" s="23">
        <v>46200</v>
      </c>
      <c r="G832" s="24">
        <f>10+4+15+20</f>
        <v>49</v>
      </c>
      <c r="H832" s="16" t="s">
        <v>37</v>
      </c>
      <c r="I832" s="16"/>
      <c r="J832" s="75">
        <v>984878267</v>
      </c>
      <c r="K832" s="6" t="s">
        <v>565</v>
      </c>
      <c r="L832" s="55"/>
      <c r="M832" s="15" t="s">
        <v>12</v>
      </c>
    </row>
    <row r="833" spans="1:13" ht="19.149999999999999" customHeight="1" x14ac:dyDescent="0.3">
      <c r="A833" s="16">
        <v>1705676912001</v>
      </c>
      <c r="B833" s="16" t="s">
        <v>389</v>
      </c>
      <c r="C833" s="16">
        <v>1</v>
      </c>
      <c r="D833" s="16" t="s">
        <v>390</v>
      </c>
      <c r="E833" s="16" t="s">
        <v>50</v>
      </c>
      <c r="F833" s="23">
        <v>46200</v>
      </c>
      <c r="G833" s="24">
        <v>20</v>
      </c>
      <c r="H833" s="16" t="s">
        <v>37</v>
      </c>
      <c r="I833" s="16"/>
      <c r="J833" s="87">
        <v>992526658</v>
      </c>
      <c r="K833" s="12" t="s">
        <v>590</v>
      </c>
      <c r="L833" s="12"/>
      <c r="M833" s="15" t="s">
        <v>12</v>
      </c>
    </row>
    <row r="834" spans="1:13" ht="19.149999999999999" customHeight="1" x14ac:dyDescent="0.3">
      <c r="A834" s="16" t="s">
        <v>658</v>
      </c>
      <c r="B834" s="16" t="s">
        <v>392</v>
      </c>
      <c r="C834" s="16">
        <v>1</v>
      </c>
      <c r="D834" s="16" t="s">
        <v>393</v>
      </c>
      <c r="E834" s="16" t="s">
        <v>294</v>
      </c>
      <c r="F834" s="23">
        <v>46200</v>
      </c>
      <c r="G834" s="24">
        <v>15</v>
      </c>
      <c r="H834" s="16" t="s">
        <v>37</v>
      </c>
      <c r="I834" s="16">
        <f ca="1">A149:I834</f>
        <v>0</v>
      </c>
      <c r="J834" s="87">
        <v>963651967</v>
      </c>
    </row>
    <row r="835" spans="1:13" ht="19.149999999999999" customHeight="1" x14ac:dyDescent="0.3">
      <c r="A835" s="16">
        <v>1720226214</v>
      </c>
      <c r="B835" s="16" t="s">
        <v>205</v>
      </c>
      <c r="C835" s="16">
        <v>1</v>
      </c>
      <c r="D835" s="16" t="s">
        <v>379</v>
      </c>
      <c r="E835" s="16" t="s">
        <v>50</v>
      </c>
      <c r="F835" s="23">
        <v>46200</v>
      </c>
      <c r="G835" s="24">
        <f>15+6</f>
        <v>21</v>
      </c>
      <c r="H835" s="16" t="s">
        <v>18</v>
      </c>
      <c r="I835" s="16"/>
      <c r="J835" s="47">
        <v>984342245</v>
      </c>
      <c r="K835" s="5" t="s">
        <v>521</v>
      </c>
      <c r="L835" s="54"/>
      <c r="M835" s="15" t="s">
        <v>12</v>
      </c>
    </row>
    <row r="836" spans="1:13" ht="19.149999999999999" customHeight="1" x14ac:dyDescent="0.3">
      <c r="A836" s="16">
        <v>1720226214</v>
      </c>
      <c r="B836" s="16" t="s">
        <v>205</v>
      </c>
      <c r="C836" s="16">
        <v>1</v>
      </c>
      <c r="D836" s="16" t="s">
        <v>52</v>
      </c>
      <c r="E836" s="16" t="s">
        <v>294</v>
      </c>
      <c r="F836" s="23">
        <v>46200</v>
      </c>
      <c r="G836" s="24">
        <v>17</v>
      </c>
      <c r="H836" s="16" t="s">
        <v>18</v>
      </c>
      <c r="I836" s="16"/>
      <c r="J836" s="47">
        <v>984342245</v>
      </c>
      <c r="K836" s="5" t="s">
        <v>521</v>
      </c>
      <c r="L836" s="54"/>
      <c r="M836" s="15" t="s">
        <v>12</v>
      </c>
    </row>
    <row r="837" spans="1:13" ht="19.149999999999999" customHeight="1" x14ac:dyDescent="0.3">
      <c r="A837" s="16">
        <v>1707733745</v>
      </c>
      <c r="B837" s="16" t="s">
        <v>387</v>
      </c>
      <c r="C837" s="16">
        <v>1</v>
      </c>
      <c r="D837" s="16" t="s">
        <v>388</v>
      </c>
      <c r="E837" s="16" t="s">
        <v>294</v>
      </c>
      <c r="F837" s="23">
        <v>46200</v>
      </c>
      <c r="G837" s="24">
        <v>16</v>
      </c>
      <c r="H837" s="16" t="s">
        <v>37</v>
      </c>
      <c r="I837" s="16"/>
      <c r="J837" s="87">
        <v>989420590</v>
      </c>
      <c r="M837" s="15" t="s">
        <v>12</v>
      </c>
    </row>
    <row r="838" spans="1:13" ht="19.149999999999999" customHeight="1" x14ac:dyDescent="0.3">
      <c r="A838" s="16">
        <v>1714735311</v>
      </c>
      <c r="B838" s="16" t="s">
        <v>391</v>
      </c>
      <c r="C838" s="16">
        <v>1</v>
      </c>
      <c r="D838" s="16" t="s">
        <v>225</v>
      </c>
      <c r="E838" s="16" t="s">
        <v>294</v>
      </c>
      <c r="F838" s="23">
        <v>46200</v>
      </c>
      <c r="G838" s="24">
        <v>4</v>
      </c>
      <c r="H838" s="16" t="s">
        <v>37</v>
      </c>
      <c r="I838" s="16"/>
      <c r="J838" s="87">
        <v>987779851</v>
      </c>
      <c r="K838" s="12" t="s">
        <v>580</v>
      </c>
      <c r="L838" s="12"/>
      <c r="M838" s="15" t="s">
        <v>12</v>
      </c>
    </row>
    <row r="839" spans="1:13" ht="19.149999999999999" customHeight="1" x14ac:dyDescent="0.3">
      <c r="A839" s="16">
        <v>1709047482</v>
      </c>
      <c r="B839" s="16" t="s">
        <v>378</v>
      </c>
      <c r="C839" s="16">
        <v>1</v>
      </c>
      <c r="D839" s="16" t="s">
        <v>6</v>
      </c>
      <c r="E839" s="16" t="s">
        <v>50</v>
      </c>
      <c r="F839" s="23">
        <v>46201</v>
      </c>
      <c r="G839" s="24">
        <v>12</v>
      </c>
      <c r="H839" s="16" t="s">
        <v>37</v>
      </c>
      <c r="I839" s="16">
        <v>65078099</v>
      </c>
      <c r="J839" s="87">
        <v>995066742</v>
      </c>
      <c r="K839" s="12" t="s">
        <v>591</v>
      </c>
      <c r="L839" s="12"/>
      <c r="M839" s="15" t="s">
        <v>12</v>
      </c>
    </row>
    <row r="840" spans="1:13" ht="19.149999999999999" customHeight="1" x14ac:dyDescent="0.3">
      <c r="A840" s="16">
        <v>1709047482</v>
      </c>
      <c r="B840" s="16" t="s">
        <v>378</v>
      </c>
      <c r="C840" s="16">
        <v>1</v>
      </c>
      <c r="D840" s="16" t="s">
        <v>102</v>
      </c>
      <c r="E840" s="16" t="s">
        <v>294</v>
      </c>
      <c r="F840" s="23">
        <v>46201</v>
      </c>
      <c r="G840" s="24">
        <v>10</v>
      </c>
      <c r="H840" s="16" t="s">
        <v>37</v>
      </c>
      <c r="I840" s="16">
        <v>65078099</v>
      </c>
      <c r="J840" s="87">
        <v>995066742</v>
      </c>
      <c r="K840" s="12" t="s">
        <v>591</v>
      </c>
      <c r="L840" s="12"/>
      <c r="M840" s="15" t="s">
        <v>12</v>
      </c>
    </row>
    <row r="841" spans="1:13" ht="19.149999999999999" customHeight="1" x14ac:dyDescent="0.3">
      <c r="A841" s="16">
        <v>1750946731</v>
      </c>
      <c r="B841" s="16" t="s">
        <v>396</v>
      </c>
      <c r="C841" s="16">
        <v>1</v>
      </c>
      <c r="D841" s="16" t="s">
        <v>28</v>
      </c>
      <c r="E841" s="16" t="s">
        <v>50</v>
      </c>
      <c r="F841" s="23">
        <v>46201</v>
      </c>
      <c r="G841" s="24">
        <v>15</v>
      </c>
      <c r="H841" s="16" t="s">
        <v>37</v>
      </c>
      <c r="I841" s="16">
        <v>76467803</v>
      </c>
      <c r="J841" s="87">
        <v>987084344</v>
      </c>
      <c r="K841" s="12" t="s">
        <v>592</v>
      </c>
      <c r="L841" s="12"/>
      <c r="M841" s="15" t="s">
        <v>12</v>
      </c>
    </row>
    <row r="842" spans="1:13" ht="19.149999999999999" customHeight="1" x14ac:dyDescent="0.3">
      <c r="A842" s="16">
        <v>1721946067</v>
      </c>
      <c r="B842" s="16" t="s">
        <v>31</v>
      </c>
      <c r="C842" s="16">
        <v>1</v>
      </c>
      <c r="D842" s="16" t="s">
        <v>861</v>
      </c>
      <c r="E842" s="16" t="s">
        <v>50</v>
      </c>
      <c r="F842" s="23">
        <v>46201</v>
      </c>
      <c r="G842" s="24"/>
      <c r="H842" s="24" t="s">
        <v>17</v>
      </c>
      <c r="I842" s="16"/>
      <c r="J842" s="47">
        <v>997562221</v>
      </c>
      <c r="K842" s="5" t="s">
        <v>433</v>
      </c>
      <c r="L842" s="64">
        <v>46322</v>
      </c>
      <c r="M842" s="15" t="s">
        <v>12</v>
      </c>
    </row>
    <row r="843" spans="1:13" ht="19.149999999999999" customHeight="1" x14ac:dyDescent="0.3">
      <c r="A843" s="16">
        <v>1713500245</v>
      </c>
      <c r="B843" s="16" t="s">
        <v>1202</v>
      </c>
      <c r="C843" s="16">
        <v>1</v>
      </c>
      <c r="D843" s="16" t="s">
        <v>28</v>
      </c>
      <c r="E843" s="16" t="s">
        <v>50</v>
      </c>
      <c r="F843" s="23">
        <v>46202</v>
      </c>
      <c r="G843" s="24">
        <v>15</v>
      </c>
      <c r="H843" s="16" t="s">
        <v>17</v>
      </c>
      <c r="I843" s="16"/>
      <c r="J843" s="87">
        <v>992949688</v>
      </c>
      <c r="K843" s="12" t="s">
        <v>583</v>
      </c>
      <c r="L843" s="12"/>
      <c r="M843" s="15" t="s">
        <v>12</v>
      </c>
    </row>
    <row r="844" spans="1:13" ht="19.149999999999999" customHeight="1" x14ac:dyDescent="0.3">
      <c r="A844" s="16">
        <v>1718740796</v>
      </c>
      <c r="B844" s="16" t="s">
        <v>317</v>
      </c>
      <c r="C844" s="16">
        <v>1</v>
      </c>
      <c r="D844" s="16" t="s">
        <v>761</v>
      </c>
      <c r="E844" s="16" t="s">
        <v>50</v>
      </c>
      <c r="F844" s="23">
        <v>46202</v>
      </c>
      <c r="G844" s="24"/>
      <c r="H844" s="24" t="s">
        <v>17</v>
      </c>
      <c r="I844" s="16"/>
      <c r="J844" s="47">
        <v>984039489</v>
      </c>
      <c r="K844" s="5" t="s">
        <v>530</v>
      </c>
      <c r="L844" s="54"/>
      <c r="M844" s="15" t="s">
        <v>12</v>
      </c>
    </row>
    <row r="845" spans="1:13" s="21" customFormat="1" ht="19.149999999999999" customHeight="1" x14ac:dyDescent="0.3">
      <c r="A845" s="16">
        <v>1713919163</v>
      </c>
      <c r="B845" s="16" t="s">
        <v>143</v>
      </c>
      <c r="C845" s="16">
        <v>1</v>
      </c>
      <c r="D845" s="16" t="s">
        <v>778</v>
      </c>
      <c r="E845" s="16" t="s">
        <v>687</v>
      </c>
      <c r="F845" s="23">
        <v>46199</v>
      </c>
      <c r="G845" s="24">
        <v>18</v>
      </c>
      <c r="H845" s="24" t="s">
        <v>144</v>
      </c>
      <c r="I845" s="27">
        <v>134</v>
      </c>
      <c r="J845" s="47">
        <v>992725974</v>
      </c>
      <c r="K845" s="5" t="s">
        <v>421</v>
      </c>
      <c r="L845" s="54"/>
      <c r="M845" s="62" t="s">
        <v>12</v>
      </c>
    </row>
    <row r="846" spans="1:13" s="21" customFormat="1" ht="19.149999999999999" customHeight="1" x14ac:dyDescent="0.3">
      <c r="A846" s="16">
        <v>1721946067</v>
      </c>
      <c r="B846" s="16" t="s">
        <v>31</v>
      </c>
      <c r="C846" s="16">
        <v>1</v>
      </c>
      <c r="D846" s="16" t="s">
        <v>713</v>
      </c>
      <c r="E846" s="16" t="s">
        <v>50</v>
      </c>
      <c r="F846" s="23">
        <v>46202</v>
      </c>
      <c r="G846" s="28">
        <f>17+6</f>
        <v>23</v>
      </c>
      <c r="H846" s="24" t="s">
        <v>17</v>
      </c>
      <c r="I846" s="27"/>
      <c r="J846" s="47">
        <v>997562221</v>
      </c>
      <c r="K846" s="5" t="s">
        <v>433</v>
      </c>
      <c r="L846" s="64">
        <v>46322</v>
      </c>
      <c r="M846" s="62" t="s">
        <v>12</v>
      </c>
    </row>
    <row r="847" spans="1:13" x14ac:dyDescent="0.3">
      <c r="A847" s="16">
        <v>1708634033</v>
      </c>
      <c r="B847" s="16" t="s">
        <v>341</v>
      </c>
      <c r="C847" s="16">
        <v>1</v>
      </c>
      <c r="D847" s="16" t="s">
        <v>6</v>
      </c>
      <c r="E847" s="16" t="s">
        <v>50</v>
      </c>
      <c r="F847" s="89">
        <v>46204</v>
      </c>
      <c r="G847" s="90">
        <v>12</v>
      </c>
      <c r="H847" s="19" t="s">
        <v>212</v>
      </c>
      <c r="I847" s="19">
        <v>273</v>
      </c>
      <c r="J847" s="80"/>
      <c r="K847" s="5"/>
      <c r="L847" s="54"/>
      <c r="M847" s="15"/>
    </row>
    <row r="848" spans="1:13" x14ac:dyDescent="0.3">
      <c r="A848" s="16">
        <v>1312053497</v>
      </c>
      <c r="B848" s="16" t="s">
        <v>1028</v>
      </c>
      <c r="C848" s="16">
        <v>1</v>
      </c>
      <c r="D848" s="16" t="s">
        <v>102</v>
      </c>
      <c r="E848" s="19" t="s">
        <v>294</v>
      </c>
      <c r="F848" s="89">
        <v>46204</v>
      </c>
      <c r="G848" s="90">
        <v>10</v>
      </c>
      <c r="H848" s="19" t="s">
        <v>17</v>
      </c>
      <c r="I848" s="19"/>
    </row>
    <row r="849" spans="1:9" x14ac:dyDescent="0.3">
      <c r="A849" s="16">
        <v>1312053497</v>
      </c>
      <c r="B849" s="16" t="s">
        <v>1028</v>
      </c>
      <c r="C849" s="16">
        <v>1</v>
      </c>
      <c r="D849" s="16" t="s">
        <v>6</v>
      </c>
      <c r="E849" s="16" t="s">
        <v>50</v>
      </c>
      <c r="F849" s="89">
        <v>46204</v>
      </c>
      <c r="G849" s="90">
        <v>12</v>
      </c>
      <c r="H849" s="19" t="s">
        <v>17</v>
      </c>
      <c r="I849" s="19"/>
    </row>
    <row r="850" spans="1:9" x14ac:dyDescent="0.3">
      <c r="A850" s="16">
        <v>2000054730</v>
      </c>
      <c r="B850" s="16" t="s">
        <v>350</v>
      </c>
      <c r="C850" s="16">
        <v>1</v>
      </c>
      <c r="D850" s="16" t="s">
        <v>6</v>
      </c>
      <c r="E850" s="16" t="s">
        <v>50</v>
      </c>
      <c r="F850" s="89">
        <v>46204</v>
      </c>
      <c r="G850" s="90">
        <v>12</v>
      </c>
      <c r="H850" s="19" t="s">
        <v>270</v>
      </c>
      <c r="I850" s="19">
        <v>86288216</v>
      </c>
    </row>
    <row r="851" spans="1:9" x14ac:dyDescent="0.3">
      <c r="A851" s="16">
        <v>1725206369</v>
      </c>
      <c r="B851" s="16" t="s">
        <v>1045</v>
      </c>
      <c r="C851" s="16">
        <v>1</v>
      </c>
      <c r="D851" s="16" t="s">
        <v>370</v>
      </c>
      <c r="E851" s="16" t="s">
        <v>50</v>
      </c>
      <c r="F851" s="89">
        <v>46204</v>
      </c>
      <c r="G851" s="90">
        <v>28</v>
      </c>
      <c r="H851" s="19" t="s">
        <v>17</v>
      </c>
      <c r="I851" s="19"/>
    </row>
    <row r="852" spans="1:9" x14ac:dyDescent="0.3">
      <c r="A852" s="16">
        <v>2000054730</v>
      </c>
      <c r="B852" s="16" t="s">
        <v>350</v>
      </c>
      <c r="C852" s="16">
        <v>1</v>
      </c>
      <c r="D852" s="16" t="s">
        <v>1076</v>
      </c>
      <c r="E852" s="19" t="s">
        <v>294</v>
      </c>
      <c r="F852" s="89">
        <v>46204</v>
      </c>
      <c r="G852" s="90">
        <v>37</v>
      </c>
      <c r="H852" s="19" t="s">
        <v>270</v>
      </c>
      <c r="I852" s="19">
        <v>86288216</v>
      </c>
    </row>
    <row r="853" spans="1:9" x14ac:dyDescent="0.3">
      <c r="A853" s="16">
        <v>1715330948</v>
      </c>
      <c r="B853" s="16" t="s">
        <v>1029</v>
      </c>
      <c r="C853" s="16">
        <v>1</v>
      </c>
      <c r="D853" s="16" t="s">
        <v>1077</v>
      </c>
      <c r="E853" s="19" t="s">
        <v>294</v>
      </c>
      <c r="F853" s="89">
        <v>46205</v>
      </c>
      <c r="G853" s="90">
        <v>27</v>
      </c>
      <c r="H853" s="19" t="s">
        <v>270</v>
      </c>
      <c r="I853" s="19">
        <v>86288216</v>
      </c>
    </row>
    <row r="854" spans="1:9" x14ac:dyDescent="0.3">
      <c r="A854" s="16">
        <v>1715330948</v>
      </c>
      <c r="B854" s="16" t="s">
        <v>1029</v>
      </c>
      <c r="C854" s="16">
        <v>1</v>
      </c>
      <c r="D854" s="16" t="s">
        <v>28</v>
      </c>
      <c r="E854" s="16" t="s">
        <v>50</v>
      </c>
      <c r="F854" s="89">
        <v>46205</v>
      </c>
      <c r="G854" s="90">
        <v>15</v>
      </c>
      <c r="H854" s="19" t="s">
        <v>270</v>
      </c>
      <c r="I854" s="19">
        <v>65375281</v>
      </c>
    </row>
    <row r="855" spans="1:9" x14ac:dyDescent="0.3">
      <c r="A855" s="16">
        <v>1707963227</v>
      </c>
      <c r="B855" s="16" t="s">
        <v>33</v>
      </c>
      <c r="C855" s="16">
        <v>1</v>
      </c>
      <c r="D855" s="16" t="s">
        <v>28</v>
      </c>
      <c r="E855" s="19" t="s">
        <v>294</v>
      </c>
      <c r="F855" s="89">
        <v>46205</v>
      </c>
      <c r="G855" s="90">
        <v>15</v>
      </c>
      <c r="H855" s="19"/>
      <c r="I855" s="19"/>
    </row>
    <row r="856" spans="1:9" x14ac:dyDescent="0.3">
      <c r="A856" s="16">
        <v>1723645212</v>
      </c>
      <c r="B856" s="16" t="s">
        <v>63</v>
      </c>
      <c r="C856" s="16">
        <v>1</v>
      </c>
      <c r="D856" s="16" t="s">
        <v>6</v>
      </c>
      <c r="E856" s="19" t="s">
        <v>294</v>
      </c>
      <c r="F856" s="89">
        <v>46206</v>
      </c>
      <c r="G856" s="90">
        <v>12</v>
      </c>
      <c r="H856" s="19" t="s">
        <v>212</v>
      </c>
      <c r="I856" s="19">
        <v>275</v>
      </c>
    </row>
    <row r="857" spans="1:9" x14ac:dyDescent="0.3">
      <c r="A857" s="16">
        <v>1315499424</v>
      </c>
      <c r="B857" s="16" t="s">
        <v>356</v>
      </c>
      <c r="C857" s="16">
        <v>1</v>
      </c>
      <c r="D857" s="16" t="s">
        <v>28</v>
      </c>
      <c r="E857" s="16" t="s">
        <v>50</v>
      </c>
      <c r="F857" s="89">
        <v>46206</v>
      </c>
      <c r="G857" s="90">
        <v>15</v>
      </c>
      <c r="H857" s="19" t="s">
        <v>270</v>
      </c>
      <c r="I857" s="19">
        <v>59622247</v>
      </c>
    </row>
    <row r="858" spans="1:9" x14ac:dyDescent="0.3">
      <c r="A858" s="16">
        <v>401388814</v>
      </c>
      <c r="B858" s="16" t="s">
        <v>290</v>
      </c>
      <c r="C858" s="16">
        <v>1</v>
      </c>
      <c r="D858" s="16" t="s">
        <v>1078</v>
      </c>
      <c r="E858" s="16" t="s">
        <v>50</v>
      </c>
      <c r="F858" s="89">
        <v>46207</v>
      </c>
      <c r="G858" s="90">
        <f>17+20+6</f>
        <v>43</v>
      </c>
      <c r="H858" s="19" t="s">
        <v>270</v>
      </c>
      <c r="I858" s="19">
        <v>23613136</v>
      </c>
    </row>
    <row r="859" spans="1:9" x14ac:dyDescent="0.3">
      <c r="A859" s="16">
        <v>1756905087</v>
      </c>
      <c r="B859" s="16" t="s">
        <v>1030</v>
      </c>
      <c r="C859" s="16">
        <v>1</v>
      </c>
      <c r="D859" s="16" t="s">
        <v>1175</v>
      </c>
      <c r="E859" s="19" t="s">
        <v>294</v>
      </c>
      <c r="F859" s="89">
        <v>46207</v>
      </c>
      <c r="G859" s="90">
        <f>15+12</f>
        <v>27</v>
      </c>
      <c r="H859" s="19" t="s">
        <v>270</v>
      </c>
      <c r="I859" s="19">
        <v>25504039</v>
      </c>
    </row>
    <row r="860" spans="1:9" x14ac:dyDescent="0.3">
      <c r="A860" s="16">
        <v>1718339920</v>
      </c>
      <c r="B860" s="16" t="s">
        <v>344</v>
      </c>
      <c r="C860" s="16">
        <v>1</v>
      </c>
      <c r="D860" s="16" t="s">
        <v>1079</v>
      </c>
      <c r="E860" s="19" t="s">
        <v>294</v>
      </c>
      <c r="F860" s="89">
        <v>46207</v>
      </c>
      <c r="G860" s="90">
        <v>15</v>
      </c>
      <c r="H860" s="19" t="s">
        <v>212</v>
      </c>
      <c r="I860" s="19"/>
    </row>
    <row r="861" spans="1:9" x14ac:dyDescent="0.3">
      <c r="A861" s="16">
        <v>1718339920</v>
      </c>
      <c r="B861" s="16" t="s">
        <v>1031</v>
      </c>
      <c r="C861" s="16">
        <v>1</v>
      </c>
      <c r="D861" s="16" t="s">
        <v>1079</v>
      </c>
      <c r="E861" s="16" t="s">
        <v>50</v>
      </c>
      <c r="F861" s="89">
        <v>46207</v>
      </c>
      <c r="G861" s="90">
        <v>15</v>
      </c>
      <c r="H861" s="19" t="s">
        <v>212</v>
      </c>
      <c r="I861" s="19"/>
    </row>
    <row r="862" spans="1:9" x14ac:dyDescent="0.3">
      <c r="A862" s="26">
        <v>1727183731001</v>
      </c>
      <c r="B862" s="16" t="s">
        <v>1169</v>
      </c>
      <c r="C862" s="16">
        <v>1</v>
      </c>
      <c r="D862" s="16" t="s">
        <v>102</v>
      </c>
      <c r="E862" s="19" t="s">
        <v>294</v>
      </c>
      <c r="F862" s="89">
        <v>46207</v>
      </c>
      <c r="G862" s="90">
        <v>10</v>
      </c>
      <c r="H862" s="19" t="s">
        <v>270</v>
      </c>
      <c r="I862" s="19">
        <v>37968667</v>
      </c>
    </row>
    <row r="863" spans="1:9" x14ac:dyDescent="0.3">
      <c r="A863" s="26">
        <v>1727183731001</v>
      </c>
      <c r="B863" s="16" t="s">
        <v>1033</v>
      </c>
      <c r="C863" s="16">
        <v>1</v>
      </c>
      <c r="D863" s="16" t="s">
        <v>993</v>
      </c>
      <c r="E863" s="16" t="s">
        <v>50</v>
      </c>
      <c r="F863" s="89">
        <v>46207</v>
      </c>
      <c r="G863" s="90">
        <v>22</v>
      </c>
      <c r="H863" s="19" t="s">
        <v>270</v>
      </c>
      <c r="I863" s="19">
        <v>37968667</v>
      </c>
    </row>
    <row r="864" spans="1:9" x14ac:dyDescent="0.3">
      <c r="A864" s="16">
        <v>1714063292</v>
      </c>
      <c r="B864" s="16" t="s">
        <v>29</v>
      </c>
      <c r="C864" s="16">
        <v>1</v>
      </c>
      <c r="D864" s="16" t="s">
        <v>1080</v>
      </c>
      <c r="E864" s="19" t="s">
        <v>294</v>
      </c>
      <c r="F864" s="89">
        <v>46207</v>
      </c>
      <c r="G864" s="24">
        <f>10+12</f>
        <v>22</v>
      </c>
      <c r="H864" s="19" t="s">
        <v>17</v>
      </c>
      <c r="I864" s="19"/>
    </row>
    <row r="865" spans="1:9" x14ac:dyDescent="0.3">
      <c r="A865" s="16">
        <v>1717932964</v>
      </c>
      <c r="B865" s="16" t="s">
        <v>345</v>
      </c>
      <c r="C865" s="16">
        <v>1</v>
      </c>
      <c r="D865" s="16" t="s">
        <v>1079</v>
      </c>
      <c r="E865" s="19" t="s">
        <v>294</v>
      </c>
      <c r="F865" s="89">
        <v>46207</v>
      </c>
      <c r="G865" s="90">
        <v>15</v>
      </c>
      <c r="H865" s="19" t="s">
        <v>18</v>
      </c>
      <c r="I865" s="19" t="s">
        <v>1122</v>
      </c>
    </row>
    <row r="866" spans="1:9" x14ac:dyDescent="0.3">
      <c r="A866" s="16">
        <v>1722229901</v>
      </c>
      <c r="B866" s="16" t="s">
        <v>1034</v>
      </c>
      <c r="C866" s="16">
        <v>1</v>
      </c>
      <c r="D866" s="16" t="s">
        <v>1081</v>
      </c>
      <c r="E866" s="16" t="s">
        <v>50</v>
      </c>
      <c r="F866" s="89">
        <v>46207</v>
      </c>
      <c r="G866" s="90">
        <f>20+6+12</f>
        <v>38</v>
      </c>
      <c r="H866" s="19" t="s">
        <v>212</v>
      </c>
      <c r="I866" s="19"/>
    </row>
    <row r="867" spans="1:9" x14ac:dyDescent="0.3">
      <c r="A867" s="16">
        <v>1722229901</v>
      </c>
      <c r="B867" s="16" t="s">
        <v>1034</v>
      </c>
      <c r="C867" s="16">
        <v>1</v>
      </c>
      <c r="D867" s="16" t="s">
        <v>594</v>
      </c>
      <c r="E867" s="19" t="s">
        <v>294</v>
      </c>
      <c r="F867" s="89">
        <v>46207</v>
      </c>
      <c r="G867" s="90">
        <v>10</v>
      </c>
      <c r="H867" s="19" t="s">
        <v>212</v>
      </c>
      <c r="I867" s="19"/>
    </row>
    <row r="868" spans="1:9" x14ac:dyDescent="0.3">
      <c r="A868" s="16">
        <v>1705634895</v>
      </c>
      <c r="B868" s="16" t="s">
        <v>1035</v>
      </c>
      <c r="C868" s="16">
        <v>1</v>
      </c>
      <c r="D868" s="16" t="s">
        <v>6</v>
      </c>
      <c r="E868" s="16" t="s">
        <v>50</v>
      </c>
      <c r="F868" s="89">
        <v>46207</v>
      </c>
      <c r="G868" s="90">
        <v>12</v>
      </c>
      <c r="H868" s="19" t="s">
        <v>270</v>
      </c>
      <c r="I868" s="19">
        <v>51485951</v>
      </c>
    </row>
    <row r="869" spans="1:9" x14ac:dyDescent="0.3">
      <c r="A869" s="16">
        <v>1709047482</v>
      </c>
      <c r="B869" s="16" t="s">
        <v>378</v>
      </c>
      <c r="C869" s="16">
        <v>1</v>
      </c>
      <c r="D869" s="16" t="s">
        <v>133</v>
      </c>
      <c r="E869" s="16" t="s">
        <v>50</v>
      </c>
      <c r="F869" s="89">
        <v>46208</v>
      </c>
      <c r="G869" s="90">
        <f>22</f>
        <v>22</v>
      </c>
      <c r="H869" s="19" t="s">
        <v>212</v>
      </c>
      <c r="I869" s="19"/>
    </row>
    <row r="870" spans="1:9" x14ac:dyDescent="0.3">
      <c r="A870" s="16">
        <v>1709047482</v>
      </c>
      <c r="B870" s="16" t="s">
        <v>378</v>
      </c>
      <c r="C870" s="16">
        <v>1</v>
      </c>
      <c r="D870" s="16" t="s">
        <v>1082</v>
      </c>
      <c r="E870" s="16" t="s">
        <v>103</v>
      </c>
      <c r="F870" s="89">
        <v>46208</v>
      </c>
      <c r="G870" s="90">
        <f>8+6+5+50</f>
        <v>69</v>
      </c>
      <c r="H870" s="19" t="s">
        <v>212</v>
      </c>
      <c r="I870" s="19"/>
    </row>
    <row r="871" spans="1:9" x14ac:dyDescent="0.3">
      <c r="A871" s="16">
        <v>1723424790</v>
      </c>
      <c r="B871" s="16" t="s">
        <v>1190</v>
      </c>
      <c r="C871" s="16">
        <v>1</v>
      </c>
      <c r="D871" s="16" t="s">
        <v>133</v>
      </c>
      <c r="E871" s="16" t="s">
        <v>50</v>
      </c>
      <c r="F871" s="89">
        <v>46208</v>
      </c>
      <c r="G871" s="90">
        <v>20</v>
      </c>
      <c r="H871" s="19" t="s">
        <v>270</v>
      </c>
      <c r="I871" s="19"/>
    </row>
    <row r="872" spans="1:9" x14ac:dyDescent="0.3">
      <c r="A872" s="16">
        <v>1721946067</v>
      </c>
      <c r="B872" s="16" t="s">
        <v>31</v>
      </c>
      <c r="C872" s="16">
        <v>1</v>
      </c>
      <c r="D872" s="16" t="s">
        <v>52</v>
      </c>
      <c r="E872" s="16" t="s">
        <v>50</v>
      </c>
      <c r="F872" s="89">
        <v>46208</v>
      </c>
      <c r="G872" s="90">
        <v>17</v>
      </c>
      <c r="H872" s="19" t="s">
        <v>17</v>
      </c>
      <c r="I872" s="19"/>
    </row>
    <row r="873" spans="1:9" x14ac:dyDescent="0.3">
      <c r="A873" s="16">
        <v>1721946067</v>
      </c>
      <c r="B873" s="16" t="s">
        <v>31</v>
      </c>
      <c r="C873" s="16">
        <v>1</v>
      </c>
      <c r="D873" s="16" t="s">
        <v>28</v>
      </c>
      <c r="E873" s="19" t="s">
        <v>294</v>
      </c>
      <c r="F873" s="89">
        <v>46208</v>
      </c>
      <c r="G873" s="90">
        <v>15</v>
      </c>
      <c r="H873" s="19" t="s">
        <v>17</v>
      </c>
      <c r="I873" s="19"/>
    </row>
    <row r="874" spans="1:9" x14ac:dyDescent="0.3">
      <c r="A874" s="16">
        <v>1312423450</v>
      </c>
      <c r="B874" s="16" t="s">
        <v>171</v>
      </c>
      <c r="C874" s="16">
        <v>1</v>
      </c>
      <c r="D874" s="16" t="s">
        <v>1083</v>
      </c>
      <c r="E874" s="19" t="s">
        <v>294</v>
      </c>
      <c r="F874" s="89">
        <v>46208</v>
      </c>
      <c r="G874" s="90">
        <v>45</v>
      </c>
      <c r="H874" s="19" t="s">
        <v>270</v>
      </c>
      <c r="I874" s="19">
        <v>96320568</v>
      </c>
    </row>
    <row r="875" spans="1:9" x14ac:dyDescent="0.3">
      <c r="A875" s="16" t="s">
        <v>658</v>
      </c>
      <c r="B875" s="16" t="s">
        <v>296</v>
      </c>
      <c r="C875" s="16">
        <v>1</v>
      </c>
      <c r="D875" s="16" t="s">
        <v>1084</v>
      </c>
      <c r="E875" s="19" t="s">
        <v>294</v>
      </c>
      <c r="F875" s="89">
        <v>46209</v>
      </c>
      <c r="G875" s="90">
        <v>28</v>
      </c>
      <c r="H875" s="19" t="s">
        <v>270</v>
      </c>
      <c r="I875" s="19">
        <v>170818564</v>
      </c>
    </row>
    <row r="876" spans="1:9" x14ac:dyDescent="0.3">
      <c r="A876" s="16" t="s">
        <v>658</v>
      </c>
      <c r="B876" s="16" t="s">
        <v>296</v>
      </c>
      <c r="C876" s="16">
        <v>1</v>
      </c>
      <c r="D876" s="16" t="s">
        <v>6</v>
      </c>
      <c r="E876" s="16" t="s">
        <v>50</v>
      </c>
      <c r="F876" s="89">
        <v>46209</v>
      </c>
      <c r="G876" s="90">
        <v>12</v>
      </c>
      <c r="H876" s="19" t="s">
        <v>270</v>
      </c>
      <c r="I876" s="19">
        <v>1708118564</v>
      </c>
    </row>
    <row r="877" spans="1:9" x14ac:dyDescent="0.3">
      <c r="A877" s="16">
        <v>105436180</v>
      </c>
      <c r="B877" s="16" t="s">
        <v>1037</v>
      </c>
      <c r="C877" s="16">
        <v>1</v>
      </c>
      <c r="D877" s="16" t="s">
        <v>739</v>
      </c>
      <c r="E877" s="19" t="s">
        <v>294</v>
      </c>
      <c r="F877" s="89">
        <v>46209</v>
      </c>
      <c r="G877" s="90">
        <v>20</v>
      </c>
      <c r="H877" s="19" t="s">
        <v>212</v>
      </c>
      <c r="I877" s="19">
        <v>283</v>
      </c>
    </row>
    <row r="878" spans="1:9" x14ac:dyDescent="0.3">
      <c r="A878" s="16">
        <v>105436180</v>
      </c>
      <c r="B878" s="16" t="s">
        <v>1037</v>
      </c>
      <c r="C878" s="16">
        <v>1</v>
      </c>
      <c r="D878" s="16" t="s">
        <v>1085</v>
      </c>
      <c r="E878" s="16" t="s">
        <v>50</v>
      </c>
      <c r="F878" s="89">
        <v>46209</v>
      </c>
      <c r="G878" s="90">
        <v>13</v>
      </c>
      <c r="H878" s="19" t="s">
        <v>212</v>
      </c>
      <c r="I878" s="19">
        <v>283</v>
      </c>
    </row>
    <row r="879" spans="1:9" x14ac:dyDescent="0.3">
      <c r="A879" s="16">
        <v>401094149</v>
      </c>
      <c r="B879" s="16" t="s">
        <v>1038</v>
      </c>
      <c r="C879" s="16">
        <v>1</v>
      </c>
      <c r="D879" s="16" t="s">
        <v>28</v>
      </c>
      <c r="E879" s="16" t="s">
        <v>50</v>
      </c>
      <c r="F879" s="89">
        <v>46209</v>
      </c>
      <c r="G879" s="90">
        <v>15</v>
      </c>
      <c r="H879" s="19" t="s">
        <v>270</v>
      </c>
      <c r="I879" s="19">
        <v>164639713</v>
      </c>
    </row>
    <row r="880" spans="1:9" x14ac:dyDescent="0.3">
      <c r="A880" s="16">
        <v>800610388</v>
      </c>
      <c r="B880" s="16" t="s">
        <v>1039</v>
      </c>
      <c r="C880" s="16">
        <v>1</v>
      </c>
      <c r="D880" s="16" t="s">
        <v>1086</v>
      </c>
      <c r="E880" s="16" t="s">
        <v>50</v>
      </c>
      <c r="F880" s="89">
        <v>46210</v>
      </c>
      <c r="G880" s="90">
        <v>17</v>
      </c>
      <c r="H880" s="19" t="s">
        <v>17</v>
      </c>
      <c r="I880" s="19"/>
    </row>
    <row r="881" spans="1:9" x14ac:dyDescent="0.3">
      <c r="A881" s="16">
        <v>1719104265</v>
      </c>
      <c r="B881" s="16" t="s">
        <v>1040</v>
      </c>
      <c r="C881" s="16">
        <v>1</v>
      </c>
      <c r="D881" s="16" t="s">
        <v>739</v>
      </c>
      <c r="E881" s="19" t="s">
        <v>294</v>
      </c>
      <c r="F881" s="89">
        <v>46210</v>
      </c>
      <c r="G881" s="90">
        <v>20</v>
      </c>
      <c r="H881" s="19" t="s">
        <v>212</v>
      </c>
      <c r="I881" s="19">
        <v>285</v>
      </c>
    </row>
    <row r="882" spans="1:9" x14ac:dyDescent="0.3">
      <c r="A882" s="16">
        <v>178812769</v>
      </c>
      <c r="B882" s="16" t="s">
        <v>1041</v>
      </c>
      <c r="C882" s="16">
        <v>1</v>
      </c>
      <c r="D882" s="16" t="s">
        <v>28</v>
      </c>
      <c r="E882" s="19" t="s">
        <v>294</v>
      </c>
      <c r="F882" s="89">
        <v>46211</v>
      </c>
      <c r="G882" s="90">
        <v>15</v>
      </c>
      <c r="H882" s="19" t="s">
        <v>270</v>
      </c>
      <c r="I882" s="19">
        <v>621235598</v>
      </c>
    </row>
    <row r="883" spans="1:9" x14ac:dyDescent="0.3">
      <c r="A883" s="16">
        <v>1721675153</v>
      </c>
      <c r="B883" s="16" t="s">
        <v>156</v>
      </c>
      <c r="C883" s="16">
        <v>1</v>
      </c>
      <c r="D883" s="16" t="s">
        <v>6</v>
      </c>
      <c r="E883" s="19" t="s">
        <v>1123</v>
      </c>
      <c r="F883" s="89">
        <v>46212</v>
      </c>
      <c r="G883" s="90">
        <v>12</v>
      </c>
      <c r="H883" s="19" t="s">
        <v>18</v>
      </c>
      <c r="I883" s="19">
        <v>42723634</v>
      </c>
    </row>
    <row r="884" spans="1:9" x14ac:dyDescent="0.3">
      <c r="A884" s="16">
        <v>1721675153</v>
      </c>
      <c r="B884" s="16" t="s">
        <v>156</v>
      </c>
      <c r="C884" s="16">
        <v>1</v>
      </c>
      <c r="D884" s="16" t="s">
        <v>1084</v>
      </c>
      <c r="E884" s="19" t="s">
        <v>1124</v>
      </c>
      <c r="F884" s="89">
        <v>46212</v>
      </c>
      <c r="G884" s="90">
        <v>28</v>
      </c>
      <c r="H884" s="19" t="s">
        <v>18</v>
      </c>
      <c r="I884" s="19">
        <v>42723634</v>
      </c>
    </row>
    <row r="885" spans="1:9" x14ac:dyDescent="0.3">
      <c r="A885" s="16">
        <v>178812769</v>
      </c>
      <c r="B885" s="16" t="s">
        <v>1041</v>
      </c>
      <c r="C885" s="16">
        <v>1</v>
      </c>
      <c r="D885" s="16" t="s">
        <v>739</v>
      </c>
      <c r="E885" s="19" t="s">
        <v>1123</v>
      </c>
      <c r="F885" s="89">
        <v>46212</v>
      </c>
      <c r="G885" s="90">
        <v>20</v>
      </c>
      <c r="H885" s="19" t="s">
        <v>270</v>
      </c>
      <c r="I885" s="19"/>
    </row>
    <row r="886" spans="1:9" x14ac:dyDescent="0.3">
      <c r="A886" s="16">
        <v>915921720</v>
      </c>
      <c r="B886" s="16" t="s">
        <v>1042</v>
      </c>
      <c r="C886" s="16">
        <v>1</v>
      </c>
      <c r="D886" s="16" t="s">
        <v>697</v>
      </c>
      <c r="E886" s="19" t="s">
        <v>1123</v>
      </c>
      <c r="F886" s="89">
        <v>46213</v>
      </c>
      <c r="G886" s="90">
        <v>13</v>
      </c>
      <c r="H886" s="19" t="s">
        <v>212</v>
      </c>
      <c r="I886" s="19">
        <v>287</v>
      </c>
    </row>
    <row r="887" spans="1:9" x14ac:dyDescent="0.3">
      <c r="A887" s="16">
        <v>915921720</v>
      </c>
      <c r="B887" s="16" t="s">
        <v>1042</v>
      </c>
      <c r="C887" s="16">
        <v>1</v>
      </c>
      <c r="D887" s="16" t="s">
        <v>697</v>
      </c>
      <c r="E887" s="16" t="s">
        <v>50</v>
      </c>
      <c r="F887" s="89">
        <v>46213</v>
      </c>
      <c r="G887" s="90">
        <v>13</v>
      </c>
      <c r="H887" s="19" t="s">
        <v>212</v>
      </c>
      <c r="I887" s="19">
        <v>287</v>
      </c>
    </row>
    <row r="888" spans="1:9" x14ac:dyDescent="0.3">
      <c r="A888" s="16">
        <v>915921720</v>
      </c>
      <c r="B888" s="16" t="s">
        <v>1042</v>
      </c>
      <c r="C888" s="16">
        <v>1</v>
      </c>
      <c r="D888" s="16" t="s">
        <v>1087</v>
      </c>
      <c r="E888" s="16" t="s">
        <v>50</v>
      </c>
      <c r="F888" s="89">
        <v>46213</v>
      </c>
      <c r="G888" s="90">
        <v>12</v>
      </c>
      <c r="H888" s="19" t="s">
        <v>18</v>
      </c>
      <c r="I888" s="19">
        <v>439752</v>
      </c>
    </row>
    <row r="889" spans="1:9" x14ac:dyDescent="0.3">
      <c r="A889" s="16">
        <v>1717630113</v>
      </c>
      <c r="B889" s="16" t="s">
        <v>318</v>
      </c>
      <c r="C889" s="16">
        <v>1</v>
      </c>
      <c r="D889" s="16" t="s">
        <v>828</v>
      </c>
      <c r="E889" s="16" t="s">
        <v>50</v>
      </c>
      <c r="F889" s="89">
        <v>46213</v>
      </c>
      <c r="G889" s="90">
        <v>23</v>
      </c>
      <c r="H889" s="19" t="s">
        <v>18</v>
      </c>
      <c r="I889" s="19">
        <v>46906631</v>
      </c>
    </row>
    <row r="890" spans="1:9" x14ac:dyDescent="0.3">
      <c r="A890" s="16">
        <v>1700875436</v>
      </c>
      <c r="B890" s="16" t="s">
        <v>1170</v>
      </c>
      <c r="C890" s="16">
        <v>1</v>
      </c>
      <c r="D890" s="16" t="s">
        <v>739</v>
      </c>
      <c r="E890" s="19" t="s">
        <v>1123</v>
      </c>
      <c r="F890" s="89">
        <v>46213</v>
      </c>
      <c r="G890" s="90">
        <v>20</v>
      </c>
      <c r="H890" s="19" t="s">
        <v>18</v>
      </c>
      <c r="I890" s="19">
        <v>47267386</v>
      </c>
    </row>
    <row r="891" spans="1:9" x14ac:dyDescent="0.3">
      <c r="A891" s="16">
        <v>1723645212</v>
      </c>
      <c r="B891" s="16" t="s">
        <v>63</v>
      </c>
      <c r="C891" s="16">
        <v>1</v>
      </c>
      <c r="D891" s="16" t="s">
        <v>1088</v>
      </c>
      <c r="E891" s="19" t="s">
        <v>1123</v>
      </c>
      <c r="F891" s="89">
        <v>46213</v>
      </c>
      <c r="G891" s="90">
        <v>10</v>
      </c>
      <c r="H891" s="19" t="s">
        <v>212</v>
      </c>
      <c r="I891" s="19">
        <v>288</v>
      </c>
    </row>
    <row r="892" spans="1:9" x14ac:dyDescent="0.3">
      <c r="A892" s="16">
        <v>1707779961</v>
      </c>
      <c r="B892" s="16" t="s">
        <v>377</v>
      </c>
      <c r="C892" s="16">
        <v>1</v>
      </c>
      <c r="D892" s="16" t="s">
        <v>1089</v>
      </c>
      <c r="E892" s="16" t="s">
        <v>50</v>
      </c>
      <c r="F892" s="89">
        <v>46214</v>
      </c>
      <c r="G892" s="90">
        <f>10+12</f>
        <v>22</v>
      </c>
      <c r="H892" s="19" t="s">
        <v>18</v>
      </c>
      <c r="I892" s="19"/>
    </row>
    <row r="893" spans="1:9" x14ac:dyDescent="0.3">
      <c r="A893" s="16">
        <v>1714171715</v>
      </c>
      <c r="B893" s="16" t="s">
        <v>86</v>
      </c>
      <c r="C893" s="16">
        <v>1</v>
      </c>
      <c r="D893" s="16" t="s">
        <v>28</v>
      </c>
      <c r="E893" s="16" t="s">
        <v>50</v>
      </c>
      <c r="F893" s="89">
        <v>46214</v>
      </c>
      <c r="G893" s="90">
        <v>15</v>
      </c>
      <c r="H893" s="19" t="s">
        <v>18</v>
      </c>
      <c r="I893" s="19"/>
    </row>
    <row r="894" spans="1:9" x14ac:dyDescent="0.3">
      <c r="A894" s="16" t="s">
        <v>658</v>
      </c>
      <c r="B894" s="16" t="s">
        <v>1043</v>
      </c>
      <c r="C894" s="16">
        <v>1</v>
      </c>
      <c r="D894" s="16" t="s">
        <v>1090</v>
      </c>
      <c r="E894" s="16" t="s">
        <v>50</v>
      </c>
      <c r="F894" s="89">
        <v>46214</v>
      </c>
      <c r="G894" s="90">
        <v>2</v>
      </c>
      <c r="H894" s="19" t="s">
        <v>17</v>
      </c>
      <c r="I894" s="19"/>
    </row>
    <row r="895" spans="1:9" x14ac:dyDescent="0.3">
      <c r="A895" s="16">
        <v>1714735311</v>
      </c>
      <c r="B895" s="16" t="s">
        <v>391</v>
      </c>
      <c r="C895" s="16">
        <v>1</v>
      </c>
      <c r="D895" s="16" t="s">
        <v>133</v>
      </c>
      <c r="E895" s="16" t="s">
        <v>50</v>
      </c>
      <c r="F895" s="89">
        <v>46215</v>
      </c>
      <c r="G895" s="90">
        <v>20</v>
      </c>
      <c r="H895" s="19" t="s">
        <v>270</v>
      </c>
      <c r="I895" s="19"/>
    </row>
    <row r="896" spans="1:9" x14ac:dyDescent="0.3">
      <c r="A896" s="16">
        <v>1718764119</v>
      </c>
      <c r="B896" s="16" t="s">
        <v>1213</v>
      </c>
      <c r="C896" s="16">
        <v>1</v>
      </c>
      <c r="D896" s="16" t="s">
        <v>102</v>
      </c>
      <c r="E896" s="16" t="s">
        <v>50</v>
      </c>
      <c r="F896" s="89">
        <v>46215</v>
      </c>
      <c r="G896" s="90">
        <v>10</v>
      </c>
      <c r="H896" s="19" t="s">
        <v>17</v>
      </c>
      <c r="I896" s="19"/>
    </row>
    <row r="897" spans="1:9" x14ac:dyDescent="0.3">
      <c r="A897" s="16">
        <v>1721675153</v>
      </c>
      <c r="B897" s="16" t="s">
        <v>98</v>
      </c>
      <c r="C897" s="16">
        <v>1</v>
      </c>
      <c r="D897" s="16" t="s">
        <v>1091</v>
      </c>
      <c r="E897" s="16" t="s">
        <v>50</v>
      </c>
      <c r="F897" s="89">
        <v>46215</v>
      </c>
      <c r="G897" s="90">
        <v>15</v>
      </c>
      <c r="H897" s="19" t="s">
        <v>270</v>
      </c>
      <c r="I897" s="19"/>
    </row>
    <row r="898" spans="1:9" x14ac:dyDescent="0.3">
      <c r="A898" s="16" t="s">
        <v>658</v>
      </c>
      <c r="B898" s="16" t="s">
        <v>1044</v>
      </c>
      <c r="C898" s="16">
        <v>1</v>
      </c>
      <c r="D898" s="16" t="s">
        <v>28</v>
      </c>
      <c r="E898" s="16" t="s">
        <v>50</v>
      </c>
      <c r="F898" s="89">
        <v>46215</v>
      </c>
      <c r="G898" s="90">
        <v>15</v>
      </c>
      <c r="H898" s="19" t="s">
        <v>270</v>
      </c>
      <c r="I898" s="19"/>
    </row>
    <row r="899" spans="1:9" x14ac:dyDescent="0.3">
      <c r="A899" s="16">
        <v>1725206369</v>
      </c>
      <c r="B899" s="16" t="s">
        <v>1045</v>
      </c>
      <c r="C899" s="16">
        <v>1</v>
      </c>
      <c r="D899" s="16" t="s">
        <v>1176</v>
      </c>
      <c r="E899" s="16" t="s">
        <v>50</v>
      </c>
      <c r="F899" s="89">
        <v>46215</v>
      </c>
      <c r="G899" s="90">
        <f>20+25+10+10+28</f>
        <v>93</v>
      </c>
      <c r="H899" s="19" t="s">
        <v>270</v>
      </c>
      <c r="I899" s="19">
        <v>9352708</v>
      </c>
    </row>
    <row r="900" spans="1:9" x14ac:dyDescent="0.3">
      <c r="A900" s="16">
        <v>1712998218</v>
      </c>
      <c r="B900" s="16" t="s">
        <v>1187</v>
      </c>
      <c r="C900" s="16">
        <v>1</v>
      </c>
      <c r="D900" s="16" t="s">
        <v>28</v>
      </c>
      <c r="E900" s="16" t="s">
        <v>50</v>
      </c>
      <c r="F900" s="89">
        <v>46216</v>
      </c>
      <c r="G900" s="90">
        <v>15</v>
      </c>
      <c r="H900" s="19" t="s">
        <v>212</v>
      </c>
      <c r="I900" s="19">
        <v>290</v>
      </c>
    </row>
    <row r="901" spans="1:9" x14ac:dyDescent="0.3">
      <c r="A901" s="16">
        <v>1105019077</v>
      </c>
      <c r="B901" s="16" t="s">
        <v>1203</v>
      </c>
      <c r="C901" s="16">
        <v>1</v>
      </c>
      <c r="D901" s="16" t="s">
        <v>859</v>
      </c>
      <c r="E901" s="16" t="s">
        <v>50</v>
      </c>
      <c r="F901" s="89">
        <v>46216</v>
      </c>
      <c r="G901" s="90">
        <v>17</v>
      </c>
      <c r="H901" s="19" t="s">
        <v>212</v>
      </c>
      <c r="I901" s="19">
        <v>291</v>
      </c>
    </row>
    <row r="902" spans="1:9" x14ac:dyDescent="0.3">
      <c r="A902" s="16">
        <v>1753722759</v>
      </c>
      <c r="B902" s="16" t="s">
        <v>1046</v>
      </c>
      <c r="C902" s="16">
        <v>1</v>
      </c>
      <c r="D902" s="16" t="s">
        <v>28</v>
      </c>
      <c r="E902" s="16" t="s">
        <v>50</v>
      </c>
      <c r="F902" s="89">
        <v>46217</v>
      </c>
      <c r="G902" s="90">
        <v>15</v>
      </c>
      <c r="H902" s="19" t="s">
        <v>270</v>
      </c>
      <c r="I902" s="19">
        <v>59745372</v>
      </c>
    </row>
    <row r="903" spans="1:9" x14ac:dyDescent="0.3">
      <c r="A903" s="16">
        <v>1720733904</v>
      </c>
      <c r="B903" s="16" t="s">
        <v>1204</v>
      </c>
      <c r="C903" s="16">
        <v>1</v>
      </c>
      <c r="D903" s="16" t="s">
        <v>1092</v>
      </c>
      <c r="E903" s="16" t="s">
        <v>50</v>
      </c>
      <c r="F903" s="89">
        <v>46217</v>
      </c>
      <c r="G903" s="90">
        <v>26</v>
      </c>
      <c r="H903" s="19" t="s">
        <v>212</v>
      </c>
      <c r="I903" s="19">
        <v>293</v>
      </c>
    </row>
    <row r="904" spans="1:9" x14ac:dyDescent="0.3">
      <c r="A904" s="16">
        <v>1721674586</v>
      </c>
      <c r="B904" s="16" t="s">
        <v>1047</v>
      </c>
      <c r="C904" s="16">
        <v>1</v>
      </c>
      <c r="D904" s="16" t="s">
        <v>379</v>
      </c>
      <c r="E904" s="16" t="s">
        <v>50</v>
      </c>
      <c r="F904" s="89">
        <v>46218</v>
      </c>
      <c r="G904" s="90">
        <v>21</v>
      </c>
      <c r="H904" s="19" t="s">
        <v>270</v>
      </c>
      <c r="I904" s="19">
        <v>67667972</v>
      </c>
    </row>
    <row r="905" spans="1:9" x14ac:dyDescent="0.3">
      <c r="A905" s="16">
        <v>1725453078</v>
      </c>
      <c r="B905" s="16" t="s">
        <v>1048</v>
      </c>
      <c r="C905" s="16">
        <v>1</v>
      </c>
      <c r="D905" s="16" t="s">
        <v>28</v>
      </c>
      <c r="E905" s="16" t="s">
        <v>50</v>
      </c>
      <c r="F905" s="89">
        <v>46219</v>
      </c>
      <c r="G905" s="90">
        <v>15</v>
      </c>
      <c r="H905" s="19" t="s">
        <v>270</v>
      </c>
      <c r="I905" s="19">
        <v>41414539</v>
      </c>
    </row>
    <row r="906" spans="1:9" x14ac:dyDescent="0.3">
      <c r="A906" s="16">
        <v>604251843</v>
      </c>
      <c r="B906" s="16" t="s">
        <v>1049</v>
      </c>
      <c r="C906" s="16">
        <v>1</v>
      </c>
      <c r="D906" s="16" t="s">
        <v>699</v>
      </c>
      <c r="E906" s="16" t="s">
        <v>50</v>
      </c>
      <c r="F906" s="89">
        <v>46219</v>
      </c>
      <c r="G906" s="90">
        <v>22</v>
      </c>
      <c r="H906" s="19" t="s">
        <v>270</v>
      </c>
      <c r="I906" s="19"/>
    </row>
    <row r="907" spans="1:9" x14ac:dyDescent="0.3">
      <c r="A907" s="16">
        <v>1719104265</v>
      </c>
      <c r="B907" s="16" t="s">
        <v>1040</v>
      </c>
      <c r="C907" s="16">
        <v>1</v>
      </c>
      <c r="D907" s="16" t="s">
        <v>1093</v>
      </c>
      <c r="E907" s="16" t="s">
        <v>50</v>
      </c>
      <c r="F907" s="89">
        <v>46219</v>
      </c>
      <c r="G907" s="90">
        <v>6</v>
      </c>
      <c r="H907" s="19"/>
      <c r="I907" s="19"/>
    </row>
    <row r="908" spans="1:9" x14ac:dyDescent="0.3">
      <c r="A908" s="16">
        <v>603374026</v>
      </c>
      <c r="B908" s="16" t="s">
        <v>1050</v>
      </c>
      <c r="C908" s="16">
        <v>1</v>
      </c>
      <c r="D908" s="16" t="s">
        <v>1094</v>
      </c>
      <c r="E908" s="19" t="s">
        <v>1123</v>
      </c>
      <c r="F908" s="89">
        <v>46220</v>
      </c>
      <c r="G908" s="90">
        <v>30</v>
      </c>
      <c r="H908" s="19" t="s">
        <v>18</v>
      </c>
      <c r="I908" s="19">
        <v>33845389</v>
      </c>
    </row>
    <row r="909" spans="1:9" x14ac:dyDescent="0.3">
      <c r="A909" s="16">
        <v>603374026</v>
      </c>
      <c r="B909" s="16" t="s">
        <v>1050</v>
      </c>
      <c r="C909" s="16">
        <v>1</v>
      </c>
      <c r="D909" s="16" t="s">
        <v>1095</v>
      </c>
      <c r="E909" s="19" t="s">
        <v>1123</v>
      </c>
      <c r="F909" s="89">
        <v>46220</v>
      </c>
      <c r="G909" s="90">
        <v>25</v>
      </c>
      <c r="H909" s="19" t="s">
        <v>18</v>
      </c>
      <c r="I909" s="19">
        <v>33845389</v>
      </c>
    </row>
    <row r="910" spans="1:9" x14ac:dyDescent="0.3">
      <c r="A910" s="16" t="s">
        <v>658</v>
      </c>
      <c r="B910" s="16" t="s">
        <v>1051</v>
      </c>
      <c r="C910" s="16">
        <v>1</v>
      </c>
      <c r="D910" s="16" t="s">
        <v>739</v>
      </c>
      <c r="E910" s="19" t="s">
        <v>1123</v>
      </c>
      <c r="F910" s="89">
        <v>46220</v>
      </c>
      <c r="G910" s="90">
        <v>20</v>
      </c>
      <c r="H910" s="19" t="s">
        <v>212</v>
      </c>
      <c r="I910" s="19"/>
    </row>
    <row r="911" spans="1:9" x14ac:dyDescent="0.3">
      <c r="A911" s="16">
        <v>1716954423</v>
      </c>
      <c r="B911" s="16" t="s">
        <v>280</v>
      </c>
      <c r="C911" s="16">
        <v>1</v>
      </c>
      <c r="D911" s="16" t="s">
        <v>28</v>
      </c>
      <c r="E911" s="16" t="s">
        <v>50</v>
      </c>
      <c r="F911" s="89">
        <v>46220</v>
      </c>
      <c r="G911" s="90">
        <v>15</v>
      </c>
      <c r="H911" s="19" t="s">
        <v>270</v>
      </c>
      <c r="I911" s="19">
        <v>32533659</v>
      </c>
    </row>
    <row r="912" spans="1:9" x14ac:dyDescent="0.3">
      <c r="A912" s="16">
        <v>1716997018</v>
      </c>
      <c r="B912" s="16" t="s">
        <v>1190</v>
      </c>
      <c r="C912" s="16">
        <v>1</v>
      </c>
      <c r="D912" s="16" t="s">
        <v>6</v>
      </c>
      <c r="E912" s="19" t="s">
        <v>1123</v>
      </c>
      <c r="F912" s="89">
        <v>46220</v>
      </c>
      <c r="G912" s="90">
        <v>12</v>
      </c>
      <c r="H912" s="19" t="s">
        <v>270</v>
      </c>
      <c r="I912" s="19">
        <v>52605204</v>
      </c>
    </row>
    <row r="913" spans="1:9" x14ac:dyDescent="0.3">
      <c r="A913" s="16">
        <v>1716997018</v>
      </c>
      <c r="B913" s="16" t="s">
        <v>1190</v>
      </c>
      <c r="C913" s="16">
        <v>1</v>
      </c>
      <c r="D913" s="16" t="s">
        <v>739</v>
      </c>
      <c r="E913" s="16" t="s">
        <v>50</v>
      </c>
      <c r="F913" s="89">
        <v>46220</v>
      </c>
      <c r="G913" s="90">
        <v>20</v>
      </c>
      <c r="H913" s="19" t="s">
        <v>270</v>
      </c>
      <c r="I913" s="19">
        <v>52605204</v>
      </c>
    </row>
    <row r="914" spans="1:9" x14ac:dyDescent="0.3">
      <c r="A914" s="16">
        <v>1714644817</v>
      </c>
      <c r="B914" s="16" t="s">
        <v>1053</v>
      </c>
      <c r="C914" s="16">
        <v>1</v>
      </c>
      <c r="D914" s="16" t="s">
        <v>28</v>
      </c>
      <c r="E914" s="16" t="s">
        <v>103</v>
      </c>
      <c r="F914" s="89">
        <v>46220</v>
      </c>
      <c r="G914" s="90" t="s">
        <v>1121</v>
      </c>
      <c r="H914" s="19" t="s">
        <v>270</v>
      </c>
      <c r="I914" s="19">
        <v>170346203</v>
      </c>
    </row>
    <row r="915" spans="1:9" x14ac:dyDescent="0.3">
      <c r="A915" s="16">
        <v>603101049</v>
      </c>
      <c r="B915" s="16" t="s">
        <v>1054</v>
      </c>
      <c r="C915" s="16">
        <v>1</v>
      </c>
      <c r="D915" s="16" t="s">
        <v>28</v>
      </c>
      <c r="E915" s="19" t="s">
        <v>1123</v>
      </c>
      <c r="F915" s="89">
        <v>46220</v>
      </c>
      <c r="G915" s="90">
        <v>15</v>
      </c>
      <c r="H915" s="19" t="s">
        <v>270</v>
      </c>
      <c r="I915" s="19">
        <v>59011822</v>
      </c>
    </row>
    <row r="916" spans="1:9" x14ac:dyDescent="0.3">
      <c r="A916" s="16">
        <v>603101049</v>
      </c>
      <c r="B916" s="16" t="s">
        <v>1054</v>
      </c>
      <c r="C916" s="16">
        <v>1</v>
      </c>
      <c r="D916" s="16" t="s">
        <v>6</v>
      </c>
      <c r="E916" s="16" t="s">
        <v>50</v>
      </c>
      <c r="F916" s="89">
        <v>46220</v>
      </c>
      <c r="G916" s="90">
        <v>15</v>
      </c>
      <c r="H916" s="19" t="s">
        <v>270</v>
      </c>
      <c r="I916" s="19">
        <v>61648784</v>
      </c>
    </row>
    <row r="917" spans="1:9" x14ac:dyDescent="0.3">
      <c r="A917" s="16">
        <v>603101049</v>
      </c>
      <c r="B917" s="16" t="s">
        <v>1054</v>
      </c>
      <c r="C917" s="16">
        <v>1</v>
      </c>
      <c r="D917" s="16" t="s">
        <v>1097</v>
      </c>
      <c r="E917" s="19" t="s">
        <v>1123</v>
      </c>
      <c r="F917" s="89">
        <v>46220</v>
      </c>
      <c r="G917" s="90">
        <v>12</v>
      </c>
      <c r="H917" s="19" t="s">
        <v>270</v>
      </c>
      <c r="I917" s="19">
        <v>61648784</v>
      </c>
    </row>
    <row r="918" spans="1:9" x14ac:dyDescent="0.3">
      <c r="A918" s="16">
        <v>1708000698</v>
      </c>
      <c r="B918" s="16" t="s">
        <v>355</v>
      </c>
      <c r="C918" s="16">
        <v>1</v>
      </c>
      <c r="D918" s="16" t="s">
        <v>28</v>
      </c>
      <c r="E918" s="19" t="s">
        <v>1123</v>
      </c>
      <c r="F918" s="89">
        <v>46220</v>
      </c>
      <c r="G918" s="90">
        <v>1</v>
      </c>
      <c r="H918" s="19" t="s">
        <v>270</v>
      </c>
      <c r="I918" s="19">
        <v>63278760</v>
      </c>
    </row>
    <row r="919" spans="1:9" x14ac:dyDescent="0.3">
      <c r="A919" s="16">
        <v>1713441409</v>
      </c>
      <c r="B919" s="16" t="s">
        <v>179</v>
      </c>
      <c r="C919" s="16">
        <v>1</v>
      </c>
      <c r="D919" s="16" t="s">
        <v>6</v>
      </c>
      <c r="E919" s="16" t="s">
        <v>50</v>
      </c>
      <c r="F919" s="89">
        <v>46221</v>
      </c>
      <c r="G919" s="90">
        <v>15</v>
      </c>
      <c r="H919" s="19" t="s">
        <v>17</v>
      </c>
      <c r="I919" s="19"/>
    </row>
    <row r="920" spans="1:9" x14ac:dyDescent="0.3">
      <c r="A920" s="16">
        <v>1714063292</v>
      </c>
      <c r="B920" s="16" t="s">
        <v>29</v>
      </c>
      <c r="C920" s="16">
        <v>1</v>
      </c>
      <c r="D920" s="16" t="s">
        <v>1117</v>
      </c>
      <c r="E920" s="16" t="s">
        <v>50</v>
      </c>
      <c r="F920" s="89">
        <v>46221</v>
      </c>
      <c r="G920" s="90">
        <v>12</v>
      </c>
      <c r="H920" s="19" t="s">
        <v>270</v>
      </c>
      <c r="I920" s="19">
        <v>15712236</v>
      </c>
    </row>
    <row r="921" spans="1:9" x14ac:dyDescent="0.3">
      <c r="A921" s="16">
        <v>1723645212</v>
      </c>
      <c r="B921" s="16" t="s">
        <v>63</v>
      </c>
      <c r="C921" s="16">
        <v>1</v>
      </c>
      <c r="D921" s="16" t="s">
        <v>102</v>
      </c>
      <c r="E921" s="16" t="s">
        <v>50</v>
      </c>
      <c r="F921" s="89">
        <v>46221</v>
      </c>
      <c r="G921" s="90">
        <v>12</v>
      </c>
      <c r="H921" s="19" t="s">
        <v>17</v>
      </c>
      <c r="I921" s="19"/>
    </row>
    <row r="922" spans="1:9" x14ac:dyDescent="0.3">
      <c r="A922" s="16">
        <v>1714063292</v>
      </c>
      <c r="B922" s="16" t="s">
        <v>29</v>
      </c>
      <c r="C922" s="16">
        <v>1</v>
      </c>
      <c r="D922" s="16" t="s">
        <v>6</v>
      </c>
      <c r="E922" s="19" t="s">
        <v>1123</v>
      </c>
      <c r="F922" s="89">
        <v>46221</v>
      </c>
      <c r="G922" s="90">
        <v>10</v>
      </c>
      <c r="H922" s="19"/>
      <c r="I922" s="19"/>
    </row>
    <row r="923" spans="1:9" x14ac:dyDescent="0.3">
      <c r="A923" s="16" t="s">
        <v>658</v>
      </c>
      <c r="B923" s="16" t="s">
        <v>149</v>
      </c>
      <c r="C923" s="16">
        <v>1</v>
      </c>
      <c r="D923" s="16" t="s">
        <v>793</v>
      </c>
      <c r="E923" s="19" t="s">
        <v>1123</v>
      </c>
      <c r="F923" s="89">
        <v>46221</v>
      </c>
      <c r="G923" s="90">
        <v>10</v>
      </c>
      <c r="H923" s="19" t="s">
        <v>17</v>
      </c>
      <c r="I923" s="19"/>
    </row>
    <row r="924" spans="1:9" x14ac:dyDescent="0.3">
      <c r="A924" s="16" t="s">
        <v>658</v>
      </c>
      <c r="B924" s="16" t="s">
        <v>1055</v>
      </c>
      <c r="C924" s="16">
        <v>1</v>
      </c>
      <c r="D924" s="16" t="s">
        <v>102</v>
      </c>
      <c r="E924" s="16" t="s">
        <v>50</v>
      </c>
      <c r="F924" s="89">
        <v>46222</v>
      </c>
      <c r="G924" s="90">
        <v>15</v>
      </c>
      <c r="H924" s="19"/>
      <c r="I924" s="19"/>
    </row>
    <row r="925" spans="1:9" x14ac:dyDescent="0.3">
      <c r="A925" s="16">
        <v>1713738308</v>
      </c>
      <c r="B925" s="16" t="s">
        <v>1172</v>
      </c>
      <c r="C925" s="16">
        <v>1</v>
      </c>
      <c r="D925" s="16" t="s">
        <v>1098</v>
      </c>
      <c r="E925" s="16" t="s">
        <v>50</v>
      </c>
      <c r="F925" s="89">
        <v>46222</v>
      </c>
      <c r="G925" s="90">
        <v>10</v>
      </c>
      <c r="H925" s="19"/>
      <c r="I925" s="19"/>
    </row>
    <row r="926" spans="1:9" x14ac:dyDescent="0.3">
      <c r="A926" s="16">
        <v>1721946067</v>
      </c>
      <c r="B926" s="16" t="s">
        <v>31</v>
      </c>
      <c r="C926" s="16">
        <v>1</v>
      </c>
      <c r="D926" s="16" t="s">
        <v>28</v>
      </c>
      <c r="E926" s="16" t="s">
        <v>50</v>
      </c>
      <c r="F926" s="89">
        <v>46222</v>
      </c>
      <c r="G926" s="90">
        <v>22</v>
      </c>
      <c r="H926" s="19" t="s">
        <v>270</v>
      </c>
      <c r="I926" s="19">
        <v>81990608</v>
      </c>
    </row>
    <row r="927" spans="1:9" x14ac:dyDescent="0.3">
      <c r="A927" s="16">
        <v>1725206369</v>
      </c>
      <c r="B927" s="16" t="s">
        <v>1045</v>
      </c>
      <c r="C927" s="16">
        <v>1</v>
      </c>
      <c r="D927" s="16" t="s">
        <v>739</v>
      </c>
      <c r="E927" s="16" t="s">
        <v>50</v>
      </c>
      <c r="F927" s="89">
        <v>46222</v>
      </c>
      <c r="G927" s="90">
        <v>15</v>
      </c>
      <c r="H927" s="19" t="s">
        <v>17</v>
      </c>
      <c r="I927" s="19"/>
    </row>
    <row r="928" spans="1:9" x14ac:dyDescent="0.3">
      <c r="A928" s="16">
        <v>1715102925</v>
      </c>
      <c r="B928" s="16" t="s">
        <v>1056</v>
      </c>
      <c r="C928" s="16">
        <v>1</v>
      </c>
      <c r="D928" s="16" t="s">
        <v>1099</v>
      </c>
      <c r="E928" s="19" t="s">
        <v>1123</v>
      </c>
      <c r="F928" s="89">
        <v>46223</v>
      </c>
      <c r="G928" s="90">
        <v>20</v>
      </c>
      <c r="H928" s="19" t="s">
        <v>270</v>
      </c>
      <c r="I928" s="19">
        <v>158599929</v>
      </c>
    </row>
    <row r="929" spans="1:9" x14ac:dyDescent="0.3">
      <c r="A929" s="16">
        <v>1714644817</v>
      </c>
      <c r="B929" s="16" t="s">
        <v>1057</v>
      </c>
      <c r="C929" s="16">
        <v>1</v>
      </c>
      <c r="D929" s="16" t="s">
        <v>133</v>
      </c>
      <c r="E929" s="16" t="s">
        <v>50</v>
      </c>
      <c r="F929" s="89">
        <v>46223</v>
      </c>
      <c r="G929" s="90">
        <v>20</v>
      </c>
      <c r="H929" s="19" t="s">
        <v>212</v>
      </c>
      <c r="I929" s="19">
        <v>302</v>
      </c>
    </row>
    <row r="930" spans="1:9" x14ac:dyDescent="0.3">
      <c r="A930" s="16">
        <v>1715828305</v>
      </c>
      <c r="B930" s="16" t="s">
        <v>1058</v>
      </c>
      <c r="C930" s="16">
        <v>1</v>
      </c>
      <c r="D930" s="16" t="s">
        <v>1100</v>
      </c>
      <c r="E930" s="16" t="s">
        <v>50</v>
      </c>
      <c r="F930" s="89">
        <v>46224</v>
      </c>
      <c r="G930" s="90">
        <v>20</v>
      </c>
      <c r="H930" s="19" t="s">
        <v>212</v>
      </c>
      <c r="I930" s="19">
        <v>302</v>
      </c>
    </row>
    <row r="931" spans="1:9" x14ac:dyDescent="0.3">
      <c r="A931" s="16">
        <v>1715828305</v>
      </c>
      <c r="B931" s="16" t="s">
        <v>1058</v>
      </c>
      <c r="C931" s="16">
        <v>1</v>
      </c>
      <c r="D931" s="16" t="s">
        <v>1101</v>
      </c>
      <c r="E931" s="19" t="s">
        <v>687</v>
      </c>
      <c r="F931" s="89">
        <v>46224</v>
      </c>
      <c r="G931" s="90">
        <v>40</v>
      </c>
      <c r="H931" s="19" t="s">
        <v>270</v>
      </c>
      <c r="I931" s="19">
        <v>36323860</v>
      </c>
    </row>
    <row r="932" spans="1:9" x14ac:dyDescent="0.3">
      <c r="A932" s="16">
        <v>1715828305</v>
      </c>
      <c r="B932" s="16" t="s">
        <v>1058</v>
      </c>
      <c r="C932" s="16">
        <v>1</v>
      </c>
      <c r="D932" s="16" t="s">
        <v>1102</v>
      </c>
      <c r="E932" s="16" t="s">
        <v>50</v>
      </c>
      <c r="F932" s="89">
        <v>46224</v>
      </c>
      <c r="G932" s="90">
        <v>13</v>
      </c>
      <c r="H932" s="19" t="s">
        <v>270</v>
      </c>
      <c r="I932" s="19">
        <v>36323860</v>
      </c>
    </row>
    <row r="933" spans="1:9" x14ac:dyDescent="0.3">
      <c r="A933" s="16">
        <v>1715828305</v>
      </c>
      <c r="B933" s="16" t="s">
        <v>1058</v>
      </c>
      <c r="C933" s="16">
        <v>1</v>
      </c>
      <c r="D933" s="16" t="s">
        <v>1102</v>
      </c>
      <c r="E933" s="19" t="s">
        <v>1123</v>
      </c>
      <c r="F933" s="89">
        <v>46224</v>
      </c>
      <c r="G933" s="90">
        <v>12</v>
      </c>
      <c r="H933" s="19" t="s">
        <v>270</v>
      </c>
      <c r="I933" s="19">
        <v>36323860</v>
      </c>
    </row>
    <row r="934" spans="1:9" x14ac:dyDescent="0.3">
      <c r="A934" s="16">
        <v>1715814479</v>
      </c>
      <c r="B934" s="16" t="s">
        <v>1059</v>
      </c>
      <c r="C934" s="16">
        <v>1</v>
      </c>
      <c r="D934" s="16" t="s">
        <v>1103</v>
      </c>
      <c r="E934" s="19" t="s">
        <v>1123</v>
      </c>
      <c r="F934" s="89">
        <v>46224</v>
      </c>
      <c r="G934" s="90">
        <v>10</v>
      </c>
      <c r="H934" s="19" t="s">
        <v>270</v>
      </c>
      <c r="I934" s="19">
        <v>36323860</v>
      </c>
    </row>
    <row r="935" spans="1:9" x14ac:dyDescent="0.3">
      <c r="A935" s="16">
        <v>1715814479</v>
      </c>
      <c r="B935" s="16" t="s">
        <v>1059</v>
      </c>
      <c r="C935" s="16">
        <v>1</v>
      </c>
      <c r="D935" s="16" t="s">
        <v>1104</v>
      </c>
      <c r="E935" s="16" t="s">
        <v>50</v>
      </c>
      <c r="F935" s="89">
        <v>46224</v>
      </c>
      <c r="G935" s="90">
        <v>18</v>
      </c>
      <c r="H935" s="19" t="s">
        <v>270</v>
      </c>
      <c r="I935" s="19">
        <v>59334825</v>
      </c>
    </row>
    <row r="936" spans="1:9" x14ac:dyDescent="0.3">
      <c r="A936" s="16">
        <v>1715828305</v>
      </c>
      <c r="B936" s="16" t="s">
        <v>1058</v>
      </c>
      <c r="C936" s="16">
        <v>1</v>
      </c>
      <c r="D936" s="16" t="s">
        <v>1105</v>
      </c>
      <c r="E936" s="19" t="s">
        <v>1123</v>
      </c>
      <c r="F936" s="89">
        <v>46224</v>
      </c>
      <c r="G936" s="90">
        <v>20</v>
      </c>
      <c r="H936" s="19" t="s">
        <v>270</v>
      </c>
      <c r="I936" s="19">
        <v>59334825</v>
      </c>
    </row>
    <row r="937" spans="1:9" x14ac:dyDescent="0.3">
      <c r="A937" s="16">
        <v>1715828305</v>
      </c>
      <c r="B937" s="16" t="s">
        <v>1058</v>
      </c>
      <c r="C937" s="16">
        <v>1</v>
      </c>
      <c r="D937" s="16" t="s">
        <v>1106</v>
      </c>
      <c r="E937" s="16" t="s">
        <v>50</v>
      </c>
      <c r="F937" s="89">
        <v>46225</v>
      </c>
      <c r="G937" s="90">
        <v>39</v>
      </c>
      <c r="H937" s="19" t="s">
        <v>270</v>
      </c>
      <c r="I937" s="19">
        <v>45417058</v>
      </c>
    </row>
    <row r="938" spans="1:9" x14ac:dyDescent="0.3">
      <c r="A938" s="16">
        <v>1715828305</v>
      </c>
      <c r="B938" s="16" t="s">
        <v>1058</v>
      </c>
      <c r="C938" s="16">
        <v>1</v>
      </c>
      <c r="D938" s="16" t="s">
        <v>1107</v>
      </c>
      <c r="E938" s="19" t="s">
        <v>1123</v>
      </c>
      <c r="F938" s="89">
        <v>46225</v>
      </c>
      <c r="G938" s="90">
        <v>46</v>
      </c>
      <c r="H938" s="19" t="s">
        <v>270</v>
      </c>
      <c r="I938" s="19">
        <v>45417058</v>
      </c>
    </row>
    <row r="939" spans="1:9" x14ac:dyDescent="0.3">
      <c r="A939" s="16">
        <v>1715828305</v>
      </c>
      <c r="B939" s="16" t="s">
        <v>1058</v>
      </c>
      <c r="C939" s="16">
        <v>1</v>
      </c>
      <c r="D939" s="16" t="s">
        <v>1108</v>
      </c>
      <c r="E939" s="19" t="s">
        <v>294</v>
      </c>
      <c r="F939" s="89">
        <v>46225</v>
      </c>
      <c r="G939" s="90">
        <v>20</v>
      </c>
      <c r="H939" s="19" t="s">
        <v>270</v>
      </c>
      <c r="I939" s="19">
        <v>45417058</v>
      </c>
    </row>
    <row r="940" spans="1:9" x14ac:dyDescent="0.3">
      <c r="A940" s="16">
        <v>17645057</v>
      </c>
      <c r="B940" s="16" t="s">
        <v>1173</v>
      </c>
      <c r="C940" s="16">
        <v>1</v>
      </c>
      <c r="D940" s="16" t="s">
        <v>28</v>
      </c>
      <c r="E940" s="16" t="s">
        <v>152</v>
      </c>
      <c r="F940" s="89">
        <v>46225</v>
      </c>
      <c r="G940" s="90">
        <v>2.5</v>
      </c>
      <c r="H940" s="19" t="s">
        <v>270</v>
      </c>
      <c r="I940" s="19">
        <v>45417058</v>
      </c>
    </row>
    <row r="941" spans="1:9" x14ac:dyDescent="0.3">
      <c r="A941" s="16">
        <v>1725936643</v>
      </c>
      <c r="B941" s="16" t="s">
        <v>1060</v>
      </c>
      <c r="C941" s="16">
        <v>1</v>
      </c>
      <c r="D941" s="16" t="s">
        <v>719</v>
      </c>
      <c r="E941" s="19" t="s">
        <v>1123</v>
      </c>
      <c r="F941" s="89">
        <v>46225</v>
      </c>
      <c r="G941" s="90">
        <v>15</v>
      </c>
      <c r="H941" s="19" t="s">
        <v>270</v>
      </c>
      <c r="I941" s="19">
        <v>30171973</v>
      </c>
    </row>
    <row r="942" spans="1:9" x14ac:dyDescent="0.3">
      <c r="A942" s="16">
        <v>603374026</v>
      </c>
      <c r="B942" s="16" t="s">
        <v>1050</v>
      </c>
      <c r="C942" s="16">
        <v>1</v>
      </c>
      <c r="D942" s="16" t="s">
        <v>274</v>
      </c>
      <c r="E942" s="19" t="s">
        <v>294</v>
      </c>
      <c r="F942" s="89">
        <v>46226</v>
      </c>
      <c r="G942" s="90">
        <v>10</v>
      </c>
      <c r="H942" s="19" t="s">
        <v>212</v>
      </c>
      <c r="I942" s="19">
        <v>304</v>
      </c>
    </row>
    <row r="943" spans="1:9" x14ac:dyDescent="0.3">
      <c r="A943" s="16">
        <v>1716566540</v>
      </c>
      <c r="B943" s="16" t="s">
        <v>163</v>
      </c>
      <c r="C943" s="16">
        <v>1</v>
      </c>
      <c r="D943" s="16" t="s">
        <v>28</v>
      </c>
      <c r="E943" s="19" t="s">
        <v>1123</v>
      </c>
      <c r="F943" s="89">
        <v>46226</v>
      </c>
      <c r="G943" s="90">
        <v>5</v>
      </c>
      <c r="H943" s="19" t="s">
        <v>17</v>
      </c>
      <c r="I943" s="19"/>
    </row>
    <row r="944" spans="1:9" x14ac:dyDescent="0.3">
      <c r="A944" s="16">
        <v>1716566540</v>
      </c>
      <c r="B944" s="16" t="s">
        <v>163</v>
      </c>
      <c r="C944" s="16">
        <v>1</v>
      </c>
      <c r="D944" s="16" t="s">
        <v>133</v>
      </c>
      <c r="E944" s="19" t="s">
        <v>1123</v>
      </c>
      <c r="F944" s="89">
        <v>46226</v>
      </c>
      <c r="G944" s="90">
        <v>15</v>
      </c>
      <c r="H944" s="19" t="s">
        <v>270</v>
      </c>
      <c r="I944" s="19">
        <v>54103818</v>
      </c>
    </row>
    <row r="945" spans="1:9" x14ac:dyDescent="0.3">
      <c r="A945" s="16">
        <v>1758086027</v>
      </c>
      <c r="B945" s="16" t="s">
        <v>1189</v>
      </c>
      <c r="C945" s="16">
        <v>1</v>
      </c>
      <c r="D945" s="16" t="s">
        <v>6</v>
      </c>
      <c r="E945" s="16" t="s">
        <v>50</v>
      </c>
      <c r="F945" s="89">
        <v>46226</v>
      </c>
      <c r="G945" s="90">
        <v>20</v>
      </c>
      <c r="H945" s="19" t="s">
        <v>270</v>
      </c>
      <c r="I945" s="19">
        <v>54813004</v>
      </c>
    </row>
    <row r="946" spans="1:9" x14ac:dyDescent="0.3">
      <c r="A946" s="16">
        <v>1756905087</v>
      </c>
      <c r="B946" s="16" t="s">
        <v>1030</v>
      </c>
      <c r="C946" s="16">
        <v>1</v>
      </c>
      <c r="D946" s="16" t="s">
        <v>28</v>
      </c>
      <c r="E946" s="19" t="s">
        <v>1123</v>
      </c>
      <c r="F946" s="89">
        <v>46227</v>
      </c>
      <c r="G946" s="90">
        <v>12</v>
      </c>
      <c r="H946" s="19" t="s">
        <v>270</v>
      </c>
      <c r="I946" s="19">
        <v>23973520</v>
      </c>
    </row>
    <row r="947" spans="1:9" x14ac:dyDescent="0.3">
      <c r="A947" s="16">
        <v>502338817</v>
      </c>
      <c r="B947" s="16" t="s">
        <v>1062</v>
      </c>
      <c r="C947" s="16">
        <v>1</v>
      </c>
      <c r="D947" s="16" t="s">
        <v>28</v>
      </c>
      <c r="E947" s="16" t="s">
        <v>50</v>
      </c>
      <c r="F947" s="89">
        <v>46227</v>
      </c>
      <c r="G947" s="90">
        <v>15</v>
      </c>
      <c r="H947" s="19" t="s">
        <v>270</v>
      </c>
      <c r="I947" s="19">
        <v>24470412</v>
      </c>
    </row>
    <row r="948" spans="1:9" x14ac:dyDescent="0.3">
      <c r="A948" s="16">
        <v>502338817</v>
      </c>
      <c r="B948" s="16" t="s">
        <v>1062</v>
      </c>
      <c r="C948" s="16">
        <v>1</v>
      </c>
      <c r="D948" s="16" t="s">
        <v>28</v>
      </c>
      <c r="E948" s="19" t="s">
        <v>1123</v>
      </c>
      <c r="F948" s="89">
        <v>46227</v>
      </c>
      <c r="G948" s="90">
        <v>7.5</v>
      </c>
      <c r="H948" s="19" t="s">
        <v>17</v>
      </c>
      <c r="I948" s="19"/>
    </row>
    <row r="949" spans="1:9" x14ac:dyDescent="0.3">
      <c r="A949" s="16" t="s">
        <v>658</v>
      </c>
      <c r="B949" s="16" t="s">
        <v>1174</v>
      </c>
      <c r="C949" s="16">
        <v>1</v>
      </c>
      <c r="D949" s="16" t="s">
        <v>1109</v>
      </c>
      <c r="E949" s="16" t="s">
        <v>50</v>
      </c>
      <c r="F949" s="89">
        <v>46227</v>
      </c>
      <c r="G949" s="90">
        <v>15</v>
      </c>
      <c r="H949" s="19" t="s">
        <v>17</v>
      </c>
      <c r="I949" s="19"/>
    </row>
    <row r="950" spans="1:9" x14ac:dyDescent="0.3">
      <c r="A950" s="16">
        <v>1753632828</v>
      </c>
      <c r="B950" s="16" t="s">
        <v>267</v>
      </c>
      <c r="C950" s="16">
        <v>1</v>
      </c>
      <c r="D950" s="16" t="s">
        <v>52</v>
      </c>
      <c r="E950" s="16" t="s">
        <v>152</v>
      </c>
      <c r="F950" s="89">
        <v>46227</v>
      </c>
      <c r="G950" s="90">
        <v>2.5</v>
      </c>
      <c r="H950" s="19" t="s">
        <v>18</v>
      </c>
      <c r="I950" s="19">
        <v>41377320</v>
      </c>
    </row>
    <row r="951" spans="1:9" x14ac:dyDescent="0.3">
      <c r="A951" s="16">
        <v>1717255382</v>
      </c>
      <c r="B951" s="16" t="s">
        <v>1063</v>
      </c>
      <c r="C951" s="16">
        <v>1</v>
      </c>
      <c r="D951" s="16" t="s">
        <v>1177</v>
      </c>
      <c r="E951" s="16" t="s">
        <v>50</v>
      </c>
      <c r="F951" s="89">
        <v>46227</v>
      </c>
      <c r="G951" s="90">
        <v>17</v>
      </c>
      <c r="H951" s="19" t="s">
        <v>270</v>
      </c>
      <c r="I951" s="19">
        <v>47048113</v>
      </c>
    </row>
    <row r="952" spans="1:9" x14ac:dyDescent="0.3">
      <c r="A952" s="16">
        <v>1721182903</v>
      </c>
      <c r="B952" s="16" t="s">
        <v>95</v>
      </c>
      <c r="C952" s="16">
        <v>1</v>
      </c>
      <c r="D952" s="16" t="s">
        <v>1110</v>
      </c>
      <c r="E952" s="19" t="s">
        <v>1123</v>
      </c>
      <c r="F952" s="89">
        <v>46227</v>
      </c>
      <c r="G952" s="90">
        <v>8</v>
      </c>
      <c r="H952" s="19" t="s">
        <v>270</v>
      </c>
      <c r="I952" s="19">
        <v>54450263</v>
      </c>
    </row>
    <row r="953" spans="1:9" x14ac:dyDescent="0.3">
      <c r="A953" s="16">
        <v>1750946731</v>
      </c>
      <c r="B953" s="16" t="s">
        <v>1064</v>
      </c>
      <c r="C953" s="16">
        <v>1</v>
      </c>
      <c r="D953" s="16" t="s">
        <v>28</v>
      </c>
      <c r="E953" s="16" t="s">
        <v>50</v>
      </c>
      <c r="F953" s="89">
        <v>46228</v>
      </c>
      <c r="G953" s="90">
        <v>22</v>
      </c>
      <c r="H953" s="19"/>
      <c r="I953" s="19"/>
    </row>
    <row r="954" spans="1:9" x14ac:dyDescent="0.3">
      <c r="A954" s="16">
        <v>1709047482</v>
      </c>
      <c r="B954" s="16" t="s">
        <v>378</v>
      </c>
      <c r="C954" s="16">
        <v>1</v>
      </c>
      <c r="D954" s="16" t="s">
        <v>739</v>
      </c>
      <c r="E954" s="16" t="s">
        <v>50</v>
      </c>
      <c r="F954" s="89">
        <v>46228</v>
      </c>
      <c r="G954" s="90">
        <v>15</v>
      </c>
      <c r="H954" s="19" t="s">
        <v>270</v>
      </c>
      <c r="I954" s="19">
        <v>54450263</v>
      </c>
    </row>
    <row r="955" spans="1:9" x14ac:dyDescent="0.3">
      <c r="A955" s="16">
        <v>1709047482</v>
      </c>
      <c r="B955" s="16" t="s">
        <v>378</v>
      </c>
      <c r="C955" s="16">
        <v>1</v>
      </c>
      <c r="D955" s="16" t="s">
        <v>6</v>
      </c>
      <c r="E955" s="19" t="s">
        <v>1123</v>
      </c>
      <c r="F955" s="89">
        <v>46229</v>
      </c>
      <c r="G955" s="90">
        <v>20</v>
      </c>
      <c r="H955" s="19"/>
      <c r="I955" s="19"/>
    </row>
    <row r="956" spans="1:9" x14ac:dyDescent="0.3">
      <c r="A956" s="16" t="s">
        <v>658</v>
      </c>
      <c r="B956" s="16" t="s">
        <v>1222</v>
      </c>
      <c r="C956" s="16">
        <v>1</v>
      </c>
      <c r="D956" s="16" t="s">
        <v>52</v>
      </c>
      <c r="E956" s="16" t="s">
        <v>50</v>
      </c>
      <c r="F956" s="89">
        <v>46229</v>
      </c>
      <c r="G956" s="90">
        <v>12</v>
      </c>
      <c r="H956" s="19"/>
      <c r="I956" s="19"/>
    </row>
    <row r="957" spans="1:9" x14ac:dyDescent="0.3">
      <c r="A957" s="16">
        <v>1721946067</v>
      </c>
      <c r="B957" s="16" t="s">
        <v>83</v>
      </c>
      <c r="C957" s="16">
        <v>1</v>
      </c>
      <c r="D957" s="16" t="s">
        <v>706</v>
      </c>
      <c r="E957" s="19" t="s">
        <v>1123</v>
      </c>
      <c r="F957" s="89">
        <v>46229</v>
      </c>
      <c r="G957" s="90">
        <v>17</v>
      </c>
      <c r="H957" s="19"/>
      <c r="I957" s="19"/>
    </row>
    <row r="958" spans="1:9" x14ac:dyDescent="0.3">
      <c r="A958" s="16">
        <v>1721946067</v>
      </c>
      <c r="B958" s="16" t="s">
        <v>83</v>
      </c>
      <c r="C958" s="16">
        <v>1</v>
      </c>
      <c r="D958" s="16" t="s">
        <v>102</v>
      </c>
      <c r="E958" s="16" t="s">
        <v>50</v>
      </c>
      <c r="F958" s="89">
        <v>46229</v>
      </c>
      <c r="G958" s="90">
        <v>5</v>
      </c>
      <c r="H958" s="19" t="s">
        <v>17</v>
      </c>
      <c r="I958" s="19"/>
    </row>
    <row r="959" spans="1:9" x14ac:dyDescent="0.3">
      <c r="A959" s="16">
        <v>1716971575</v>
      </c>
      <c r="B959" s="16" t="s">
        <v>381</v>
      </c>
      <c r="C959" s="16">
        <v>1</v>
      </c>
      <c r="D959" s="16" t="s">
        <v>1178</v>
      </c>
      <c r="E959" s="16" t="s">
        <v>50</v>
      </c>
      <c r="F959" s="89">
        <v>46229</v>
      </c>
      <c r="G959" s="90">
        <v>10</v>
      </c>
      <c r="H959" s="19" t="s">
        <v>17</v>
      </c>
      <c r="I959" s="19"/>
    </row>
    <row r="960" spans="1:9" x14ac:dyDescent="0.3">
      <c r="A960" s="16">
        <v>1716971575</v>
      </c>
      <c r="B960" s="16" t="s">
        <v>381</v>
      </c>
      <c r="C960" s="16">
        <v>1</v>
      </c>
      <c r="D960" s="16" t="s">
        <v>1111</v>
      </c>
      <c r="E960" s="16" t="s">
        <v>50</v>
      </c>
      <c r="F960" s="89">
        <v>46229</v>
      </c>
      <c r="G960" s="90">
        <v>27</v>
      </c>
      <c r="H960" s="19"/>
      <c r="I960" s="19"/>
    </row>
    <row r="961" spans="1:9" x14ac:dyDescent="0.3">
      <c r="A961" s="16">
        <v>1718740796</v>
      </c>
      <c r="B961" s="16" t="s">
        <v>317</v>
      </c>
      <c r="C961" s="16">
        <v>1</v>
      </c>
      <c r="D961" s="16" t="s">
        <v>28</v>
      </c>
      <c r="E961" s="16" t="s">
        <v>103</v>
      </c>
      <c r="F961" s="89">
        <v>46229</v>
      </c>
      <c r="G961" s="90">
        <v>8.5</v>
      </c>
      <c r="H961" s="19"/>
      <c r="I961" s="19"/>
    </row>
    <row r="962" spans="1:9" x14ac:dyDescent="0.3">
      <c r="A962" s="16">
        <v>1718740796</v>
      </c>
      <c r="B962" s="16" t="s">
        <v>317</v>
      </c>
      <c r="C962" s="16">
        <v>1</v>
      </c>
      <c r="D962" s="16" t="s">
        <v>28</v>
      </c>
      <c r="E962" s="19" t="s">
        <v>294</v>
      </c>
      <c r="F962" s="89">
        <v>46230</v>
      </c>
      <c r="G962" s="90">
        <v>15</v>
      </c>
      <c r="H962" s="19" t="s">
        <v>270</v>
      </c>
      <c r="I962" s="19">
        <v>175501660</v>
      </c>
    </row>
    <row r="963" spans="1:9" x14ac:dyDescent="0.3">
      <c r="A963" s="16">
        <v>802153023</v>
      </c>
      <c r="B963" s="16" t="s">
        <v>288</v>
      </c>
      <c r="C963" s="16">
        <v>1</v>
      </c>
      <c r="D963" s="16" t="s">
        <v>739</v>
      </c>
      <c r="E963" s="16" t="s">
        <v>50</v>
      </c>
      <c r="F963" s="89">
        <v>46230</v>
      </c>
      <c r="G963" s="90">
        <v>15</v>
      </c>
      <c r="H963" s="19" t="s">
        <v>270</v>
      </c>
      <c r="I963" s="19">
        <v>175501660</v>
      </c>
    </row>
    <row r="964" spans="1:9" x14ac:dyDescent="0.3">
      <c r="A964" s="16">
        <v>1721979662</v>
      </c>
      <c r="B964" s="16" t="s">
        <v>1065</v>
      </c>
      <c r="C964" s="16">
        <v>1</v>
      </c>
      <c r="D964" s="16" t="s">
        <v>28</v>
      </c>
      <c r="E964" s="19" t="s">
        <v>1123</v>
      </c>
      <c r="F964" s="89">
        <v>46230</v>
      </c>
      <c r="G964" s="90">
        <v>20</v>
      </c>
      <c r="H964" s="19" t="s">
        <v>212</v>
      </c>
      <c r="I964" s="19">
        <v>310</v>
      </c>
    </row>
    <row r="965" spans="1:9" x14ac:dyDescent="0.3">
      <c r="A965" s="16">
        <v>1718758343</v>
      </c>
      <c r="B965" s="16" t="s">
        <v>1066</v>
      </c>
      <c r="C965" s="16">
        <v>1</v>
      </c>
      <c r="D965" s="16" t="s">
        <v>1112</v>
      </c>
      <c r="E965" s="16" t="s">
        <v>50</v>
      </c>
      <c r="F965" s="89">
        <v>46230</v>
      </c>
      <c r="G965" s="90">
        <v>15</v>
      </c>
      <c r="H965" s="19" t="s">
        <v>212</v>
      </c>
      <c r="I965" s="19">
        <v>312</v>
      </c>
    </row>
    <row r="966" spans="1:9" x14ac:dyDescent="0.3">
      <c r="A966" s="16" t="s">
        <v>658</v>
      </c>
      <c r="B966" s="16" t="s">
        <v>1067</v>
      </c>
      <c r="C966" s="16">
        <v>1</v>
      </c>
      <c r="D966" s="16" t="s">
        <v>1113</v>
      </c>
      <c r="E966" s="19" t="s">
        <v>1123</v>
      </c>
      <c r="F966" s="89">
        <v>46230</v>
      </c>
      <c r="G966" s="90">
        <v>4</v>
      </c>
      <c r="H966" s="19" t="s">
        <v>270</v>
      </c>
      <c r="I966" s="19">
        <v>173995100</v>
      </c>
    </row>
    <row r="967" spans="1:9" x14ac:dyDescent="0.3">
      <c r="A967" s="16">
        <v>1714635560</v>
      </c>
      <c r="B967" s="16" t="s">
        <v>1068</v>
      </c>
      <c r="C967" s="16">
        <v>1</v>
      </c>
      <c r="D967" s="16" t="s">
        <v>1114</v>
      </c>
      <c r="E967" s="16" t="s">
        <v>152</v>
      </c>
      <c r="F967" s="89">
        <v>46230</v>
      </c>
      <c r="G967" s="90">
        <v>35</v>
      </c>
      <c r="H967" s="19" t="s">
        <v>18</v>
      </c>
      <c r="I967" s="19">
        <v>72775600</v>
      </c>
    </row>
    <row r="968" spans="1:9" x14ac:dyDescent="0.3">
      <c r="A968" s="16">
        <v>1714635560</v>
      </c>
      <c r="B968" s="16" t="s">
        <v>1068</v>
      </c>
      <c r="C968" s="16">
        <v>1</v>
      </c>
      <c r="D968" s="16" t="s">
        <v>1115</v>
      </c>
      <c r="E968" s="19" t="s">
        <v>1123</v>
      </c>
      <c r="F968" s="89">
        <v>46231</v>
      </c>
      <c r="G968" s="90">
        <v>2</v>
      </c>
      <c r="H968" s="19"/>
      <c r="I968" s="19"/>
    </row>
    <row r="969" spans="1:9" x14ac:dyDescent="0.3">
      <c r="A969" s="16">
        <v>1725936643</v>
      </c>
      <c r="B969" s="16" t="s">
        <v>1060</v>
      </c>
      <c r="C969" s="16">
        <v>1</v>
      </c>
      <c r="D969" s="16" t="s">
        <v>6</v>
      </c>
      <c r="E969" s="19" t="s">
        <v>1123</v>
      </c>
      <c r="F969" s="89">
        <v>46232</v>
      </c>
      <c r="G969" s="90">
        <v>4</v>
      </c>
      <c r="H969" s="19" t="s">
        <v>270</v>
      </c>
      <c r="I969" s="19">
        <v>23124926</v>
      </c>
    </row>
    <row r="970" spans="1:9" x14ac:dyDescent="0.3">
      <c r="A970" s="16">
        <v>1721903381</v>
      </c>
      <c r="B970" s="16" t="s">
        <v>1069</v>
      </c>
      <c r="C970" s="16">
        <v>1</v>
      </c>
      <c r="D970" s="16" t="s">
        <v>6</v>
      </c>
      <c r="E970" s="19" t="s">
        <v>294</v>
      </c>
      <c r="F970" s="89">
        <v>46232</v>
      </c>
      <c r="G970" s="90">
        <v>3</v>
      </c>
      <c r="H970" s="19" t="s">
        <v>270</v>
      </c>
      <c r="I970" s="19">
        <v>23124926</v>
      </c>
    </row>
    <row r="971" spans="1:9" x14ac:dyDescent="0.3">
      <c r="A971" s="16">
        <v>1721903381</v>
      </c>
      <c r="B971" s="16" t="s">
        <v>1069</v>
      </c>
      <c r="C971" s="16">
        <v>1</v>
      </c>
      <c r="D971" s="16" t="s">
        <v>102</v>
      </c>
      <c r="E971" s="16" t="s">
        <v>50</v>
      </c>
      <c r="F971" s="89">
        <v>46232</v>
      </c>
      <c r="G971" s="90">
        <v>12</v>
      </c>
      <c r="H971" s="19"/>
      <c r="I971" s="19"/>
    </row>
    <row r="972" spans="1:9" x14ac:dyDescent="0.3">
      <c r="A972" s="16">
        <v>1724821119</v>
      </c>
      <c r="B972" s="16" t="s">
        <v>1070</v>
      </c>
      <c r="C972" s="16">
        <v>1</v>
      </c>
      <c r="D972" s="16" t="s">
        <v>1116</v>
      </c>
      <c r="E972" s="19" t="s">
        <v>1123</v>
      </c>
      <c r="F972" s="89">
        <v>46232</v>
      </c>
      <c r="G972" s="90">
        <v>12</v>
      </c>
      <c r="H972" s="19" t="s">
        <v>270</v>
      </c>
      <c r="I972" s="19">
        <v>50587045</v>
      </c>
    </row>
    <row r="973" spans="1:9" x14ac:dyDescent="0.3">
      <c r="A973" s="16">
        <v>1722229901</v>
      </c>
      <c r="B973" s="16" t="s">
        <v>1034</v>
      </c>
      <c r="C973" s="16">
        <v>1</v>
      </c>
      <c r="D973" s="16" t="s">
        <v>102</v>
      </c>
      <c r="E973" s="19" t="s">
        <v>294</v>
      </c>
      <c r="F973" s="89">
        <v>46232</v>
      </c>
      <c r="G973" s="90">
        <v>10</v>
      </c>
      <c r="H973" s="19" t="s">
        <v>270</v>
      </c>
      <c r="I973" s="19">
        <v>50587045</v>
      </c>
    </row>
    <row r="974" spans="1:9" x14ac:dyDescent="0.3">
      <c r="A974" s="16" t="s">
        <v>658</v>
      </c>
      <c r="B974" s="16" t="s">
        <v>1071</v>
      </c>
      <c r="C974" s="16">
        <v>1</v>
      </c>
      <c r="D974" s="16" t="s">
        <v>1177</v>
      </c>
      <c r="E974" s="19" t="s">
        <v>1123</v>
      </c>
      <c r="F974" s="89">
        <v>46232</v>
      </c>
      <c r="G974" s="90">
        <v>22</v>
      </c>
      <c r="H974" s="19" t="s">
        <v>270</v>
      </c>
      <c r="I974" s="19">
        <v>61642434</v>
      </c>
    </row>
    <row r="975" spans="1:9" x14ac:dyDescent="0.3">
      <c r="A975" s="16">
        <v>1713758308</v>
      </c>
      <c r="B975" s="16" t="s">
        <v>1072</v>
      </c>
      <c r="C975" s="16">
        <v>1</v>
      </c>
      <c r="D975" s="16" t="s">
        <v>102</v>
      </c>
      <c r="E975" s="16" t="s">
        <v>50</v>
      </c>
      <c r="F975" s="89">
        <v>46233</v>
      </c>
      <c r="G975" s="90">
        <v>10</v>
      </c>
      <c r="H975" s="19" t="s">
        <v>212</v>
      </c>
      <c r="I975" s="19">
        <v>315</v>
      </c>
    </row>
    <row r="976" spans="1:9" x14ac:dyDescent="0.3">
      <c r="A976" s="16">
        <v>1713758308</v>
      </c>
      <c r="B976" s="16" t="s">
        <v>1072</v>
      </c>
      <c r="C976" s="16">
        <v>1</v>
      </c>
      <c r="D976" s="16" t="s">
        <v>1006</v>
      </c>
      <c r="E976" s="19" t="s">
        <v>1123</v>
      </c>
      <c r="F976" s="89">
        <v>46233</v>
      </c>
      <c r="G976" s="90">
        <v>8</v>
      </c>
      <c r="H976" s="19"/>
      <c r="I976" s="19"/>
    </row>
    <row r="977" spans="1:9" x14ac:dyDescent="0.3">
      <c r="A977" s="16">
        <v>1726528696</v>
      </c>
      <c r="B977" s="16" t="s">
        <v>1191</v>
      </c>
      <c r="C977" s="16">
        <v>1</v>
      </c>
      <c r="D977" s="16" t="s">
        <v>1004</v>
      </c>
      <c r="E977" s="16" t="s">
        <v>50</v>
      </c>
      <c r="F977" s="89">
        <v>46234</v>
      </c>
      <c r="G977" s="90">
        <v>10</v>
      </c>
      <c r="H977" s="19" t="s">
        <v>212</v>
      </c>
      <c r="I977" s="19">
        <v>318</v>
      </c>
    </row>
    <row r="978" spans="1:9" x14ac:dyDescent="0.3">
      <c r="A978" s="16">
        <v>1726528696</v>
      </c>
      <c r="B978" s="16" t="s">
        <v>1191</v>
      </c>
      <c r="C978" s="16">
        <v>1</v>
      </c>
      <c r="D978" s="16" t="s">
        <v>1117</v>
      </c>
      <c r="E978" s="19" t="s">
        <v>294</v>
      </c>
      <c r="F978" s="89">
        <v>46234</v>
      </c>
      <c r="G978" s="90">
        <v>15</v>
      </c>
      <c r="H978" s="19" t="s">
        <v>212</v>
      </c>
      <c r="I978" s="19">
        <v>318</v>
      </c>
    </row>
    <row r="979" spans="1:9" x14ac:dyDescent="0.3">
      <c r="A979" s="16">
        <v>1722211792</v>
      </c>
      <c r="B979" s="16" t="s">
        <v>255</v>
      </c>
      <c r="C979" s="16">
        <v>1</v>
      </c>
      <c r="D979" s="16" t="s">
        <v>6</v>
      </c>
      <c r="E979" s="19" t="s">
        <v>294</v>
      </c>
      <c r="F979" s="89">
        <v>46234</v>
      </c>
      <c r="G979" s="90">
        <v>25</v>
      </c>
      <c r="H979" s="19" t="s">
        <v>270</v>
      </c>
      <c r="I979" s="19">
        <v>31494296</v>
      </c>
    </row>
    <row r="980" spans="1:9" x14ac:dyDescent="0.3">
      <c r="A980" s="16">
        <v>1722211792</v>
      </c>
      <c r="B980" s="16" t="s">
        <v>255</v>
      </c>
      <c r="C980" s="16">
        <v>1</v>
      </c>
      <c r="D980" s="16" t="s">
        <v>28</v>
      </c>
      <c r="E980" s="16" t="s">
        <v>50</v>
      </c>
      <c r="F980" s="89">
        <v>46234</v>
      </c>
      <c r="G980" s="90">
        <v>12</v>
      </c>
      <c r="H980" s="19" t="s">
        <v>270</v>
      </c>
      <c r="I980" s="19">
        <v>31494296</v>
      </c>
    </row>
    <row r="981" spans="1:9" x14ac:dyDescent="0.3">
      <c r="A981" s="16">
        <v>1719430991</v>
      </c>
      <c r="B981" s="16" t="s">
        <v>289</v>
      </c>
      <c r="C981" s="16">
        <v>1</v>
      </c>
      <c r="D981" s="16" t="s">
        <v>102</v>
      </c>
      <c r="E981" s="19" t="s">
        <v>1123</v>
      </c>
      <c r="F981" s="89">
        <v>46234</v>
      </c>
      <c r="G981" s="90">
        <v>12</v>
      </c>
      <c r="H981" s="19" t="s">
        <v>212</v>
      </c>
      <c r="I981" s="19">
        <v>319</v>
      </c>
    </row>
    <row r="982" spans="1:9" x14ac:dyDescent="0.3">
      <c r="A982" s="16">
        <v>1704815479</v>
      </c>
      <c r="B982" s="16" t="s">
        <v>1074</v>
      </c>
      <c r="C982" s="16">
        <v>1</v>
      </c>
      <c r="D982" s="16" t="s">
        <v>102</v>
      </c>
      <c r="E982" s="19" t="s">
        <v>294</v>
      </c>
      <c r="F982" s="89">
        <v>46234</v>
      </c>
      <c r="G982" s="90">
        <v>15</v>
      </c>
      <c r="H982" s="19" t="s">
        <v>212</v>
      </c>
      <c r="I982" s="19">
        <v>319</v>
      </c>
    </row>
    <row r="983" spans="1:9" x14ac:dyDescent="0.3">
      <c r="A983" s="16">
        <v>1704815479</v>
      </c>
      <c r="B983" s="16" t="s">
        <v>1074</v>
      </c>
      <c r="C983" s="16">
        <v>1</v>
      </c>
      <c r="D983" s="16" t="s">
        <v>1118</v>
      </c>
      <c r="E983" s="16" t="s">
        <v>50</v>
      </c>
      <c r="F983" s="89">
        <v>46234</v>
      </c>
      <c r="G983" s="90">
        <v>10</v>
      </c>
      <c r="H983" s="19" t="s">
        <v>270</v>
      </c>
      <c r="I983" s="19">
        <v>52740258</v>
      </c>
    </row>
    <row r="984" spans="1:9" x14ac:dyDescent="0.3">
      <c r="A984" s="16">
        <v>1721921136</v>
      </c>
      <c r="B984" s="16" t="s">
        <v>1075</v>
      </c>
      <c r="C984" s="16">
        <v>1</v>
      </c>
      <c r="D984" s="16" t="s">
        <v>739</v>
      </c>
      <c r="E984" s="16" t="s">
        <v>50</v>
      </c>
      <c r="F984" s="89">
        <v>46234</v>
      </c>
      <c r="G984" s="90">
        <v>10</v>
      </c>
      <c r="H984" s="19" t="s">
        <v>212</v>
      </c>
      <c r="I984" s="19">
        <v>320</v>
      </c>
    </row>
    <row r="985" spans="1:9" x14ac:dyDescent="0.3">
      <c r="A985" s="16">
        <v>1721921136</v>
      </c>
      <c r="B985" s="16" t="s">
        <v>1075</v>
      </c>
      <c r="C985" s="16">
        <v>1</v>
      </c>
      <c r="D985" s="16" t="s">
        <v>1119</v>
      </c>
      <c r="E985" s="19" t="s">
        <v>1123</v>
      </c>
      <c r="F985" s="89">
        <v>46234</v>
      </c>
      <c r="G985" s="90">
        <v>5</v>
      </c>
      <c r="H985" s="19" t="s">
        <v>212</v>
      </c>
      <c r="I985" s="19">
        <v>320</v>
      </c>
    </row>
    <row r="986" spans="1:9" x14ac:dyDescent="0.3">
      <c r="A986" s="16">
        <v>1714063292</v>
      </c>
      <c r="B986" s="16" t="s">
        <v>29</v>
      </c>
      <c r="C986" s="16">
        <v>1</v>
      </c>
      <c r="D986" s="16" t="s">
        <v>1120</v>
      </c>
      <c r="E986" s="19" t="s">
        <v>1123</v>
      </c>
      <c r="F986" s="89">
        <v>46234</v>
      </c>
      <c r="G986" s="90">
        <v>20</v>
      </c>
      <c r="H986" s="19" t="s">
        <v>270</v>
      </c>
      <c r="I986" s="19">
        <v>71885967</v>
      </c>
    </row>
    <row r="987" spans="1:9" x14ac:dyDescent="0.3">
      <c r="A987" s="16">
        <v>1721946067</v>
      </c>
      <c r="B987" s="16" t="s">
        <v>31</v>
      </c>
      <c r="C987" s="16">
        <v>1</v>
      </c>
      <c r="D987" s="16" t="s">
        <v>711</v>
      </c>
      <c r="E987" s="19" t="s">
        <v>294</v>
      </c>
      <c r="F987" s="89">
        <v>46234</v>
      </c>
      <c r="G987" s="90">
        <v>32</v>
      </c>
      <c r="H987" s="19" t="s">
        <v>270</v>
      </c>
      <c r="I987" s="19">
        <v>71885967</v>
      </c>
    </row>
    <row r="988" spans="1:9" x14ac:dyDescent="0.3">
      <c r="A988" s="16">
        <v>1714063292</v>
      </c>
      <c r="B988" s="16" t="s">
        <v>29</v>
      </c>
      <c r="C988" s="16">
        <v>1</v>
      </c>
      <c r="D988" s="16" t="s">
        <v>1120</v>
      </c>
      <c r="E988" s="19" t="s">
        <v>1123</v>
      </c>
      <c r="F988" s="89">
        <v>46234</v>
      </c>
      <c r="G988" s="90">
        <v>10</v>
      </c>
      <c r="H988" s="19" t="s">
        <v>17</v>
      </c>
      <c r="I988" s="19"/>
    </row>
    <row r="989" spans="1:9" x14ac:dyDescent="0.3">
      <c r="A989" s="16">
        <v>1721946067</v>
      </c>
      <c r="B989" s="16" t="s">
        <v>31</v>
      </c>
      <c r="C989" s="16">
        <v>1</v>
      </c>
      <c r="D989" s="16" t="s">
        <v>711</v>
      </c>
      <c r="E989" s="16" t="s">
        <v>50</v>
      </c>
      <c r="F989" s="89">
        <v>46234</v>
      </c>
      <c r="G989" s="90">
        <f>10+17</f>
        <v>27</v>
      </c>
      <c r="H989" s="19" t="s">
        <v>17</v>
      </c>
      <c r="I989" s="19"/>
    </row>
    <row r="990" spans="1:9" x14ac:dyDescent="0.3">
      <c r="A990" s="19"/>
      <c r="B990" s="19"/>
      <c r="C990" s="19"/>
      <c r="D990" s="19"/>
      <c r="E990" s="19"/>
      <c r="F990" s="19"/>
      <c r="G990" s="19"/>
      <c r="H990" s="19"/>
      <c r="I990" s="19"/>
    </row>
    <row r="991" spans="1:9" x14ac:dyDescent="0.3">
      <c r="A991" s="19"/>
      <c r="B991" s="19"/>
      <c r="C991" s="19"/>
      <c r="D991" s="19"/>
      <c r="E991" s="19"/>
      <c r="F991" s="19"/>
      <c r="G991" s="19"/>
      <c r="H991" s="19"/>
      <c r="I991" s="19"/>
    </row>
    <row r="992" spans="1:9" x14ac:dyDescent="0.3">
      <c r="A992" s="19"/>
      <c r="B992" s="19"/>
      <c r="C992" s="19"/>
      <c r="D992" s="19"/>
      <c r="E992" s="19"/>
      <c r="F992" s="19"/>
      <c r="G992" s="19"/>
      <c r="H992" s="19"/>
      <c r="I992" s="19"/>
    </row>
    <row r="993" spans="1:9" x14ac:dyDescent="0.3">
      <c r="A993" s="19"/>
      <c r="B993" s="19"/>
      <c r="C993" s="19"/>
      <c r="D993" s="19"/>
      <c r="E993" s="19"/>
      <c r="F993" s="19"/>
      <c r="G993" s="19"/>
      <c r="H993" s="19"/>
      <c r="I993" s="19"/>
    </row>
    <row r="994" spans="1:9" x14ac:dyDescent="0.3">
      <c r="A994" s="19"/>
      <c r="B994" s="19"/>
      <c r="C994" s="19"/>
      <c r="D994" s="19"/>
      <c r="E994" s="19"/>
      <c r="F994" s="19"/>
      <c r="G994" s="19"/>
      <c r="H994" s="19"/>
      <c r="I994" s="19"/>
    </row>
    <row r="995" spans="1:9" x14ac:dyDescent="0.3">
      <c r="A995" s="19"/>
      <c r="B995" s="19"/>
      <c r="C995" s="19"/>
      <c r="D995" s="19"/>
      <c r="E995" s="19"/>
      <c r="F995" s="19"/>
      <c r="G995" s="19"/>
      <c r="H995" s="19"/>
      <c r="I995" s="19"/>
    </row>
    <row r="996" spans="1:9" x14ac:dyDescent="0.3">
      <c r="A996" s="19"/>
      <c r="B996" s="19"/>
      <c r="C996" s="19"/>
      <c r="D996" s="19"/>
      <c r="E996" s="19"/>
      <c r="F996" s="19"/>
      <c r="G996" s="19"/>
      <c r="H996" s="19"/>
      <c r="I996" s="19"/>
    </row>
    <row r="997" spans="1:9" x14ac:dyDescent="0.3">
      <c r="A997" s="19"/>
      <c r="B997" s="19"/>
      <c r="C997" s="19"/>
      <c r="D997" s="19"/>
      <c r="E997" s="19"/>
      <c r="F997" s="19"/>
      <c r="G997" s="19"/>
      <c r="H997" s="19"/>
      <c r="I997" s="19"/>
    </row>
    <row r="998" spans="1:9" x14ac:dyDescent="0.3">
      <c r="A998" s="19"/>
      <c r="B998" s="19"/>
      <c r="C998" s="19"/>
      <c r="D998" s="19"/>
      <c r="E998" s="19"/>
      <c r="F998" s="19"/>
      <c r="G998" s="19"/>
      <c r="H998" s="19"/>
      <c r="I998" s="19"/>
    </row>
    <row r="999" spans="1:9" x14ac:dyDescent="0.3">
      <c r="A999" s="19"/>
      <c r="B999" s="19"/>
      <c r="C999" s="19"/>
      <c r="D999" s="19"/>
      <c r="E999" s="19"/>
      <c r="F999" s="19"/>
      <c r="G999" s="19"/>
      <c r="H999" s="19"/>
      <c r="I999" s="19"/>
    </row>
    <row r="1000" spans="1:9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</row>
    <row r="1001" spans="1:9" x14ac:dyDescent="0.3">
      <c r="A1001" s="19"/>
      <c r="B1001" s="19"/>
      <c r="C1001" s="19"/>
      <c r="D1001" s="19"/>
      <c r="E1001" s="19"/>
      <c r="F1001" s="19"/>
      <c r="G1001" s="19"/>
      <c r="H1001" s="19"/>
      <c r="I1001" s="19"/>
    </row>
    <row r="1002" spans="1:9" x14ac:dyDescent="0.3">
      <c r="A1002" s="19"/>
      <c r="B1002" s="19"/>
      <c r="C1002" s="19"/>
      <c r="D1002" s="19"/>
      <c r="E1002" s="19"/>
      <c r="F1002" s="19"/>
      <c r="G1002" s="19"/>
      <c r="H1002" s="19"/>
      <c r="I1002" s="19"/>
    </row>
    <row r="1003" spans="1:9" x14ac:dyDescent="0.3">
      <c r="A1003" s="19"/>
      <c r="B1003" s="19"/>
      <c r="C1003" s="19"/>
      <c r="D1003" s="19"/>
      <c r="E1003" s="19"/>
      <c r="F1003" s="19"/>
      <c r="G1003" s="19"/>
      <c r="H1003" s="19"/>
      <c r="I1003" s="19"/>
    </row>
    <row r="1004" spans="1:9" x14ac:dyDescent="0.3">
      <c r="A1004" s="19"/>
      <c r="B1004" s="19"/>
      <c r="C1004" s="19"/>
      <c r="D1004" s="19"/>
      <c r="E1004" s="19"/>
      <c r="F1004" s="19"/>
      <c r="G1004" s="19"/>
      <c r="H1004" s="19"/>
      <c r="I1004" s="19"/>
    </row>
    <row r="1005" spans="1:9" x14ac:dyDescent="0.3">
      <c r="A1005" s="19"/>
      <c r="B1005" s="19"/>
      <c r="C1005" s="19"/>
      <c r="D1005" s="19"/>
      <c r="E1005" s="19"/>
      <c r="F1005" s="19"/>
      <c r="G1005" s="19"/>
      <c r="H1005" s="19"/>
      <c r="I1005" s="19"/>
    </row>
    <row r="1006" spans="1:9" x14ac:dyDescent="0.3">
      <c r="A1006" s="19"/>
      <c r="B1006" s="19"/>
      <c r="C1006" s="19"/>
      <c r="D1006" s="19"/>
      <c r="E1006" s="19"/>
      <c r="F1006" s="19"/>
      <c r="G1006" s="19"/>
      <c r="H1006" s="19"/>
      <c r="I1006" s="19"/>
    </row>
    <row r="1007" spans="1:9" x14ac:dyDescent="0.3">
      <c r="A1007" s="19"/>
      <c r="B1007" s="19"/>
      <c r="C1007" s="19"/>
      <c r="D1007" s="19"/>
      <c r="E1007" s="19"/>
      <c r="F1007" s="19"/>
      <c r="G1007" s="19"/>
      <c r="H1007" s="19"/>
      <c r="I1007" s="19"/>
    </row>
    <row r="1008" spans="1:9" x14ac:dyDescent="0.3">
      <c r="A1008" s="19"/>
      <c r="B1008" s="19"/>
      <c r="C1008" s="19"/>
      <c r="D1008" s="19"/>
      <c r="E1008" s="19"/>
      <c r="F1008" s="19"/>
      <c r="G1008" s="19"/>
      <c r="H1008" s="19"/>
      <c r="I1008" s="19"/>
    </row>
    <row r="1009" spans="1:9" x14ac:dyDescent="0.3">
      <c r="A1009" s="19"/>
      <c r="B1009" s="19"/>
      <c r="C1009" s="19"/>
      <c r="D1009" s="19"/>
      <c r="E1009" s="19"/>
      <c r="F1009" s="19"/>
      <c r="G1009" s="19"/>
      <c r="H1009" s="19"/>
      <c r="I1009" s="19"/>
    </row>
    <row r="1010" spans="1:9" x14ac:dyDescent="0.3">
      <c r="A1010" s="19"/>
      <c r="B1010" s="19"/>
      <c r="C1010" s="19"/>
      <c r="D1010" s="19"/>
      <c r="E1010" s="19"/>
      <c r="F1010" s="19"/>
      <c r="G1010" s="19"/>
      <c r="H1010" s="19"/>
      <c r="I1010" s="19"/>
    </row>
    <row r="1011" spans="1:9" x14ac:dyDescent="0.3">
      <c r="A1011" s="19"/>
      <c r="B1011" s="19"/>
      <c r="C1011" s="19"/>
      <c r="D1011" s="19"/>
      <c r="E1011" s="19"/>
      <c r="F1011" s="19"/>
      <c r="G1011" s="19"/>
      <c r="H1011" s="19"/>
      <c r="I1011" s="19"/>
    </row>
    <row r="1012" spans="1:9" x14ac:dyDescent="0.3">
      <c r="A1012" s="19"/>
      <c r="B1012" s="19"/>
      <c r="C1012" s="19"/>
      <c r="D1012" s="19"/>
      <c r="E1012" s="19"/>
      <c r="F1012" s="19"/>
      <c r="G1012" s="19"/>
      <c r="H1012" s="19"/>
      <c r="I1012" s="19"/>
    </row>
    <row r="1013" spans="1:9" x14ac:dyDescent="0.3">
      <c r="A1013" s="19"/>
      <c r="B1013" s="19"/>
      <c r="C1013" s="19"/>
      <c r="D1013" s="19"/>
      <c r="E1013" s="19"/>
      <c r="F1013" s="19"/>
      <c r="G1013" s="19"/>
      <c r="H1013" s="19"/>
      <c r="I1013" s="19"/>
    </row>
    <row r="1014" spans="1:9" x14ac:dyDescent="0.3">
      <c r="A1014" s="19"/>
      <c r="B1014" s="19"/>
      <c r="C1014" s="19"/>
      <c r="D1014" s="19"/>
      <c r="E1014" s="19"/>
      <c r="F1014" s="19"/>
      <c r="G1014" s="19"/>
      <c r="H1014" s="19"/>
      <c r="I1014" s="19"/>
    </row>
    <row r="1015" spans="1:9" x14ac:dyDescent="0.3">
      <c r="A1015" s="19"/>
      <c r="B1015" s="19"/>
      <c r="C1015" s="19"/>
      <c r="D1015" s="19"/>
      <c r="E1015" s="19"/>
      <c r="F1015" s="19"/>
      <c r="G1015" s="19"/>
      <c r="H1015" s="19"/>
      <c r="I1015" s="19"/>
    </row>
    <row r="1016" spans="1:9" x14ac:dyDescent="0.3">
      <c r="A1016" s="19"/>
      <c r="B1016" s="19"/>
      <c r="C1016" s="19"/>
      <c r="D1016" s="19"/>
      <c r="E1016" s="19"/>
      <c r="F1016" s="19"/>
      <c r="G1016" s="19"/>
      <c r="H1016" s="19"/>
      <c r="I1016" s="19"/>
    </row>
    <row r="1017" spans="1:9" x14ac:dyDescent="0.3">
      <c r="A1017" s="19"/>
      <c r="B1017" s="19"/>
      <c r="C1017" s="19"/>
      <c r="D1017" s="19"/>
      <c r="E1017" s="19"/>
      <c r="F1017" s="19"/>
      <c r="G1017" s="19"/>
      <c r="H1017" s="19"/>
      <c r="I1017" s="19"/>
    </row>
    <row r="1018" spans="1:9" x14ac:dyDescent="0.3">
      <c r="A1018" s="19"/>
      <c r="B1018" s="19"/>
      <c r="C1018" s="19"/>
      <c r="D1018" s="19"/>
      <c r="E1018" s="19"/>
      <c r="F1018" s="19"/>
      <c r="G1018" s="19"/>
      <c r="H1018" s="19"/>
      <c r="I1018" s="19"/>
    </row>
    <row r="1019" spans="1:9" x14ac:dyDescent="0.3">
      <c r="A1019" s="19"/>
      <c r="B1019" s="19"/>
      <c r="C1019" s="19"/>
      <c r="D1019" s="19"/>
      <c r="E1019" s="19"/>
      <c r="F1019" s="19"/>
      <c r="G1019" s="19"/>
      <c r="H1019" s="19"/>
      <c r="I1019" s="19"/>
    </row>
    <row r="1020" spans="1:9" x14ac:dyDescent="0.3">
      <c r="A1020" s="19"/>
      <c r="B1020" s="19"/>
      <c r="C1020" s="19"/>
      <c r="D1020" s="19"/>
      <c r="E1020" s="19"/>
      <c r="F1020" s="19"/>
      <c r="G1020" s="19"/>
      <c r="H1020" s="19"/>
      <c r="I1020" s="19"/>
    </row>
    <row r="1021" spans="1:9" x14ac:dyDescent="0.3">
      <c r="A1021" s="19"/>
      <c r="B1021" s="19"/>
      <c r="C1021" s="19"/>
      <c r="D1021" s="19"/>
      <c r="E1021" s="19"/>
      <c r="F1021" s="19"/>
      <c r="G1021" s="19"/>
      <c r="H1021" s="19"/>
      <c r="I1021" s="19"/>
    </row>
    <row r="1022" spans="1:9" x14ac:dyDescent="0.3">
      <c r="A1022" s="19"/>
      <c r="B1022" s="19"/>
      <c r="C1022" s="19"/>
      <c r="D1022" s="19"/>
      <c r="E1022" s="19"/>
      <c r="F1022" s="19"/>
      <c r="G1022" s="19"/>
      <c r="H1022" s="19"/>
      <c r="I1022" s="19"/>
    </row>
    <row r="1023" spans="1:9" x14ac:dyDescent="0.3">
      <c r="A1023" s="19"/>
      <c r="B1023" s="19"/>
      <c r="C1023" s="19"/>
      <c r="D1023" s="19"/>
      <c r="E1023" s="19"/>
      <c r="F1023" s="19"/>
      <c r="G1023" s="19"/>
      <c r="H1023" s="19"/>
      <c r="I1023" s="19"/>
    </row>
    <row r="1024" spans="1:9" x14ac:dyDescent="0.3">
      <c r="A1024" s="19"/>
      <c r="B1024" s="19"/>
      <c r="C1024" s="19"/>
      <c r="D1024" s="19"/>
      <c r="E1024" s="19"/>
      <c r="F1024" s="19"/>
      <c r="G1024" s="19"/>
      <c r="H1024" s="19"/>
      <c r="I1024" s="19"/>
    </row>
    <row r="1025" spans="1:9" x14ac:dyDescent="0.3">
      <c r="A1025" s="19"/>
      <c r="B1025" s="19"/>
      <c r="C1025" s="19"/>
      <c r="D1025" s="19"/>
      <c r="E1025" s="19"/>
      <c r="F1025" s="19"/>
      <c r="G1025" s="19"/>
      <c r="H1025" s="19"/>
      <c r="I1025" s="19"/>
    </row>
    <row r="1026" spans="1:9" x14ac:dyDescent="0.3">
      <c r="A1026" s="19"/>
      <c r="B1026" s="19"/>
      <c r="C1026" s="19"/>
      <c r="D1026" s="19"/>
      <c r="E1026" s="19"/>
      <c r="F1026" s="19"/>
      <c r="G1026" s="19"/>
      <c r="H1026" s="19"/>
      <c r="I1026" s="19"/>
    </row>
    <row r="1027" spans="1:9" x14ac:dyDescent="0.3">
      <c r="A1027" s="19"/>
      <c r="B1027" s="19"/>
      <c r="C1027" s="19"/>
      <c r="D1027" s="19"/>
      <c r="E1027" s="19"/>
      <c r="F1027" s="19"/>
      <c r="G1027" s="19"/>
      <c r="H1027" s="19"/>
      <c r="I1027" s="19"/>
    </row>
    <row r="1028" spans="1:9" x14ac:dyDescent="0.3">
      <c r="A1028" s="19"/>
      <c r="B1028" s="19"/>
      <c r="C1028" s="19"/>
      <c r="D1028" s="19"/>
      <c r="E1028" s="19"/>
      <c r="F1028" s="19"/>
      <c r="G1028" s="19"/>
      <c r="H1028" s="19"/>
      <c r="I1028" s="19"/>
    </row>
    <row r="1029" spans="1:9" x14ac:dyDescent="0.3">
      <c r="A1029" s="19"/>
      <c r="B1029" s="19"/>
      <c r="C1029" s="19"/>
      <c r="D1029" s="19"/>
      <c r="E1029" s="19"/>
      <c r="F1029" s="19"/>
      <c r="G1029" s="19"/>
      <c r="H1029" s="19"/>
      <c r="I1029" s="19"/>
    </row>
    <row r="1030" spans="1:9" x14ac:dyDescent="0.3">
      <c r="A1030" s="19"/>
      <c r="B1030" s="19"/>
      <c r="C1030" s="19"/>
      <c r="D1030" s="19"/>
      <c r="E1030" s="19"/>
      <c r="F1030" s="19"/>
      <c r="G1030" s="19"/>
      <c r="H1030" s="19"/>
      <c r="I1030" s="19"/>
    </row>
    <row r="1031" spans="1:9" x14ac:dyDescent="0.3">
      <c r="A1031" s="19"/>
      <c r="B1031" s="19"/>
      <c r="C1031" s="19"/>
      <c r="D1031" s="19"/>
      <c r="E1031" s="19"/>
      <c r="F1031" s="19"/>
      <c r="G1031" s="19"/>
      <c r="H1031" s="19"/>
      <c r="I1031" s="19"/>
    </row>
    <row r="1032" spans="1:9" x14ac:dyDescent="0.3">
      <c r="A1032" s="19"/>
      <c r="B1032" s="19"/>
      <c r="C1032" s="19"/>
      <c r="D1032" s="19"/>
      <c r="E1032" s="19"/>
      <c r="F1032" s="19"/>
      <c r="G1032" s="19"/>
      <c r="H1032" s="19"/>
      <c r="I1032" s="19"/>
    </row>
    <row r="1033" spans="1:9" x14ac:dyDescent="0.3">
      <c r="A1033" s="19"/>
      <c r="B1033" s="19"/>
      <c r="C1033" s="19"/>
      <c r="D1033" s="19"/>
      <c r="E1033" s="19"/>
      <c r="F1033" s="19"/>
      <c r="G1033" s="19"/>
      <c r="H1033" s="19"/>
      <c r="I1033" s="19"/>
    </row>
    <row r="1034" spans="1:9" x14ac:dyDescent="0.3">
      <c r="A1034" s="19"/>
      <c r="B1034" s="19"/>
      <c r="C1034" s="19"/>
      <c r="D1034" s="19"/>
      <c r="E1034" s="19"/>
      <c r="F1034" s="19"/>
      <c r="G1034" s="19"/>
      <c r="H1034" s="19"/>
      <c r="I1034" s="19"/>
    </row>
    <row r="1035" spans="1:9" x14ac:dyDescent="0.3">
      <c r="A1035" s="19"/>
      <c r="B1035" s="19"/>
      <c r="C1035" s="19"/>
      <c r="D1035" s="19"/>
      <c r="E1035" s="19"/>
      <c r="F1035" s="19"/>
      <c r="G1035" s="19"/>
      <c r="H1035" s="19"/>
      <c r="I1035" s="19"/>
    </row>
    <row r="1036" spans="1:9" x14ac:dyDescent="0.3">
      <c r="A1036" s="19"/>
      <c r="B1036" s="19"/>
      <c r="C1036" s="19"/>
      <c r="D1036" s="19"/>
      <c r="E1036" s="19"/>
      <c r="F1036" s="19"/>
      <c r="G1036" s="19"/>
      <c r="H1036" s="19"/>
      <c r="I1036" s="19"/>
    </row>
    <row r="1037" spans="1:9" x14ac:dyDescent="0.3">
      <c r="A1037" s="19"/>
      <c r="B1037" s="19"/>
      <c r="C1037" s="19"/>
      <c r="D1037" s="19"/>
      <c r="E1037" s="19"/>
      <c r="F1037" s="19"/>
      <c r="G1037" s="19"/>
      <c r="H1037" s="19"/>
      <c r="I1037" s="19"/>
    </row>
    <row r="1038" spans="1:9" x14ac:dyDescent="0.3">
      <c r="A1038" s="19"/>
      <c r="B1038" s="19"/>
      <c r="C1038" s="19"/>
      <c r="D1038" s="19"/>
      <c r="E1038" s="19"/>
      <c r="F1038" s="19"/>
      <c r="G1038" s="19"/>
      <c r="H1038" s="19"/>
      <c r="I1038" s="19"/>
    </row>
    <row r="1039" spans="1:9" x14ac:dyDescent="0.3">
      <c r="A1039" s="19"/>
      <c r="B1039" s="19"/>
      <c r="C1039" s="19"/>
      <c r="D1039" s="19"/>
      <c r="E1039" s="19"/>
      <c r="F1039" s="19"/>
      <c r="G1039" s="19"/>
      <c r="H1039" s="19"/>
      <c r="I1039" s="19"/>
    </row>
    <row r="1040" spans="1:9" x14ac:dyDescent="0.3">
      <c r="A1040" s="19"/>
      <c r="B1040" s="19"/>
      <c r="C1040" s="19"/>
      <c r="D1040" s="19"/>
      <c r="E1040" s="19"/>
      <c r="F1040" s="19"/>
      <c r="G1040" s="19"/>
      <c r="H1040" s="19"/>
      <c r="I1040" s="19"/>
    </row>
    <row r="1041" spans="1:9" x14ac:dyDescent="0.3">
      <c r="A1041" s="19"/>
      <c r="B1041" s="19"/>
      <c r="C1041" s="19"/>
      <c r="D1041" s="19"/>
      <c r="E1041" s="19"/>
      <c r="F1041" s="19"/>
      <c r="G1041" s="19"/>
      <c r="H1041" s="19"/>
      <c r="I1041" s="19"/>
    </row>
    <row r="1042" spans="1:9" x14ac:dyDescent="0.3">
      <c r="A1042" s="19"/>
      <c r="B1042" s="19"/>
      <c r="C1042" s="19"/>
      <c r="D1042" s="19"/>
      <c r="E1042" s="19"/>
      <c r="F1042" s="19"/>
      <c r="G1042" s="19"/>
      <c r="H1042" s="19"/>
      <c r="I1042" s="19"/>
    </row>
    <row r="1043" spans="1:9" x14ac:dyDescent="0.3">
      <c r="A1043" s="19"/>
      <c r="B1043" s="19"/>
      <c r="C1043" s="19"/>
      <c r="D1043" s="19"/>
      <c r="E1043" s="19"/>
      <c r="F1043" s="19"/>
      <c r="G1043" s="19"/>
      <c r="H1043" s="19"/>
      <c r="I1043" s="19"/>
    </row>
    <row r="1044" spans="1:9" x14ac:dyDescent="0.3">
      <c r="A1044" s="19"/>
      <c r="B1044" s="19"/>
      <c r="C1044" s="19"/>
      <c r="D1044" s="19"/>
      <c r="E1044" s="19"/>
      <c r="F1044" s="19"/>
      <c r="G1044" s="19"/>
      <c r="H1044" s="19"/>
      <c r="I1044" s="19"/>
    </row>
    <row r="1045" spans="1:9" x14ac:dyDescent="0.3">
      <c r="A1045" s="19"/>
      <c r="B1045" s="19"/>
      <c r="C1045" s="19"/>
      <c r="D1045" s="19"/>
      <c r="E1045" s="19"/>
      <c r="F1045" s="19"/>
      <c r="G1045" s="19"/>
      <c r="H1045" s="19"/>
      <c r="I1045" s="19"/>
    </row>
    <row r="1046" spans="1:9" x14ac:dyDescent="0.3">
      <c r="A1046" s="19"/>
      <c r="B1046" s="19"/>
      <c r="C1046" s="19"/>
      <c r="D1046" s="19"/>
      <c r="E1046" s="19"/>
      <c r="F1046" s="19"/>
      <c r="G1046" s="19"/>
      <c r="H1046" s="19"/>
      <c r="I1046" s="19"/>
    </row>
    <row r="1047" spans="1:9" x14ac:dyDescent="0.3">
      <c r="A1047" s="19"/>
      <c r="B1047" s="19"/>
      <c r="C1047" s="19"/>
      <c r="D1047" s="19"/>
      <c r="E1047" s="19"/>
      <c r="F1047" s="19"/>
      <c r="G1047" s="19"/>
      <c r="H1047" s="19"/>
      <c r="I1047" s="19"/>
    </row>
    <row r="1048" spans="1:9" x14ac:dyDescent="0.3">
      <c r="A1048" s="19"/>
      <c r="B1048" s="19"/>
      <c r="C1048" s="19"/>
      <c r="D1048" s="19"/>
      <c r="E1048" s="19"/>
      <c r="F1048" s="19"/>
      <c r="G1048" s="19"/>
      <c r="H1048" s="19"/>
      <c r="I1048" s="19"/>
    </row>
    <row r="1049" spans="1:9" x14ac:dyDescent="0.3">
      <c r="A1049" s="19"/>
      <c r="B1049" s="19"/>
      <c r="C1049" s="19"/>
      <c r="D1049" s="19"/>
      <c r="E1049" s="19"/>
      <c r="F1049" s="19"/>
      <c r="G1049" s="19"/>
      <c r="H1049" s="19"/>
      <c r="I1049" s="19"/>
    </row>
    <row r="1050" spans="1:9" x14ac:dyDescent="0.3">
      <c r="A1050" s="19"/>
      <c r="B1050" s="19"/>
      <c r="C1050" s="19"/>
      <c r="D1050" s="19"/>
      <c r="E1050" s="19"/>
      <c r="F1050" s="19"/>
      <c r="G1050" s="19"/>
      <c r="H1050" s="19"/>
      <c r="I1050" s="19"/>
    </row>
    <row r="1051" spans="1:9" x14ac:dyDescent="0.3">
      <c r="A1051" s="19"/>
      <c r="B1051" s="19"/>
      <c r="C1051" s="19"/>
      <c r="D1051" s="19"/>
      <c r="E1051" s="19"/>
      <c r="F1051" s="19"/>
      <c r="G1051" s="19"/>
      <c r="H1051" s="19"/>
      <c r="I1051" s="19"/>
    </row>
    <row r="1052" spans="1:9" x14ac:dyDescent="0.3">
      <c r="A1052" s="19"/>
      <c r="B1052" s="19"/>
      <c r="C1052" s="19"/>
      <c r="D1052" s="19"/>
      <c r="E1052" s="19"/>
      <c r="F1052" s="19"/>
      <c r="G1052" s="19"/>
      <c r="H1052" s="19"/>
      <c r="I1052" s="19"/>
    </row>
    <row r="1053" spans="1:9" x14ac:dyDescent="0.3">
      <c r="A1053" s="19"/>
      <c r="B1053" s="19"/>
      <c r="C1053" s="19"/>
      <c r="D1053" s="19"/>
      <c r="E1053" s="19"/>
      <c r="F1053" s="19"/>
      <c r="G1053" s="19"/>
      <c r="H1053" s="19"/>
      <c r="I1053" s="19"/>
    </row>
    <row r="1054" spans="1:9" x14ac:dyDescent="0.3">
      <c r="A1054" s="19"/>
      <c r="B1054" s="19"/>
      <c r="C1054" s="19"/>
      <c r="D1054" s="19"/>
      <c r="E1054" s="19"/>
      <c r="F1054" s="19"/>
      <c r="G1054" s="19"/>
      <c r="H1054" s="19"/>
      <c r="I1054" s="19"/>
    </row>
    <row r="1055" spans="1:9" x14ac:dyDescent="0.3">
      <c r="A1055" s="19"/>
      <c r="B1055" s="19"/>
      <c r="C1055" s="19"/>
      <c r="D1055" s="19"/>
      <c r="E1055" s="19"/>
      <c r="F1055" s="19"/>
      <c r="G1055" s="19"/>
      <c r="H1055" s="19"/>
      <c r="I1055" s="19"/>
    </row>
    <row r="1056" spans="1:9" x14ac:dyDescent="0.3">
      <c r="A1056" s="19"/>
      <c r="B1056" s="19"/>
      <c r="C1056" s="19"/>
      <c r="D1056" s="19"/>
      <c r="E1056" s="19"/>
      <c r="F1056" s="19"/>
      <c r="G1056" s="19"/>
      <c r="H1056" s="19"/>
      <c r="I1056" s="19"/>
    </row>
    <row r="1057" spans="1:9" x14ac:dyDescent="0.3">
      <c r="A1057" s="19"/>
      <c r="B1057" s="19"/>
      <c r="C1057" s="19"/>
      <c r="D1057" s="19"/>
      <c r="E1057" s="19"/>
      <c r="F1057" s="19"/>
      <c r="G1057" s="19"/>
      <c r="H1057" s="19"/>
      <c r="I1057" s="19"/>
    </row>
    <row r="1058" spans="1:9" x14ac:dyDescent="0.3">
      <c r="A1058" s="19"/>
      <c r="B1058" s="19"/>
      <c r="C1058" s="19"/>
      <c r="D1058" s="19"/>
      <c r="E1058" s="19"/>
      <c r="F1058" s="19"/>
      <c r="G1058" s="19"/>
      <c r="H1058" s="19"/>
      <c r="I1058" s="19"/>
    </row>
    <row r="1059" spans="1:9" x14ac:dyDescent="0.3">
      <c r="A1059" s="19"/>
      <c r="B1059" s="19"/>
      <c r="C1059" s="19"/>
      <c r="D1059" s="19"/>
      <c r="E1059" s="19"/>
      <c r="F1059" s="19"/>
      <c r="G1059" s="19"/>
      <c r="H1059" s="19"/>
      <c r="I1059" s="19"/>
    </row>
    <row r="1060" spans="1:9" x14ac:dyDescent="0.3">
      <c r="A1060" s="19"/>
      <c r="B1060" s="19"/>
      <c r="C1060" s="19"/>
      <c r="D1060" s="19"/>
      <c r="E1060" s="19"/>
      <c r="F1060" s="19"/>
      <c r="G1060" s="19"/>
      <c r="H1060" s="19"/>
      <c r="I1060" s="19"/>
    </row>
    <row r="1061" spans="1:9" x14ac:dyDescent="0.3">
      <c r="A1061" s="19"/>
      <c r="B1061" s="19"/>
      <c r="C1061" s="19"/>
      <c r="D1061" s="19"/>
      <c r="E1061" s="19"/>
      <c r="F1061" s="19"/>
      <c r="G1061" s="19"/>
      <c r="H1061" s="19"/>
      <c r="I1061" s="19"/>
    </row>
    <row r="1062" spans="1:9" x14ac:dyDescent="0.3">
      <c r="A1062" s="19"/>
      <c r="B1062" s="19"/>
      <c r="C1062" s="19"/>
      <c r="D1062" s="19"/>
      <c r="E1062" s="19"/>
      <c r="F1062" s="19"/>
      <c r="G1062" s="19"/>
      <c r="H1062" s="19"/>
      <c r="I1062" s="19"/>
    </row>
    <row r="1063" spans="1:9" x14ac:dyDescent="0.3">
      <c r="A1063" s="19"/>
      <c r="B1063" s="19"/>
      <c r="C1063" s="19"/>
      <c r="D1063" s="19"/>
      <c r="E1063" s="19"/>
      <c r="F1063" s="19"/>
      <c r="G1063" s="19"/>
      <c r="H1063" s="19"/>
      <c r="I1063" s="19"/>
    </row>
    <row r="1064" spans="1:9" x14ac:dyDescent="0.3">
      <c r="A1064" s="19"/>
      <c r="B1064" s="19"/>
      <c r="C1064" s="19"/>
      <c r="D1064" s="19"/>
      <c r="E1064" s="19"/>
      <c r="F1064" s="19"/>
      <c r="G1064" s="19"/>
      <c r="H1064" s="19"/>
      <c r="I1064" s="19"/>
    </row>
    <row r="1065" spans="1:9" x14ac:dyDescent="0.3">
      <c r="A1065" s="19"/>
      <c r="B1065" s="19"/>
      <c r="C1065" s="19"/>
      <c r="D1065" s="19"/>
      <c r="E1065" s="19"/>
      <c r="F1065" s="19"/>
      <c r="G1065" s="19"/>
      <c r="H1065" s="19"/>
      <c r="I1065" s="19"/>
    </row>
    <row r="1066" spans="1:9" x14ac:dyDescent="0.3">
      <c r="A1066" s="19"/>
      <c r="B1066" s="19"/>
      <c r="C1066" s="19"/>
      <c r="D1066" s="19"/>
      <c r="E1066" s="19"/>
      <c r="F1066" s="19"/>
      <c r="G1066" s="19"/>
      <c r="H1066" s="19"/>
      <c r="I1066" s="19"/>
    </row>
    <row r="1067" spans="1:9" x14ac:dyDescent="0.3">
      <c r="A1067" s="19"/>
      <c r="B1067" s="19"/>
      <c r="C1067" s="19"/>
      <c r="D1067" s="19"/>
      <c r="E1067" s="19"/>
      <c r="F1067" s="19"/>
      <c r="G1067" s="19"/>
      <c r="H1067" s="19"/>
      <c r="I1067" s="19"/>
    </row>
    <row r="1068" spans="1:9" x14ac:dyDescent="0.3">
      <c r="A1068" s="19"/>
      <c r="B1068" s="19"/>
      <c r="C1068" s="19"/>
      <c r="D1068" s="19"/>
      <c r="E1068" s="19"/>
      <c r="F1068" s="19"/>
      <c r="G1068" s="19"/>
      <c r="H1068" s="19"/>
      <c r="I1068" s="19"/>
    </row>
    <row r="1069" spans="1:9" x14ac:dyDescent="0.3">
      <c r="A1069" s="19"/>
      <c r="B1069" s="19"/>
      <c r="C1069" s="19"/>
      <c r="D1069" s="19"/>
      <c r="E1069" s="19"/>
      <c r="F1069" s="19"/>
      <c r="G1069" s="19"/>
      <c r="H1069" s="19"/>
      <c r="I1069" s="19"/>
    </row>
    <row r="1070" spans="1:9" x14ac:dyDescent="0.3">
      <c r="A1070" s="19"/>
      <c r="B1070" s="19"/>
      <c r="C1070" s="19"/>
      <c r="D1070" s="19"/>
      <c r="E1070" s="19"/>
      <c r="F1070" s="19"/>
      <c r="G1070" s="19"/>
      <c r="H1070" s="19"/>
      <c r="I1070" s="19"/>
    </row>
    <row r="1071" spans="1:9" x14ac:dyDescent="0.3">
      <c r="A1071" s="19"/>
      <c r="B1071" s="19"/>
      <c r="C1071" s="19"/>
      <c r="D1071" s="19"/>
      <c r="E1071" s="19"/>
      <c r="F1071" s="19"/>
      <c r="G1071" s="19"/>
      <c r="H1071" s="19"/>
      <c r="I1071" s="19"/>
    </row>
    <row r="1072" spans="1:9" x14ac:dyDescent="0.3">
      <c r="A1072" s="19"/>
      <c r="B1072" s="19"/>
      <c r="C1072" s="19"/>
      <c r="D1072" s="19"/>
      <c r="E1072" s="19"/>
      <c r="F1072" s="19"/>
      <c r="G1072" s="19"/>
      <c r="H1072" s="19"/>
      <c r="I1072" s="19"/>
    </row>
    <row r="1073" spans="1:9" x14ac:dyDescent="0.3">
      <c r="A1073" s="19"/>
      <c r="B1073" s="19"/>
      <c r="C1073" s="19"/>
      <c r="D1073" s="19"/>
      <c r="E1073" s="19"/>
      <c r="F1073" s="19"/>
      <c r="G1073" s="19"/>
      <c r="H1073" s="19"/>
      <c r="I1073" s="19"/>
    </row>
    <row r="1074" spans="1:9" x14ac:dyDescent="0.3">
      <c r="A1074" s="19"/>
      <c r="B1074" s="19"/>
      <c r="C1074" s="19"/>
      <c r="D1074" s="19"/>
      <c r="E1074" s="19"/>
      <c r="F1074" s="19"/>
      <c r="G1074" s="19"/>
      <c r="H1074" s="19"/>
      <c r="I1074" s="19"/>
    </row>
    <row r="1075" spans="1:9" x14ac:dyDescent="0.3">
      <c r="A1075" s="19"/>
      <c r="B1075" s="19"/>
      <c r="C1075" s="19"/>
      <c r="D1075" s="19"/>
      <c r="E1075" s="19"/>
      <c r="F1075" s="19"/>
      <c r="G1075" s="19"/>
      <c r="H1075" s="19"/>
      <c r="I1075" s="19"/>
    </row>
    <row r="1076" spans="1:9" x14ac:dyDescent="0.3">
      <c r="A1076" s="19"/>
      <c r="B1076" s="19"/>
      <c r="C1076" s="19"/>
      <c r="D1076" s="19"/>
      <c r="E1076" s="19"/>
      <c r="F1076" s="19"/>
      <c r="G1076" s="19"/>
      <c r="H1076" s="19"/>
      <c r="I1076" s="19"/>
    </row>
    <row r="1077" spans="1:9" x14ac:dyDescent="0.3">
      <c r="A1077" s="19"/>
      <c r="B1077" s="19"/>
      <c r="C1077" s="19"/>
      <c r="D1077" s="19"/>
      <c r="E1077" s="19"/>
      <c r="F1077" s="19"/>
      <c r="G1077" s="19"/>
      <c r="H1077" s="19"/>
      <c r="I1077" s="19"/>
    </row>
    <row r="1078" spans="1:9" x14ac:dyDescent="0.3">
      <c r="A1078" s="19"/>
      <c r="B1078" s="19"/>
      <c r="C1078" s="19"/>
      <c r="D1078" s="19"/>
      <c r="E1078" s="19"/>
      <c r="F1078" s="19"/>
      <c r="G1078" s="19"/>
      <c r="H1078" s="19"/>
      <c r="I1078" s="19"/>
    </row>
    <row r="1079" spans="1:9" x14ac:dyDescent="0.3">
      <c r="A1079" s="19"/>
      <c r="B1079" s="19"/>
      <c r="C1079" s="19"/>
      <c r="D1079" s="19"/>
      <c r="E1079" s="19"/>
      <c r="F1079" s="19"/>
      <c r="G1079" s="19"/>
      <c r="H1079" s="19"/>
      <c r="I1079" s="19"/>
    </row>
    <row r="1080" spans="1:9" x14ac:dyDescent="0.3">
      <c r="A1080" s="19"/>
      <c r="B1080" s="19"/>
      <c r="C1080" s="19"/>
      <c r="D1080" s="19"/>
      <c r="E1080" s="19"/>
      <c r="F1080" s="19"/>
      <c r="G1080" s="19"/>
      <c r="H1080" s="19"/>
      <c r="I1080" s="19"/>
    </row>
    <row r="1081" spans="1:9" x14ac:dyDescent="0.3">
      <c r="A1081" s="19"/>
      <c r="B1081" s="19"/>
      <c r="C1081" s="19"/>
      <c r="D1081" s="19"/>
      <c r="E1081" s="19"/>
      <c r="F1081" s="19"/>
      <c r="G1081" s="19"/>
      <c r="H1081" s="19"/>
      <c r="I1081" s="19"/>
    </row>
    <row r="1082" spans="1:9" x14ac:dyDescent="0.3">
      <c r="A1082" s="19"/>
      <c r="B1082" s="19"/>
      <c r="C1082" s="19"/>
      <c r="D1082" s="19"/>
      <c r="E1082" s="19"/>
      <c r="F1082" s="19"/>
      <c r="G1082" s="19"/>
      <c r="H1082" s="19"/>
      <c r="I1082" s="19"/>
    </row>
    <row r="1083" spans="1:9" x14ac:dyDescent="0.3">
      <c r="A1083" s="19"/>
      <c r="B1083" s="19"/>
      <c r="C1083" s="19"/>
      <c r="D1083" s="19"/>
      <c r="E1083" s="19"/>
      <c r="F1083" s="19"/>
      <c r="G1083" s="19"/>
      <c r="H1083" s="19"/>
      <c r="I1083" s="19"/>
    </row>
    <row r="1084" spans="1:9" x14ac:dyDescent="0.3">
      <c r="A1084" s="19"/>
      <c r="B1084" s="19"/>
      <c r="C1084" s="19"/>
      <c r="D1084" s="19"/>
      <c r="E1084" s="19"/>
      <c r="F1084" s="19"/>
      <c r="G1084" s="19"/>
      <c r="H1084" s="19"/>
      <c r="I1084" s="19"/>
    </row>
    <row r="1085" spans="1:9" x14ac:dyDescent="0.3">
      <c r="A1085" s="19"/>
      <c r="B1085" s="19"/>
      <c r="C1085" s="19"/>
      <c r="D1085" s="19"/>
      <c r="E1085" s="19"/>
      <c r="F1085" s="19"/>
      <c r="G1085" s="19"/>
      <c r="H1085" s="19"/>
      <c r="I1085" s="19"/>
    </row>
    <row r="1086" spans="1:9" x14ac:dyDescent="0.3">
      <c r="A1086" s="19"/>
      <c r="B1086" s="19"/>
      <c r="C1086" s="19"/>
      <c r="D1086" s="19"/>
      <c r="E1086" s="19"/>
      <c r="F1086" s="19"/>
      <c r="G1086" s="19"/>
      <c r="H1086" s="19"/>
      <c r="I1086" s="19"/>
    </row>
    <row r="1087" spans="1:9" x14ac:dyDescent="0.3">
      <c r="A1087" s="19"/>
      <c r="B1087" s="19"/>
      <c r="C1087" s="19"/>
      <c r="D1087" s="19"/>
      <c r="E1087" s="19"/>
      <c r="F1087" s="19"/>
      <c r="G1087" s="19"/>
      <c r="H1087" s="19"/>
      <c r="I1087" s="19"/>
    </row>
    <row r="1088" spans="1:9" x14ac:dyDescent="0.3">
      <c r="A1088" s="19"/>
      <c r="B1088" s="19"/>
      <c r="C1088" s="19"/>
      <c r="D1088" s="19"/>
      <c r="E1088" s="19"/>
      <c r="F1088" s="19"/>
      <c r="G1088" s="19"/>
      <c r="H1088" s="19"/>
      <c r="I1088" s="19"/>
    </row>
    <row r="1089" spans="1:9" x14ac:dyDescent="0.3">
      <c r="A1089" s="19"/>
      <c r="B1089" s="19"/>
      <c r="C1089" s="19"/>
      <c r="D1089" s="19"/>
      <c r="E1089" s="19"/>
      <c r="F1089" s="19"/>
      <c r="G1089" s="19"/>
      <c r="H1089" s="19"/>
      <c r="I1089" s="19"/>
    </row>
    <row r="1090" spans="1:9" x14ac:dyDescent="0.3">
      <c r="A1090" s="19"/>
      <c r="B1090" s="19"/>
      <c r="C1090" s="19"/>
      <c r="D1090" s="19"/>
      <c r="E1090" s="19"/>
      <c r="F1090" s="19"/>
      <c r="G1090" s="19"/>
      <c r="H1090" s="19"/>
      <c r="I1090" s="19"/>
    </row>
    <row r="1091" spans="1:9" x14ac:dyDescent="0.3">
      <c r="A1091" s="19"/>
      <c r="B1091" s="19"/>
      <c r="C1091" s="19"/>
      <c r="D1091" s="19"/>
      <c r="E1091" s="19"/>
      <c r="F1091" s="19"/>
      <c r="G1091" s="19"/>
      <c r="H1091" s="19"/>
      <c r="I1091" s="19"/>
    </row>
    <row r="1092" spans="1:9" x14ac:dyDescent="0.3">
      <c r="A1092" s="19"/>
      <c r="B1092" s="19"/>
      <c r="C1092" s="19"/>
      <c r="D1092" s="19"/>
      <c r="E1092" s="19"/>
      <c r="F1092" s="19"/>
      <c r="G1092" s="19"/>
      <c r="H1092" s="19"/>
      <c r="I1092" s="19"/>
    </row>
    <row r="1093" spans="1:9" x14ac:dyDescent="0.3">
      <c r="A1093" s="19"/>
      <c r="B1093" s="19"/>
      <c r="C1093" s="19"/>
      <c r="D1093" s="19"/>
      <c r="E1093" s="19"/>
      <c r="F1093" s="19"/>
      <c r="G1093" s="19"/>
      <c r="H1093" s="19"/>
      <c r="I1093" s="19"/>
    </row>
    <row r="1094" spans="1:9" x14ac:dyDescent="0.3">
      <c r="A1094" s="19"/>
      <c r="B1094" s="19"/>
      <c r="C1094" s="19"/>
      <c r="D1094" s="19"/>
      <c r="E1094" s="19"/>
      <c r="F1094" s="19"/>
      <c r="G1094" s="19"/>
      <c r="H1094" s="19"/>
      <c r="I1094" s="19"/>
    </row>
    <row r="1095" spans="1:9" x14ac:dyDescent="0.3">
      <c r="A1095" s="19"/>
      <c r="B1095" s="19"/>
      <c r="C1095" s="19"/>
      <c r="D1095" s="19"/>
      <c r="E1095" s="19"/>
      <c r="F1095" s="19"/>
      <c r="G1095" s="19"/>
      <c r="H1095" s="19"/>
      <c r="I1095" s="19"/>
    </row>
    <row r="1096" spans="1:9" x14ac:dyDescent="0.3">
      <c r="A1096" s="19"/>
      <c r="B1096" s="19"/>
      <c r="C1096" s="19"/>
      <c r="D1096" s="19"/>
      <c r="E1096" s="19"/>
      <c r="F1096" s="19"/>
      <c r="G1096" s="19"/>
      <c r="H1096" s="19"/>
      <c r="I1096" s="19"/>
    </row>
    <row r="1097" spans="1:9" x14ac:dyDescent="0.3">
      <c r="A1097" s="19"/>
      <c r="B1097" s="19"/>
      <c r="C1097" s="19"/>
      <c r="D1097" s="19"/>
      <c r="E1097" s="19"/>
      <c r="F1097" s="19"/>
      <c r="G1097" s="19"/>
      <c r="H1097" s="19"/>
      <c r="I1097" s="19"/>
    </row>
    <row r="1098" spans="1:9" x14ac:dyDescent="0.3">
      <c r="A1098" s="19"/>
      <c r="B1098" s="19"/>
      <c r="C1098" s="19"/>
      <c r="D1098" s="19"/>
      <c r="E1098" s="19"/>
      <c r="F1098" s="19"/>
      <c r="G1098" s="19"/>
      <c r="H1098" s="19"/>
      <c r="I1098" s="19"/>
    </row>
    <row r="1099" spans="1:9" x14ac:dyDescent="0.3">
      <c r="A1099" s="19"/>
      <c r="B1099" s="19"/>
      <c r="C1099" s="19"/>
      <c r="D1099" s="19"/>
      <c r="E1099" s="19"/>
      <c r="F1099" s="19"/>
      <c r="G1099" s="19"/>
      <c r="H1099" s="19"/>
      <c r="I1099" s="19"/>
    </row>
    <row r="1100" spans="1:9" x14ac:dyDescent="0.3">
      <c r="A1100" s="19"/>
      <c r="B1100" s="19"/>
      <c r="C1100" s="19"/>
      <c r="D1100" s="19"/>
      <c r="E1100" s="19"/>
      <c r="F1100" s="19"/>
      <c r="G1100" s="19"/>
      <c r="H1100" s="19"/>
      <c r="I1100" s="19"/>
    </row>
    <row r="1101" spans="1:9" x14ac:dyDescent="0.3">
      <c r="A1101" s="19"/>
      <c r="B1101" s="19"/>
      <c r="C1101" s="19"/>
      <c r="D1101" s="19"/>
      <c r="E1101" s="19"/>
      <c r="F1101" s="19"/>
      <c r="G1101" s="19"/>
      <c r="H1101" s="19"/>
      <c r="I1101" s="19"/>
    </row>
    <row r="1102" spans="1:9" x14ac:dyDescent="0.3">
      <c r="A1102" s="19"/>
      <c r="B1102" s="19"/>
      <c r="C1102" s="19"/>
      <c r="D1102" s="19"/>
      <c r="E1102" s="19"/>
      <c r="F1102" s="19"/>
      <c r="G1102" s="19"/>
      <c r="H1102" s="19"/>
      <c r="I1102" s="19"/>
    </row>
    <row r="1103" spans="1:9" x14ac:dyDescent="0.3">
      <c r="A1103" s="19"/>
      <c r="B1103" s="19"/>
      <c r="C1103" s="19"/>
      <c r="D1103" s="19"/>
      <c r="E1103" s="19"/>
      <c r="F1103" s="19"/>
      <c r="G1103" s="19"/>
      <c r="H1103" s="19"/>
      <c r="I1103" s="19"/>
    </row>
    <row r="1104" spans="1:9" x14ac:dyDescent="0.3">
      <c r="A1104" s="19"/>
      <c r="B1104" s="19"/>
      <c r="C1104" s="19"/>
      <c r="D1104" s="19"/>
      <c r="E1104" s="19"/>
      <c r="F1104" s="19"/>
      <c r="G1104" s="19"/>
      <c r="H1104" s="19"/>
      <c r="I1104" s="19"/>
    </row>
    <row r="1105" spans="1:9" x14ac:dyDescent="0.3">
      <c r="A1105" s="19"/>
      <c r="B1105" s="19"/>
      <c r="C1105" s="19"/>
      <c r="D1105" s="19"/>
      <c r="E1105" s="19"/>
      <c r="F1105" s="19"/>
      <c r="G1105" s="19"/>
      <c r="H1105" s="19"/>
      <c r="I1105" s="19"/>
    </row>
    <row r="1106" spans="1:9" x14ac:dyDescent="0.3">
      <c r="A1106" s="19"/>
      <c r="B1106" s="19"/>
      <c r="C1106" s="19"/>
      <c r="D1106" s="19"/>
      <c r="E1106" s="19"/>
      <c r="F1106" s="19"/>
      <c r="G1106" s="19"/>
      <c r="H1106" s="19"/>
      <c r="I1106" s="19"/>
    </row>
    <row r="1107" spans="1:9" x14ac:dyDescent="0.3">
      <c r="A1107" s="19"/>
      <c r="B1107" s="19"/>
      <c r="C1107" s="19"/>
      <c r="D1107" s="19"/>
      <c r="E1107" s="19"/>
      <c r="F1107" s="19"/>
      <c r="G1107" s="19"/>
      <c r="H1107" s="19"/>
      <c r="I1107" s="19"/>
    </row>
    <row r="1108" spans="1:9" x14ac:dyDescent="0.3">
      <c r="A1108" s="19"/>
      <c r="B1108" s="19"/>
      <c r="C1108" s="19"/>
      <c r="D1108" s="19"/>
      <c r="E1108" s="19"/>
      <c r="F1108" s="19"/>
      <c r="G1108" s="19"/>
      <c r="H1108" s="19"/>
      <c r="I1108" s="19"/>
    </row>
    <row r="1109" spans="1:9" x14ac:dyDescent="0.3">
      <c r="A1109" s="19"/>
      <c r="B1109" s="19"/>
      <c r="C1109" s="19"/>
      <c r="D1109" s="19"/>
      <c r="E1109" s="19"/>
      <c r="F1109" s="19"/>
      <c r="G1109" s="19"/>
      <c r="H1109" s="19"/>
      <c r="I1109" s="19"/>
    </row>
    <row r="1110" spans="1:9" x14ac:dyDescent="0.3">
      <c r="A1110" s="19"/>
      <c r="B1110" s="19"/>
      <c r="C1110" s="19"/>
      <c r="D1110" s="19"/>
      <c r="E1110" s="19"/>
      <c r="F1110" s="19"/>
      <c r="G1110" s="19"/>
      <c r="H1110" s="19"/>
      <c r="I1110" s="19"/>
    </row>
    <row r="1111" spans="1:9" x14ac:dyDescent="0.3">
      <c r="A1111" s="19"/>
      <c r="B1111" s="19"/>
      <c r="C1111" s="19"/>
      <c r="D1111" s="19"/>
      <c r="E1111" s="19"/>
      <c r="F1111" s="19"/>
      <c r="G1111" s="19"/>
      <c r="H1111" s="19"/>
      <c r="I1111" s="19"/>
    </row>
    <row r="1112" spans="1:9" x14ac:dyDescent="0.3">
      <c r="A1112" s="19"/>
      <c r="B1112" s="19"/>
      <c r="C1112" s="19"/>
      <c r="D1112" s="19"/>
      <c r="E1112" s="19"/>
      <c r="F1112" s="19"/>
      <c r="G1112" s="19"/>
      <c r="H1112" s="19"/>
      <c r="I1112" s="19"/>
    </row>
    <row r="1113" spans="1:9" x14ac:dyDescent="0.3">
      <c r="A1113" s="19"/>
      <c r="B1113" s="19"/>
      <c r="C1113" s="19"/>
      <c r="D1113" s="19"/>
      <c r="E1113" s="19"/>
      <c r="F1113" s="19"/>
      <c r="G1113" s="19"/>
      <c r="H1113" s="19"/>
      <c r="I1113" s="19"/>
    </row>
    <row r="1114" spans="1:9" x14ac:dyDescent="0.3">
      <c r="A1114" s="19"/>
      <c r="B1114" s="19"/>
      <c r="C1114" s="19"/>
      <c r="D1114" s="19"/>
      <c r="E1114" s="19"/>
      <c r="F1114" s="19"/>
      <c r="G1114" s="19"/>
      <c r="H1114" s="19"/>
      <c r="I1114" s="19"/>
    </row>
    <row r="1115" spans="1:9" x14ac:dyDescent="0.3">
      <c r="A1115" s="19"/>
      <c r="B1115" s="19"/>
      <c r="C1115" s="19"/>
      <c r="D1115" s="19"/>
      <c r="E1115" s="19"/>
      <c r="F1115" s="19"/>
      <c r="G1115" s="19"/>
      <c r="H1115" s="19"/>
      <c r="I1115" s="19"/>
    </row>
    <row r="1116" spans="1:9" x14ac:dyDescent="0.3">
      <c r="A1116" s="19"/>
      <c r="B1116" s="19"/>
      <c r="C1116" s="19"/>
      <c r="D1116" s="19"/>
      <c r="E1116" s="19"/>
      <c r="F1116" s="19"/>
      <c r="G1116" s="19"/>
      <c r="H1116" s="19"/>
      <c r="I1116" s="19"/>
    </row>
    <row r="1117" spans="1:9" x14ac:dyDescent="0.3">
      <c r="A1117" s="19"/>
      <c r="B1117" s="19"/>
      <c r="C1117" s="19"/>
      <c r="D1117" s="19"/>
      <c r="E1117" s="19"/>
      <c r="F1117" s="19"/>
      <c r="G1117" s="19"/>
      <c r="H1117" s="19"/>
      <c r="I1117" s="19"/>
    </row>
    <row r="1118" spans="1:9" x14ac:dyDescent="0.3">
      <c r="A1118" s="19"/>
      <c r="B1118" s="19"/>
      <c r="C1118" s="19"/>
      <c r="D1118" s="19"/>
      <c r="E1118" s="19"/>
      <c r="F1118" s="19"/>
      <c r="G1118" s="19"/>
      <c r="H1118" s="19"/>
      <c r="I1118" s="19"/>
    </row>
    <row r="1119" spans="1:9" x14ac:dyDescent="0.3">
      <c r="A1119" s="19"/>
      <c r="B1119" s="19"/>
      <c r="C1119" s="19"/>
      <c r="D1119" s="19"/>
      <c r="E1119" s="19"/>
      <c r="F1119" s="19"/>
      <c r="G1119" s="19"/>
      <c r="H1119" s="19"/>
      <c r="I1119" s="19"/>
    </row>
    <row r="1120" spans="1:9" x14ac:dyDescent="0.3">
      <c r="A1120" s="19"/>
      <c r="B1120" s="19"/>
      <c r="C1120" s="19"/>
      <c r="D1120" s="19"/>
      <c r="E1120" s="19"/>
      <c r="F1120" s="19"/>
      <c r="G1120" s="19"/>
      <c r="H1120" s="19"/>
      <c r="I1120" s="19"/>
    </row>
    <row r="1121" spans="1:9" x14ac:dyDescent="0.3">
      <c r="A1121" s="19"/>
      <c r="B1121" s="19"/>
      <c r="C1121" s="19"/>
      <c r="D1121" s="19"/>
      <c r="E1121" s="19"/>
      <c r="F1121" s="19"/>
      <c r="G1121" s="19"/>
      <c r="H1121" s="19"/>
      <c r="I1121" s="19"/>
    </row>
    <row r="1122" spans="1:9" x14ac:dyDescent="0.3">
      <c r="A1122" s="19"/>
      <c r="B1122" s="19"/>
      <c r="C1122" s="19"/>
      <c r="D1122" s="19"/>
      <c r="E1122" s="19"/>
      <c r="F1122" s="19"/>
      <c r="G1122" s="19"/>
      <c r="H1122" s="19"/>
      <c r="I1122" s="19"/>
    </row>
    <row r="1123" spans="1:9" x14ac:dyDescent="0.3">
      <c r="A1123" s="19"/>
      <c r="B1123" s="19"/>
      <c r="C1123" s="19"/>
      <c r="D1123" s="19"/>
      <c r="E1123" s="19"/>
      <c r="F1123" s="19"/>
      <c r="G1123" s="19"/>
      <c r="H1123" s="19"/>
      <c r="I1123" s="19"/>
    </row>
    <row r="1124" spans="1:9" x14ac:dyDescent="0.3">
      <c r="A1124" s="19"/>
      <c r="B1124" s="19"/>
      <c r="C1124" s="19"/>
      <c r="D1124" s="19"/>
      <c r="E1124" s="19"/>
      <c r="F1124" s="19"/>
      <c r="G1124" s="19"/>
      <c r="H1124" s="19"/>
      <c r="I1124" s="19"/>
    </row>
    <row r="1125" spans="1:9" x14ac:dyDescent="0.3">
      <c r="A1125" s="19"/>
      <c r="B1125" s="19"/>
      <c r="C1125" s="19"/>
      <c r="D1125" s="19"/>
      <c r="E1125" s="19"/>
      <c r="F1125" s="19"/>
      <c r="G1125" s="19"/>
      <c r="H1125" s="19"/>
      <c r="I1125" s="19"/>
    </row>
    <row r="1126" spans="1:9" x14ac:dyDescent="0.3">
      <c r="A1126" s="19"/>
      <c r="B1126" s="19"/>
      <c r="C1126" s="19"/>
      <c r="D1126" s="19"/>
      <c r="E1126" s="19"/>
      <c r="F1126" s="19"/>
      <c r="G1126" s="19"/>
      <c r="H1126" s="19"/>
      <c r="I1126" s="19"/>
    </row>
    <row r="1127" spans="1:9" x14ac:dyDescent="0.3">
      <c r="A1127" s="19"/>
      <c r="B1127" s="19"/>
      <c r="C1127" s="19"/>
      <c r="D1127" s="19"/>
      <c r="E1127" s="19"/>
      <c r="F1127" s="19"/>
      <c r="G1127" s="19"/>
      <c r="H1127" s="19"/>
      <c r="I1127" s="19"/>
    </row>
    <row r="1128" spans="1:9" x14ac:dyDescent="0.3">
      <c r="A1128" s="19"/>
      <c r="B1128" s="19"/>
      <c r="C1128" s="19"/>
      <c r="D1128" s="19"/>
      <c r="E1128" s="19"/>
      <c r="F1128" s="19"/>
      <c r="G1128" s="19"/>
      <c r="H1128" s="19"/>
      <c r="I1128" s="19"/>
    </row>
    <row r="1129" spans="1:9" x14ac:dyDescent="0.3">
      <c r="A1129" s="19"/>
      <c r="B1129" s="19"/>
      <c r="C1129" s="19"/>
      <c r="D1129" s="19"/>
      <c r="E1129" s="19"/>
      <c r="F1129" s="19"/>
      <c r="G1129" s="19"/>
      <c r="H1129" s="19"/>
      <c r="I1129" s="19"/>
    </row>
    <row r="1130" spans="1:9" x14ac:dyDescent="0.3">
      <c r="A1130" s="19"/>
      <c r="B1130" s="19"/>
      <c r="C1130" s="19"/>
      <c r="D1130" s="19"/>
      <c r="E1130" s="19"/>
      <c r="F1130" s="19"/>
      <c r="G1130" s="19"/>
      <c r="H1130" s="19"/>
      <c r="I1130" s="19"/>
    </row>
    <row r="1131" spans="1:9" x14ac:dyDescent="0.3">
      <c r="A1131" s="19"/>
      <c r="B1131" s="19"/>
      <c r="C1131" s="19"/>
      <c r="D1131" s="19"/>
      <c r="E1131" s="19"/>
      <c r="F1131" s="19"/>
      <c r="G1131" s="19"/>
      <c r="H1131" s="19"/>
      <c r="I1131" s="19"/>
    </row>
    <row r="1132" spans="1:9" x14ac:dyDescent="0.3">
      <c r="A1132" s="19"/>
      <c r="B1132" s="19"/>
      <c r="C1132" s="19"/>
      <c r="D1132" s="19"/>
      <c r="E1132" s="19"/>
      <c r="F1132" s="19"/>
      <c r="G1132" s="19"/>
      <c r="H1132" s="19"/>
      <c r="I1132" s="19"/>
    </row>
    <row r="1133" spans="1:9" x14ac:dyDescent="0.3">
      <c r="A1133" s="19"/>
      <c r="B1133" s="19"/>
      <c r="C1133" s="19"/>
      <c r="D1133" s="19"/>
      <c r="E1133" s="19"/>
      <c r="F1133" s="19"/>
      <c r="G1133" s="19"/>
      <c r="H1133" s="19"/>
      <c r="I1133" s="19"/>
    </row>
    <row r="1134" spans="1:9" x14ac:dyDescent="0.3">
      <c r="A1134" s="19"/>
      <c r="B1134" s="19"/>
      <c r="C1134" s="19"/>
      <c r="D1134" s="19"/>
      <c r="E1134" s="19"/>
      <c r="F1134" s="19"/>
      <c r="G1134" s="19"/>
      <c r="H1134" s="19"/>
      <c r="I1134" s="19"/>
    </row>
    <row r="1135" spans="1:9" x14ac:dyDescent="0.3">
      <c r="A1135" s="19"/>
      <c r="B1135" s="19"/>
      <c r="C1135" s="19"/>
      <c r="D1135" s="19"/>
      <c r="E1135" s="19"/>
      <c r="F1135" s="19"/>
      <c r="G1135" s="19"/>
      <c r="H1135" s="19"/>
      <c r="I1135" s="19"/>
    </row>
    <row r="1136" spans="1:9" x14ac:dyDescent="0.3">
      <c r="A1136" s="19"/>
      <c r="B1136" s="19"/>
      <c r="C1136" s="19"/>
      <c r="D1136" s="19"/>
      <c r="E1136" s="19"/>
      <c r="F1136" s="19"/>
      <c r="G1136" s="19"/>
      <c r="H1136" s="19"/>
      <c r="I1136" s="19"/>
    </row>
    <row r="1137" spans="1:9" x14ac:dyDescent="0.3">
      <c r="A1137" s="19"/>
      <c r="B1137" s="19"/>
      <c r="C1137" s="19"/>
      <c r="D1137" s="19"/>
      <c r="E1137" s="19"/>
      <c r="F1137" s="19"/>
      <c r="G1137" s="19"/>
      <c r="H1137" s="19"/>
      <c r="I1137" s="19"/>
    </row>
    <row r="1138" spans="1:9" x14ac:dyDescent="0.3">
      <c r="A1138" s="19"/>
      <c r="B1138" s="19"/>
      <c r="C1138" s="19"/>
      <c r="D1138" s="19"/>
      <c r="E1138" s="19"/>
      <c r="F1138" s="19"/>
      <c r="G1138" s="19"/>
      <c r="H1138" s="19"/>
      <c r="I1138" s="19"/>
    </row>
    <row r="1139" spans="1:9" x14ac:dyDescent="0.3">
      <c r="A1139" s="19"/>
      <c r="B1139" s="19"/>
      <c r="C1139" s="19"/>
      <c r="D1139" s="19"/>
      <c r="E1139" s="19"/>
      <c r="F1139" s="19"/>
      <c r="G1139" s="19"/>
      <c r="H1139" s="19"/>
      <c r="I1139" s="19"/>
    </row>
    <row r="1140" spans="1:9" x14ac:dyDescent="0.3">
      <c r="A1140" s="19"/>
      <c r="B1140" s="19"/>
      <c r="C1140" s="19"/>
      <c r="D1140" s="19"/>
      <c r="E1140" s="19"/>
      <c r="F1140" s="19"/>
      <c r="G1140" s="19"/>
      <c r="H1140" s="19"/>
      <c r="I1140" s="19"/>
    </row>
    <row r="1141" spans="1:9" x14ac:dyDescent="0.3">
      <c r="A1141" s="19"/>
      <c r="B1141" s="19"/>
      <c r="C1141" s="19"/>
      <c r="D1141" s="19"/>
      <c r="E1141" s="19"/>
      <c r="F1141" s="19"/>
      <c r="G1141" s="19"/>
      <c r="H1141" s="19"/>
      <c r="I1141" s="19"/>
    </row>
    <row r="1142" spans="1:9" x14ac:dyDescent="0.3">
      <c r="A1142" s="19"/>
      <c r="B1142" s="19"/>
      <c r="C1142" s="19"/>
      <c r="D1142" s="19"/>
      <c r="E1142" s="19"/>
      <c r="F1142" s="19"/>
      <c r="G1142" s="19"/>
      <c r="H1142" s="19"/>
      <c r="I1142" s="19"/>
    </row>
    <row r="1143" spans="1:9" x14ac:dyDescent="0.3">
      <c r="A1143" s="19"/>
      <c r="B1143" s="19"/>
      <c r="C1143" s="19"/>
      <c r="D1143" s="19"/>
      <c r="E1143" s="19"/>
      <c r="F1143" s="19"/>
      <c r="G1143" s="19"/>
      <c r="H1143" s="19"/>
      <c r="I1143" s="19"/>
    </row>
    <row r="1144" spans="1:9" x14ac:dyDescent="0.3">
      <c r="A1144" s="19"/>
      <c r="B1144" s="19"/>
      <c r="C1144" s="19"/>
      <c r="D1144" s="19"/>
      <c r="E1144" s="19"/>
      <c r="F1144" s="19"/>
      <c r="G1144" s="19"/>
      <c r="H1144" s="19"/>
      <c r="I1144" s="19"/>
    </row>
    <row r="1145" spans="1:9" x14ac:dyDescent="0.3">
      <c r="A1145" s="19"/>
      <c r="B1145" s="19"/>
      <c r="C1145" s="19"/>
      <c r="D1145" s="19"/>
      <c r="E1145" s="19"/>
      <c r="F1145" s="19"/>
      <c r="G1145" s="19"/>
      <c r="H1145" s="19"/>
      <c r="I1145" s="19"/>
    </row>
    <row r="1146" spans="1:9" x14ac:dyDescent="0.3">
      <c r="A1146" s="19"/>
      <c r="B1146" s="19"/>
      <c r="C1146" s="19"/>
      <c r="D1146" s="19"/>
      <c r="E1146" s="19"/>
      <c r="F1146" s="19"/>
      <c r="G1146" s="19"/>
      <c r="H1146" s="19"/>
      <c r="I1146" s="19"/>
    </row>
    <row r="1147" spans="1:9" x14ac:dyDescent="0.3">
      <c r="A1147" s="19"/>
      <c r="B1147" s="19"/>
      <c r="C1147" s="19"/>
      <c r="D1147" s="19"/>
      <c r="E1147" s="19"/>
      <c r="F1147" s="19"/>
      <c r="G1147" s="19"/>
      <c r="H1147" s="19"/>
      <c r="I1147" s="19"/>
    </row>
    <row r="1148" spans="1:9" x14ac:dyDescent="0.3">
      <c r="A1148" s="19"/>
      <c r="B1148" s="19"/>
      <c r="C1148" s="19"/>
      <c r="D1148" s="19"/>
      <c r="E1148" s="19"/>
      <c r="F1148" s="19"/>
      <c r="G1148" s="19"/>
      <c r="H1148" s="19"/>
      <c r="I1148" s="19"/>
    </row>
    <row r="1149" spans="1:9" x14ac:dyDescent="0.3">
      <c r="A1149" s="19"/>
      <c r="B1149" s="19"/>
      <c r="C1149" s="19"/>
      <c r="D1149" s="19"/>
      <c r="E1149" s="19"/>
      <c r="F1149" s="19"/>
      <c r="G1149" s="19"/>
      <c r="H1149" s="19"/>
      <c r="I1149" s="19"/>
    </row>
    <row r="1150" spans="1:9" x14ac:dyDescent="0.3">
      <c r="A1150" s="19"/>
      <c r="B1150" s="19"/>
      <c r="C1150" s="19"/>
      <c r="D1150" s="19"/>
      <c r="E1150" s="19"/>
      <c r="F1150" s="19"/>
      <c r="G1150" s="19"/>
      <c r="H1150" s="19"/>
      <c r="I1150" s="19"/>
    </row>
    <row r="1151" spans="1:9" x14ac:dyDescent="0.3">
      <c r="A1151" s="19"/>
      <c r="B1151" s="19"/>
      <c r="C1151" s="19"/>
      <c r="D1151" s="19"/>
      <c r="E1151" s="19"/>
      <c r="F1151" s="19"/>
      <c r="G1151" s="19"/>
      <c r="H1151" s="19"/>
      <c r="I1151" s="19"/>
    </row>
    <row r="1152" spans="1:9" x14ac:dyDescent="0.3">
      <c r="A1152" s="19"/>
      <c r="B1152" s="19"/>
      <c r="C1152" s="19"/>
      <c r="D1152" s="19"/>
      <c r="E1152" s="19"/>
      <c r="F1152" s="19"/>
      <c r="G1152" s="19"/>
      <c r="H1152" s="19"/>
      <c r="I1152" s="19"/>
    </row>
    <row r="1153" spans="1:9" x14ac:dyDescent="0.3">
      <c r="A1153" s="19"/>
      <c r="B1153" s="19"/>
      <c r="C1153" s="19"/>
      <c r="D1153" s="19"/>
      <c r="E1153" s="19"/>
      <c r="F1153" s="19"/>
      <c r="G1153" s="19"/>
      <c r="H1153" s="19"/>
      <c r="I1153" s="19"/>
    </row>
    <row r="1154" spans="1:9" x14ac:dyDescent="0.3">
      <c r="A1154" s="19"/>
      <c r="B1154" s="19"/>
      <c r="C1154" s="19"/>
      <c r="D1154" s="19"/>
      <c r="E1154" s="19"/>
      <c r="F1154" s="19"/>
      <c r="G1154" s="19"/>
      <c r="H1154" s="19"/>
      <c r="I1154" s="19"/>
    </row>
    <row r="1155" spans="1:9" x14ac:dyDescent="0.3">
      <c r="A1155" s="19"/>
      <c r="B1155" s="19"/>
      <c r="C1155" s="19"/>
      <c r="D1155" s="19"/>
      <c r="E1155" s="19"/>
      <c r="F1155" s="19"/>
      <c r="G1155" s="19"/>
      <c r="H1155" s="19"/>
      <c r="I1155" s="19"/>
    </row>
    <row r="1156" spans="1:9" x14ac:dyDescent="0.3">
      <c r="A1156" s="19"/>
      <c r="B1156" s="19"/>
      <c r="C1156" s="19"/>
      <c r="D1156" s="19"/>
      <c r="E1156" s="19"/>
      <c r="F1156" s="19"/>
      <c r="G1156" s="19"/>
      <c r="H1156" s="19"/>
      <c r="I1156" s="19"/>
    </row>
    <row r="1157" spans="1:9" x14ac:dyDescent="0.3">
      <c r="A1157" s="19"/>
      <c r="B1157" s="19"/>
      <c r="C1157" s="19"/>
      <c r="D1157" s="19"/>
      <c r="E1157" s="19"/>
      <c r="F1157" s="19"/>
      <c r="G1157" s="19"/>
      <c r="H1157" s="19"/>
      <c r="I1157" s="19"/>
    </row>
    <row r="1158" spans="1:9" x14ac:dyDescent="0.3">
      <c r="A1158" s="19"/>
      <c r="B1158" s="19"/>
      <c r="C1158" s="19"/>
      <c r="D1158" s="19"/>
      <c r="E1158" s="19"/>
      <c r="F1158" s="19"/>
      <c r="G1158" s="19"/>
      <c r="H1158" s="19"/>
      <c r="I1158" s="19"/>
    </row>
    <row r="1159" spans="1:9" x14ac:dyDescent="0.3">
      <c r="A1159" s="19"/>
      <c r="B1159" s="19"/>
      <c r="C1159" s="19"/>
      <c r="D1159" s="19"/>
      <c r="E1159" s="19"/>
      <c r="F1159" s="19"/>
      <c r="G1159" s="19"/>
      <c r="H1159" s="19"/>
      <c r="I1159" s="19"/>
    </row>
    <row r="1160" spans="1:9" x14ac:dyDescent="0.3">
      <c r="A1160" s="19"/>
      <c r="B1160" s="19"/>
      <c r="C1160" s="19"/>
      <c r="D1160" s="19"/>
      <c r="E1160" s="19"/>
      <c r="F1160" s="19"/>
      <c r="G1160" s="19"/>
      <c r="H1160" s="19"/>
      <c r="I1160" s="19"/>
    </row>
    <row r="1161" spans="1:9" x14ac:dyDescent="0.3">
      <c r="A1161" s="19"/>
      <c r="B1161" s="19"/>
      <c r="C1161" s="19"/>
      <c r="D1161" s="19"/>
      <c r="E1161" s="19"/>
      <c r="F1161" s="19"/>
      <c r="G1161" s="19"/>
      <c r="H1161" s="19"/>
      <c r="I1161" s="19"/>
    </row>
    <row r="1162" spans="1:9" x14ac:dyDescent="0.3">
      <c r="A1162" s="19"/>
      <c r="B1162" s="19"/>
      <c r="C1162" s="19"/>
      <c r="D1162" s="19"/>
      <c r="E1162" s="19"/>
      <c r="F1162" s="19"/>
      <c r="G1162" s="19"/>
      <c r="H1162" s="19"/>
      <c r="I1162" s="19"/>
    </row>
    <row r="1163" spans="1:9" x14ac:dyDescent="0.3">
      <c r="A1163" s="19"/>
      <c r="B1163" s="19"/>
      <c r="C1163" s="19"/>
      <c r="D1163" s="19"/>
      <c r="E1163" s="19"/>
      <c r="F1163" s="19"/>
      <c r="G1163" s="19"/>
      <c r="H1163" s="19"/>
      <c r="I1163" s="19"/>
    </row>
    <row r="1164" spans="1:9" x14ac:dyDescent="0.3">
      <c r="A1164" s="19"/>
      <c r="B1164" s="19"/>
      <c r="C1164" s="19"/>
      <c r="D1164" s="19"/>
      <c r="E1164" s="19"/>
      <c r="F1164" s="19"/>
      <c r="G1164" s="19"/>
      <c r="H1164" s="19"/>
      <c r="I1164" s="19"/>
    </row>
    <row r="1165" spans="1:9" x14ac:dyDescent="0.3">
      <c r="A1165" s="19"/>
      <c r="B1165" s="19"/>
      <c r="C1165" s="19"/>
      <c r="D1165" s="19"/>
      <c r="E1165" s="19"/>
      <c r="F1165" s="19"/>
      <c r="G1165" s="19"/>
      <c r="H1165" s="19"/>
      <c r="I1165" s="19"/>
    </row>
    <row r="1166" spans="1:9" x14ac:dyDescent="0.3">
      <c r="A1166" s="19"/>
      <c r="B1166" s="19"/>
      <c r="C1166" s="19"/>
      <c r="D1166" s="19"/>
      <c r="E1166" s="19"/>
      <c r="F1166" s="19"/>
      <c r="G1166" s="19"/>
      <c r="H1166" s="19"/>
      <c r="I1166" s="19"/>
    </row>
    <row r="1167" spans="1:9" x14ac:dyDescent="0.3">
      <c r="A1167" s="19"/>
      <c r="B1167" s="19"/>
      <c r="C1167" s="19"/>
      <c r="D1167" s="19"/>
      <c r="E1167" s="19"/>
      <c r="F1167" s="19"/>
      <c r="G1167" s="19"/>
      <c r="H1167" s="19"/>
      <c r="I1167" s="19"/>
    </row>
    <row r="1168" spans="1:9" x14ac:dyDescent="0.3">
      <c r="A1168" s="19"/>
      <c r="B1168" s="19"/>
      <c r="C1168" s="19"/>
      <c r="D1168" s="19"/>
      <c r="E1168" s="19"/>
      <c r="F1168" s="19"/>
      <c r="G1168" s="19"/>
      <c r="H1168" s="19"/>
      <c r="I1168" s="19"/>
    </row>
    <row r="1169" spans="1:9" x14ac:dyDescent="0.3">
      <c r="A1169" s="19"/>
      <c r="B1169" s="19"/>
      <c r="C1169" s="19"/>
      <c r="D1169" s="19"/>
      <c r="E1169" s="19"/>
      <c r="F1169" s="19"/>
      <c r="G1169" s="19"/>
      <c r="H1169" s="19"/>
      <c r="I1169" s="19"/>
    </row>
    <row r="1170" spans="1:9" x14ac:dyDescent="0.3">
      <c r="A1170" s="19"/>
      <c r="B1170" s="19"/>
      <c r="C1170" s="19"/>
      <c r="D1170" s="19"/>
      <c r="E1170" s="19"/>
      <c r="F1170" s="19"/>
      <c r="G1170" s="19"/>
      <c r="H1170" s="19"/>
      <c r="I1170" s="19"/>
    </row>
    <row r="1171" spans="1:9" x14ac:dyDescent="0.3">
      <c r="A1171" s="19"/>
      <c r="B1171" s="19"/>
      <c r="C1171" s="19"/>
      <c r="D1171" s="19"/>
      <c r="E1171" s="19"/>
      <c r="F1171" s="19"/>
      <c r="G1171" s="19"/>
      <c r="H1171" s="19"/>
      <c r="I1171" s="19"/>
    </row>
    <row r="1172" spans="1:9" x14ac:dyDescent="0.3">
      <c r="A1172" s="19"/>
      <c r="B1172" s="19"/>
      <c r="C1172" s="19"/>
      <c r="D1172" s="19"/>
      <c r="E1172" s="19"/>
      <c r="F1172" s="19"/>
      <c r="G1172" s="19"/>
      <c r="H1172" s="19"/>
      <c r="I1172" s="19"/>
    </row>
    <row r="1173" spans="1:9" x14ac:dyDescent="0.3">
      <c r="A1173" s="19"/>
      <c r="B1173" s="19"/>
      <c r="C1173" s="19"/>
      <c r="D1173" s="19"/>
      <c r="E1173" s="19"/>
      <c r="F1173" s="19"/>
      <c r="G1173" s="19"/>
      <c r="H1173" s="19"/>
      <c r="I1173" s="19"/>
    </row>
    <row r="1174" spans="1:9" x14ac:dyDescent="0.3">
      <c r="A1174" s="19"/>
      <c r="B1174" s="19"/>
      <c r="C1174" s="19"/>
      <c r="D1174" s="19"/>
      <c r="E1174" s="19"/>
      <c r="F1174" s="19"/>
      <c r="G1174" s="19"/>
      <c r="H1174" s="19"/>
      <c r="I1174" s="19"/>
    </row>
    <row r="1175" spans="1:9" x14ac:dyDescent="0.3">
      <c r="A1175" s="19"/>
      <c r="B1175" s="19"/>
      <c r="C1175" s="19"/>
      <c r="D1175" s="19"/>
      <c r="E1175" s="19"/>
      <c r="F1175" s="19"/>
      <c r="G1175" s="19"/>
      <c r="H1175" s="19"/>
      <c r="I1175" s="19"/>
    </row>
    <row r="1176" spans="1:9" x14ac:dyDescent="0.3">
      <c r="A1176" s="19"/>
      <c r="B1176" s="19"/>
      <c r="C1176" s="19"/>
      <c r="D1176" s="19"/>
      <c r="E1176" s="19"/>
      <c r="F1176" s="19"/>
      <c r="G1176" s="19"/>
      <c r="H1176" s="19"/>
      <c r="I1176" s="19"/>
    </row>
    <row r="1177" spans="1:9" x14ac:dyDescent="0.3">
      <c r="A1177" s="19"/>
      <c r="B1177" s="19"/>
      <c r="C1177" s="19"/>
      <c r="D1177" s="19"/>
      <c r="E1177" s="19"/>
      <c r="F1177" s="19"/>
      <c r="G1177" s="19"/>
      <c r="H1177" s="19"/>
      <c r="I1177" s="19"/>
    </row>
    <row r="1178" spans="1:9" x14ac:dyDescent="0.3">
      <c r="A1178" s="19"/>
      <c r="B1178" s="19"/>
      <c r="C1178" s="19"/>
      <c r="D1178" s="19"/>
      <c r="E1178" s="19"/>
      <c r="F1178" s="19"/>
      <c r="G1178" s="19"/>
      <c r="H1178" s="19"/>
      <c r="I1178" s="19"/>
    </row>
    <row r="1179" spans="1:9" x14ac:dyDescent="0.3">
      <c r="A1179" s="19"/>
      <c r="B1179" s="19"/>
      <c r="C1179" s="19"/>
      <c r="D1179" s="19"/>
      <c r="E1179" s="19"/>
      <c r="F1179" s="19"/>
      <c r="G1179" s="19"/>
      <c r="H1179" s="19"/>
      <c r="I1179" s="19"/>
    </row>
    <row r="1180" spans="1:9" x14ac:dyDescent="0.3">
      <c r="A1180" s="19"/>
      <c r="B1180" s="19"/>
      <c r="C1180" s="19"/>
      <c r="D1180" s="19"/>
      <c r="E1180" s="19"/>
      <c r="F1180" s="19"/>
      <c r="G1180" s="19"/>
      <c r="H1180" s="19"/>
      <c r="I1180" s="19"/>
    </row>
    <row r="1181" spans="1:9" x14ac:dyDescent="0.3">
      <c r="A1181" s="19"/>
      <c r="B1181" s="19"/>
      <c r="C1181" s="19"/>
      <c r="D1181" s="19"/>
      <c r="E1181" s="19"/>
      <c r="F1181" s="19"/>
      <c r="G1181" s="19"/>
      <c r="H1181" s="19"/>
      <c r="I1181" s="19"/>
    </row>
    <row r="1182" spans="1:9" x14ac:dyDescent="0.3">
      <c r="A1182" s="19"/>
      <c r="B1182" s="19"/>
      <c r="C1182" s="19"/>
      <c r="D1182" s="19"/>
      <c r="E1182" s="19"/>
      <c r="F1182" s="19"/>
      <c r="G1182" s="19"/>
      <c r="H1182" s="19"/>
      <c r="I1182" s="19"/>
    </row>
    <row r="1183" spans="1:9" x14ac:dyDescent="0.3">
      <c r="A1183" s="19"/>
      <c r="B1183" s="19"/>
      <c r="C1183" s="19"/>
      <c r="D1183" s="19"/>
      <c r="E1183" s="19"/>
      <c r="F1183" s="19"/>
      <c r="G1183" s="19"/>
      <c r="H1183" s="19"/>
      <c r="I1183" s="19"/>
    </row>
    <row r="1184" spans="1:9" x14ac:dyDescent="0.3">
      <c r="A1184" s="19"/>
      <c r="B1184" s="19"/>
      <c r="C1184" s="19"/>
      <c r="D1184" s="19"/>
      <c r="E1184" s="19"/>
      <c r="F1184" s="19"/>
      <c r="G1184" s="19"/>
      <c r="H1184" s="19"/>
      <c r="I1184" s="19"/>
    </row>
    <row r="1185" spans="1:9" x14ac:dyDescent="0.3">
      <c r="A1185" s="19"/>
      <c r="B1185" s="19"/>
      <c r="C1185" s="19"/>
      <c r="D1185" s="19"/>
      <c r="E1185" s="19"/>
      <c r="F1185" s="19"/>
      <c r="G1185" s="19"/>
      <c r="H1185" s="19"/>
      <c r="I1185" s="19"/>
    </row>
    <row r="1186" spans="1:9" x14ac:dyDescent="0.3">
      <c r="A1186" s="19"/>
      <c r="B1186" s="19"/>
      <c r="C1186" s="19"/>
      <c r="D1186" s="19"/>
      <c r="E1186" s="19"/>
      <c r="F1186" s="19"/>
      <c r="G1186" s="19"/>
      <c r="H1186" s="19"/>
      <c r="I1186" s="19"/>
    </row>
    <row r="1187" spans="1:9" x14ac:dyDescent="0.3">
      <c r="A1187" s="19"/>
      <c r="B1187" s="19"/>
      <c r="C1187" s="19"/>
      <c r="D1187" s="19"/>
      <c r="E1187" s="19"/>
      <c r="F1187" s="19"/>
      <c r="G1187" s="19"/>
      <c r="H1187" s="19"/>
      <c r="I1187" s="19"/>
    </row>
    <row r="1188" spans="1:9" x14ac:dyDescent="0.3">
      <c r="A1188" s="19"/>
      <c r="B1188" s="19"/>
      <c r="C1188" s="19"/>
      <c r="D1188" s="19"/>
      <c r="E1188" s="19"/>
      <c r="F1188" s="19"/>
      <c r="G1188" s="19"/>
      <c r="H1188" s="19"/>
      <c r="I1188" s="19"/>
    </row>
    <row r="1189" spans="1:9" x14ac:dyDescent="0.3">
      <c r="A1189" s="19"/>
      <c r="B1189" s="19"/>
      <c r="C1189" s="19"/>
      <c r="D1189" s="19"/>
      <c r="E1189" s="19"/>
      <c r="F1189" s="19"/>
      <c r="G1189" s="19"/>
      <c r="H1189" s="19"/>
      <c r="I1189" s="19"/>
    </row>
    <row r="1190" spans="1:9" x14ac:dyDescent="0.3">
      <c r="A1190" s="19"/>
      <c r="B1190" s="19"/>
      <c r="C1190" s="19"/>
      <c r="D1190" s="19"/>
      <c r="E1190" s="19"/>
      <c r="F1190" s="19"/>
      <c r="G1190" s="19"/>
      <c r="H1190" s="19"/>
      <c r="I1190" s="19"/>
    </row>
    <row r="1191" spans="1:9" x14ac:dyDescent="0.3">
      <c r="A1191" s="19"/>
      <c r="B1191" s="19"/>
      <c r="C1191" s="19"/>
      <c r="D1191" s="19"/>
      <c r="E1191" s="19"/>
      <c r="F1191" s="19"/>
      <c r="G1191" s="19"/>
      <c r="H1191" s="19"/>
      <c r="I1191" s="19"/>
    </row>
    <row r="1192" spans="1:9" x14ac:dyDescent="0.3">
      <c r="A1192" s="19"/>
      <c r="B1192" s="19"/>
      <c r="C1192" s="19"/>
      <c r="D1192" s="19"/>
      <c r="E1192" s="19"/>
      <c r="F1192" s="19"/>
      <c r="G1192" s="19"/>
      <c r="H1192" s="19"/>
      <c r="I1192" s="19"/>
    </row>
    <row r="1193" spans="1:9" x14ac:dyDescent="0.3">
      <c r="A1193" s="19"/>
      <c r="B1193" s="19"/>
      <c r="C1193" s="19"/>
      <c r="D1193" s="19"/>
      <c r="E1193" s="19"/>
      <c r="F1193" s="19"/>
      <c r="G1193" s="19"/>
      <c r="H1193" s="19"/>
      <c r="I1193" s="19"/>
    </row>
    <row r="1194" spans="1:9" x14ac:dyDescent="0.3">
      <c r="A1194" s="19"/>
      <c r="B1194" s="19"/>
      <c r="C1194" s="19"/>
      <c r="D1194" s="19"/>
      <c r="E1194" s="19"/>
      <c r="F1194" s="19"/>
      <c r="G1194" s="19"/>
      <c r="H1194" s="19"/>
      <c r="I1194" s="19"/>
    </row>
    <row r="1195" spans="1:9" x14ac:dyDescent="0.3">
      <c r="A1195" s="19"/>
      <c r="B1195" s="19"/>
      <c r="C1195" s="19"/>
      <c r="D1195" s="19"/>
      <c r="E1195" s="19"/>
      <c r="F1195" s="19"/>
      <c r="G1195" s="19"/>
      <c r="H1195" s="19"/>
      <c r="I1195" s="19"/>
    </row>
    <row r="1196" spans="1:9" x14ac:dyDescent="0.3">
      <c r="A1196" s="19"/>
      <c r="B1196" s="19"/>
      <c r="C1196" s="19"/>
      <c r="D1196" s="19"/>
      <c r="E1196" s="19"/>
      <c r="F1196" s="19"/>
      <c r="G1196" s="19"/>
      <c r="H1196" s="19"/>
      <c r="I1196" s="19"/>
    </row>
    <row r="1197" spans="1:9" x14ac:dyDescent="0.3">
      <c r="A1197" s="19"/>
      <c r="B1197" s="19"/>
      <c r="C1197" s="19"/>
      <c r="D1197" s="19"/>
      <c r="E1197" s="19"/>
      <c r="F1197" s="19"/>
      <c r="G1197" s="19"/>
      <c r="H1197" s="19"/>
      <c r="I1197" s="19"/>
    </row>
    <row r="1198" spans="1:9" x14ac:dyDescent="0.3">
      <c r="A1198" s="19"/>
      <c r="B1198" s="19"/>
      <c r="C1198" s="19"/>
      <c r="D1198" s="19"/>
      <c r="E1198" s="19"/>
      <c r="F1198" s="19"/>
      <c r="G1198" s="19"/>
      <c r="H1198" s="19"/>
      <c r="I1198" s="19"/>
    </row>
    <row r="1199" spans="1:9" x14ac:dyDescent="0.3">
      <c r="A1199" s="19"/>
      <c r="B1199" s="19"/>
      <c r="C1199" s="19"/>
      <c r="D1199" s="19"/>
      <c r="E1199" s="19"/>
      <c r="F1199" s="19"/>
      <c r="G1199" s="19"/>
      <c r="H1199" s="19"/>
      <c r="I1199" s="19"/>
    </row>
    <row r="1200" spans="1:9" x14ac:dyDescent="0.3">
      <c r="A1200" s="19"/>
      <c r="B1200" s="19"/>
      <c r="C1200" s="19"/>
      <c r="D1200" s="19"/>
      <c r="E1200" s="19"/>
      <c r="F1200" s="19"/>
      <c r="G1200" s="19"/>
      <c r="H1200" s="19"/>
      <c r="I1200" s="19"/>
    </row>
    <row r="1201" spans="1:9" x14ac:dyDescent="0.3">
      <c r="A1201" s="19"/>
      <c r="B1201" s="19"/>
      <c r="C1201" s="19"/>
      <c r="D1201" s="19"/>
      <c r="E1201" s="19"/>
      <c r="F1201" s="19"/>
      <c r="G1201" s="19"/>
      <c r="H1201" s="19"/>
      <c r="I1201" s="19"/>
    </row>
    <row r="1202" spans="1:9" x14ac:dyDescent="0.3">
      <c r="A1202" s="19"/>
      <c r="B1202" s="19"/>
      <c r="C1202" s="19"/>
      <c r="D1202" s="19"/>
      <c r="E1202" s="19"/>
      <c r="F1202" s="19"/>
      <c r="G1202" s="19"/>
      <c r="H1202" s="19"/>
      <c r="I1202" s="19"/>
    </row>
    <row r="1203" spans="1:9" x14ac:dyDescent="0.3">
      <c r="A1203" s="19"/>
      <c r="B1203" s="19"/>
      <c r="C1203" s="19"/>
      <c r="D1203" s="19"/>
      <c r="E1203" s="19"/>
      <c r="F1203" s="19"/>
      <c r="G1203" s="19"/>
      <c r="H1203" s="19"/>
      <c r="I1203" s="19"/>
    </row>
    <row r="1204" spans="1:9" x14ac:dyDescent="0.3">
      <c r="A1204" s="19"/>
      <c r="B1204" s="19"/>
      <c r="C1204" s="19"/>
      <c r="D1204" s="19"/>
      <c r="E1204" s="19"/>
      <c r="F1204" s="19"/>
      <c r="G1204" s="19"/>
      <c r="H1204" s="19"/>
      <c r="I1204" s="19"/>
    </row>
    <row r="1205" spans="1:9" x14ac:dyDescent="0.3">
      <c r="A1205" s="19"/>
      <c r="B1205" s="19"/>
      <c r="C1205" s="19"/>
      <c r="D1205" s="19"/>
      <c r="E1205" s="19"/>
      <c r="F1205" s="19"/>
      <c r="G1205" s="19"/>
      <c r="H1205" s="19"/>
      <c r="I1205" s="19"/>
    </row>
    <row r="1206" spans="1:9" x14ac:dyDescent="0.3">
      <c r="A1206" s="19"/>
      <c r="B1206" s="19"/>
      <c r="C1206" s="19"/>
      <c r="D1206" s="19"/>
      <c r="E1206" s="19"/>
      <c r="F1206" s="19"/>
      <c r="G1206" s="19"/>
      <c r="H1206" s="19"/>
      <c r="I1206" s="19"/>
    </row>
    <row r="1207" spans="1:9" x14ac:dyDescent="0.3">
      <c r="A1207" s="19"/>
      <c r="B1207" s="19"/>
      <c r="C1207" s="19"/>
      <c r="D1207" s="19"/>
      <c r="E1207" s="19"/>
      <c r="F1207" s="19"/>
      <c r="G1207" s="19"/>
      <c r="H1207" s="19"/>
      <c r="I1207" s="19"/>
    </row>
    <row r="1208" spans="1:9" x14ac:dyDescent="0.3">
      <c r="A1208" s="19"/>
      <c r="B1208" s="19"/>
      <c r="C1208" s="19"/>
      <c r="D1208" s="19"/>
      <c r="E1208" s="19"/>
      <c r="F1208" s="19"/>
      <c r="G1208" s="19"/>
      <c r="H1208" s="19"/>
      <c r="I1208" s="19"/>
    </row>
    <row r="1209" spans="1:9" x14ac:dyDescent="0.3">
      <c r="A1209" s="19"/>
      <c r="B1209" s="19"/>
      <c r="C1209" s="19"/>
      <c r="D1209" s="19"/>
      <c r="E1209" s="19"/>
      <c r="F1209" s="19"/>
      <c r="G1209" s="19"/>
      <c r="H1209" s="19"/>
      <c r="I1209" s="19"/>
    </row>
    <row r="1210" spans="1:9" x14ac:dyDescent="0.3">
      <c r="A1210" s="19"/>
      <c r="B1210" s="19"/>
      <c r="C1210" s="19"/>
      <c r="D1210" s="19"/>
      <c r="E1210" s="19"/>
      <c r="F1210" s="19"/>
      <c r="G1210" s="19"/>
      <c r="H1210" s="19"/>
      <c r="I1210" s="19"/>
    </row>
    <row r="1211" spans="1:9" x14ac:dyDescent="0.3">
      <c r="A1211" s="19"/>
      <c r="B1211" s="19"/>
      <c r="C1211" s="19"/>
      <c r="D1211" s="19"/>
      <c r="E1211" s="19"/>
      <c r="F1211" s="19"/>
      <c r="G1211" s="19"/>
      <c r="H1211" s="19"/>
      <c r="I1211" s="19"/>
    </row>
    <row r="1212" spans="1:9" x14ac:dyDescent="0.3">
      <c r="A1212" s="19"/>
      <c r="B1212" s="19"/>
      <c r="C1212" s="19"/>
      <c r="D1212" s="19"/>
      <c r="E1212" s="19"/>
      <c r="F1212" s="19"/>
      <c r="G1212" s="19"/>
      <c r="H1212" s="19"/>
      <c r="I1212" s="19"/>
    </row>
    <row r="1213" spans="1:9" x14ac:dyDescent="0.3">
      <c r="A1213" s="19"/>
      <c r="B1213" s="19"/>
      <c r="C1213" s="19"/>
      <c r="D1213" s="19"/>
      <c r="E1213" s="19"/>
      <c r="F1213" s="19"/>
      <c r="G1213" s="19"/>
      <c r="H1213" s="19"/>
      <c r="I1213" s="19"/>
    </row>
    <row r="1214" spans="1:9" x14ac:dyDescent="0.3">
      <c r="A1214" s="19"/>
      <c r="B1214" s="19"/>
      <c r="C1214" s="19"/>
      <c r="D1214" s="19"/>
      <c r="E1214" s="19"/>
      <c r="F1214" s="19"/>
      <c r="G1214" s="19"/>
      <c r="H1214" s="19"/>
      <c r="I1214" s="19"/>
    </row>
    <row r="1215" spans="1:9" x14ac:dyDescent="0.3">
      <c r="A1215" s="19"/>
      <c r="B1215" s="19"/>
      <c r="C1215" s="19"/>
      <c r="D1215" s="19"/>
      <c r="E1215" s="19"/>
      <c r="F1215" s="19"/>
      <c r="G1215" s="19"/>
      <c r="H1215" s="19"/>
      <c r="I1215" s="19"/>
    </row>
    <row r="1216" spans="1:9" x14ac:dyDescent="0.3">
      <c r="A1216" s="19"/>
      <c r="B1216" s="19"/>
      <c r="C1216" s="19"/>
      <c r="D1216" s="19"/>
      <c r="E1216" s="19"/>
      <c r="F1216" s="19"/>
      <c r="G1216" s="19"/>
      <c r="H1216" s="19"/>
      <c r="I1216" s="19"/>
    </row>
    <row r="1217" spans="1:9" x14ac:dyDescent="0.3">
      <c r="A1217" s="19"/>
      <c r="B1217" s="19"/>
      <c r="C1217" s="19"/>
      <c r="D1217" s="19"/>
      <c r="E1217" s="19"/>
      <c r="F1217" s="19"/>
      <c r="G1217" s="19"/>
      <c r="H1217" s="19"/>
      <c r="I1217" s="19"/>
    </row>
    <row r="1218" spans="1:9" x14ac:dyDescent="0.3">
      <c r="A1218" s="19"/>
      <c r="B1218" s="19"/>
      <c r="C1218" s="19"/>
      <c r="D1218" s="19"/>
      <c r="E1218" s="19"/>
      <c r="F1218" s="19"/>
      <c r="G1218" s="19"/>
      <c r="H1218" s="19"/>
      <c r="I1218" s="19"/>
    </row>
    <row r="1219" spans="1:9" x14ac:dyDescent="0.3">
      <c r="A1219" s="19"/>
      <c r="B1219" s="19"/>
      <c r="C1219" s="19"/>
      <c r="D1219" s="19"/>
      <c r="E1219" s="19"/>
      <c r="F1219" s="19"/>
      <c r="G1219" s="19"/>
      <c r="H1219" s="19"/>
      <c r="I1219" s="19"/>
    </row>
    <row r="1220" spans="1:9" x14ac:dyDescent="0.3">
      <c r="A1220" s="19"/>
      <c r="B1220" s="19"/>
      <c r="C1220" s="19"/>
      <c r="D1220" s="19"/>
      <c r="E1220" s="19"/>
      <c r="F1220" s="19"/>
      <c r="G1220" s="19"/>
      <c r="H1220" s="19"/>
      <c r="I1220" s="19"/>
    </row>
    <row r="1221" spans="1:9" x14ac:dyDescent="0.3">
      <c r="A1221" s="19"/>
      <c r="B1221" s="19"/>
      <c r="C1221" s="19"/>
      <c r="D1221" s="19"/>
      <c r="E1221" s="19"/>
      <c r="F1221" s="19"/>
      <c r="G1221" s="19"/>
      <c r="H1221" s="19"/>
      <c r="I1221" s="19"/>
    </row>
    <row r="1222" spans="1:9" x14ac:dyDescent="0.3">
      <c r="A1222" s="19"/>
      <c r="B1222" s="19"/>
      <c r="C1222" s="19"/>
      <c r="D1222" s="19"/>
      <c r="E1222" s="19"/>
      <c r="F1222" s="19"/>
      <c r="G1222" s="19"/>
      <c r="H1222" s="19"/>
      <c r="I1222" s="19"/>
    </row>
    <row r="1223" spans="1:9" x14ac:dyDescent="0.3">
      <c r="A1223" s="19"/>
      <c r="B1223" s="19"/>
      <c r="C1223" s="19"/>
      <c r="D1223" s="19"/>
      <c r="E1223" s="19"/>
      <c r="F1223" s="19"/>
      <c r="G1223" s="19"/>
      <c r="H1223" s="19"/>
      <c r="I1223" s="19"/>
    </row>
    <row r="1224" spans="1:9" x14ac:dyDescent="0.3">
      <c r="A1224" s="19"/>
      <c r="B1224" s="19"/>
      <c r="C1224" s="19"/>
      <c r="D1224" s="19"/>
      <c r="E1224" s="19"/>
      <c r="F1224" s="19"/>
      <c r="G1224" s="19"/>
      <c r="H1224" s="19"/>
      <c r="I1224" s="19"/>
    </row>
    <row r="1225" spans="1:9" x14ac:dyDescent="0.3">
      <c r="A1225" s="19"/>
      <c r="B1225" s="19"/>
      <c r="C1225" s="19"/>
      <c r="D1225" s="19"/>
      <c r="E1225" s="19"/>
      <c r="F1225" s="19"/>
      <c r="G1225" s="19"/>
      <c r="H1225" s="19"/>
      <c r="I1225" s="19"/>
    </row>
    <row r="1226" spans="1:9" x14ac:dyDescent="0.3">
      <c r="A1226" s="19"/>
      <c r="B1226" s="19"/>
      <c r="C1226" s="19"/>
      <c r="D1226" s="19"/>
      <c r="E1226" s="19"/>
      <c r="F1226" s="19"/>
      <c r="G1226" s="19"/>
      <c r="H1226" s="19"/>
      <c r="I1226" s="19"/>
    </row>
    <row r="1227" spans="1:9" x14ac:dyDescent="0.3">
      <c r="A1227" s="19"/>
      <c r="B1227" s="19"/>
      <c r="C1227" s="19"/>
      <c r="D1227" s="19"/>
      <c r="E1227" s="19"/>
      <c r="F1227" s="19"/>
      <c r="G1227" s="19"/>
      <c r="H1227" s="19"/>
      <c r="I1227" s="19"/>
    </row>
    <row r="1228" spans="1:9" x14ac:dyDescent="0.3">
      <c r="A1228" s="19"/>
      <c r="B1228" s="19"/>
      <c r="C1228" s="19"/>
      <c r="D1228" s="19"/>
      <c r="E1228" s="19"/>
      <c r="F1228" s="19"/>
      <c r="G1228" s="19"/>
      <c r="H1228" s="19"/>
      <c r="I1228" s="19"/>
    </row>
    <row r="1229" spans="1:9" x14ac:dyDescent="0.3">
      <c r="A1229" s="19"/>
      <c r="B1229" s="19"/>
      <c r="C1229" s="19"/>
      <c r="D1229" s="19"/>
      <c r="E1229" s="19"/>
      <c r="F1229" s="19"/>
      <c r="G1229" s="19"/>
      <c r="H1229" s="19"/>
      <c r="I1229" s="19"/>
    </row>
    <row r="1230" spans="1:9" x14ac:dyDescent="0.3">
      <c r="A1230" s="19"/>
      <c r="B1230" s="19"/>
      <c r="C1230" s="19"/>
      <c r="D1230" s="19"/>
      <c r="E1230" s="19"/>
      <c r="F1230" s="19"/>
      <c r="G1230" s="19"/>
      <c r="H1230" s="19"/>
      <c r="I1230" s="19"/>
    </row>
    <row r="1231" spans="1:9" x14ac:dyDescent="0.3">
      <c r="A1231" s="19"/>
      <c r="B1231" s="19"/>
      <c r="C1231" s="19"/>
      <c r="D1231" s="19"/>
      <c r="E1231" s="19"/>
      <c r="F1231" s="19"/>
      <c r="G1231" s="19"/>
      <c r="H1231" s="19"/>
      <c r="I1231" s="19"/>
    </row>
    <row r="1232" spans="1:9" x14ac:dyDescent="0.3">
      <c r="A1232" s="19"/>
      <c r="B1232" s="19"/>
      <c r="C1232" s="19"/>
      <c r="D1232" s="19"/>
      <c r="E1232" s="19"/>
      <c r="F1232" s="19"/>
      <c r="G1232" s="19"/>
      <c r="H1232" s="19"/>
      <c r="I1232" s="19"/>
    </row>
    <row r="1233" spans="1:9" x14ac:dyDescent="0.3">
      <c r="A1233" s="19"/>
      <c r="B1233" s="19"/>
      <c r="C1233" s="19"/>
      <c r="D1233" s="19"/>
      <c r="E1233" s="19"/>
      <c r="F1233" s="19"/>
      <c r="G1233" s="19"/>
      <c r="H1233" s="19"/>
      <c r="I1233" s="19"/>
    </row>
    <row r="1234" spans="1:9" x14ac:dyDescent="0.3">
      <c r="A1234" s="19"/>
      <c r="B1234" s="19"/>
      <c r="C1234" s="19"/>
      <c r="D1234" s="19"/>
      <c r="E1234" s="19"/>
      <c r="F1234" s="19"/>
      <c r="G1234" s="19"/>
      <c r="H1234" s="19"/>
      <c r="I1234" s="19"/>
    </row>
    <row r="1235" spans="1:9" x14ac:dyDescent="0.3">
      <c r="A1235" s="19"/>
      <c r="B1235" s="19"/>
      <c r="C1235" s="19"/>
      <c r="D1235" s="19"/>
      <c r="E1235" s="19"/>
      <c r="F1235" s="19"/>
      <c r="G1235" s="19"/>
      <c r="H1235" s="19"/>
      <c r="I1235" s="19"/>
    </row>
    <row r="1236" spans="1:9" x14ac:dyDescent="0.3">
      <c r="A1236" s="19"/>
      <c r="B1236" s="19"/>
      <c r="C1236" s="19"/>
      <c r="D1236" s="19"/>
      <c r="E1236" s="19"/>
      <c r="F1236" s="19"/>
      <c r="G1236" s="19"/>
      <c r="H1236" s="19"/>
      <c r="I1236" s="19"/>
    </row>
    <row r="1237" spans="1:9" x14ac:dyDescent="0.3">
      <c r="A1237" s="19"/>
      <c r="B1237" s="19"/>
      <c r="C1237" s="19"/>
      <c r="D1237" s="19"/>
      <c r="E1237" s="19"/>
      <c r="F1237" s="19"/>
      <c r="G1237" s="19"/>
      <c r="H1237" s="19"/>
      <c r="I1237" s="19"/>
    </row>
    <row r="1238" spans="1:9" x14ac:dyDescent="0.3">
      <c r="A1238" s="19"/>
      <c r="B1238" s="19"/>
      <c r="C1238" s="19"/>
      <c r="D1238" s="19"/>
      <c r="E1238" s="19"/>
      <c r="F1238" s="19"/>
      <c r="G1238" s="19"/>
      <c r="H1238" s="19"/>
      <c r="I1238" s="19"/>
    </row>
    <row r="1239" spans="1:9" x14ac:dyDescent="0.3">
      <c r="A1239" s="19"/>
      <c r="B1239" s="19"/>
      <c r="C1239" s="19"/>
      <c r="D1239" s="19"/>
      <c r="E1239" s="19"/>
      <c r="F1239" s="19"/>
      <c r="G1239" s="19"/>
      <c r="H1239" s="19"/>
      <c r="I1239" s="19"/>
    </row>
    <row r="1240" spans="1:9" x14ac:dyDescent="0.3">
      <c r="A1240" s="19"/>
      <c r="B1240" s="19"/>
      <c r="C1240" s="19"/>
      <c r="D1240" s="19"/>
      <c r="E1240" s="19"/>
      <c r="F1240" s="19"/>
      <c r="G1240" s="19"/>
      <c r="H1240" s="19"/>
      <c r="I1240" s="19"/>
    </row>
    <row r="1241" spans="1:9" x14ac:dyDescent="0.3">
      <c r="A1241" s="19"/>
      <c r="B1241" s="19"/>
      <c r="C1241" s="19"/>
      <c r="D1241" s="19"/>
      <c r="E1241" s="19"/>
      <c r="F1241" s="19"/>
      <c r="G1241" s="19"/>
      <c r="H1241" s="19"/>
      <c r="I1241" s="19"/>
    </row>
    <row r="1242" spans="1:9" x14ac:dyDescent="0.3">
      <c r="A1242" s="19"/>
      <c r="B1242" s="19"/>
      <c r="C1242" s="19"/>
      <c r="D1242" s="19"/>
      <c r="E1242" s="19"/>
      <c r="F1242" s="19"/>
      <c r="G1242" s="19"/>
      <c r="H1242" s="19"/>
      <c r="I1242" s="19"/>
    </row>
    <row r="1243" spans="1:9" x14ac:dyDescent="0.3">
      <c r="A1243" s="19"/>
      <c r="B1243" s="19"/>
      <c r="C1243" s="19"/>
      <c r="D1243" s="19"/>
      <c r="E1243" s="19"/>
      <c r="F1243" s="19"/>
      <c r="G1243" s="19"/>
      <c r="H1243" s="19"/>
      <c r="I1243" s="19"/>
    </row>
  </sheetData>
  <autoFilter ref="A2:M989" xr:uid="{00000000-0009-0000-0000-000004000000}"/>
  <mergeCells count="1">
    <mergeCell ref="A1:I1"/>
  </mergeCells>
  <hyperlinks>
    <hyperlink ref="K466" r:id="rId1" xr:uid="{00000000-0004-0000-0400-000000000000}"/>
    <hyperlink ref="K677" r:id="rId2" xr:uid="{00000000-0004-0000-0400-000001000000}"/>
    <hyperlink ref="K411" r:id="rId3" xr:uid="{00000000-0004-0000-0400-000002000000}"/>
    <hyperlink ref="K724" r:id="rId4" xr:uid="{00000000-0004-0000-0400-000003000000}"/>
    <hyperlink ref="K497" r:id="rId5" xr:uid="{00000000-0004-0000-0400-000004000000}"/>
    <hyperlink ref="K802" r:id="rId6" display="mbelencarpio@hotmail.com" xr:uid="{00000000-0004-0000-0400-000005000000}"/>
    <hyperlink ref="K765" r:id="rId7" xr:uid="{00000000-0004-0000-0400-000006000000}"/>
    <hyperlink ref="K707" r:id="rId8" xr:uid="{00000000-0004-0000-0400-000007000000}"/>
    <hyperlink ref="K384" r:id="rId9" xr:uid="{00000000-0004-0000-0400-000008000000}"/>
    <hyperlink ref="K748" r:id="rId10" xr:uid="{00000000-0004-0000-0400-000009000000}"/>
    <hyperlink ref="K793" r:id="rId11" xr:uid="{00000000-0004-0000-0400-00000A000000}"/>
    <hyperlink ref="K794" r:id="rId12" xr:uid="{00000000-0004-0000-0400-00000B000000}"/>
    <hyperlink ref="K740" r:id="rId13" xr:uid="{00000000-0004-0000-0400-00000C000000}"/>
    <hyperlink ref="K615" r:id="rId14" xr:uid="{00000000-0004-0000-0400-00000D000000}"/>
    <hyperlink ref="K616" r:id="rId15" xr:uid="{00000000-0004-0000-0400-00000E000000}"/>
    <hyperlink ref="K363" r:id="rId16" xr:uid="{00000000-0004-0000-0400-00000F000000}"/>
    <hyperlink ref="K364" r:id="rId17" xr:uid="{00000000-0004-0000-0400-000010000000}"/>
    <hyperlink ref="K495" r:id="rId18" xr:uid="{00000000-0004-0000-0400-000011000000}"/>
    <hyperlink ref="K496" r:id="rId19" xr:uid="{00000000-0004-0000-0400-000012000000}"/>
    <hyperlink ref="K814" r:id="rId20" xr:uid="{00000000-0004-0000-0400-000013000000}"/>
    <hyperlink ref="K82" r:id="rId21" xr:uid="{00000000-0004-0000-0400-000014000000}"/>
    <hyperlink ref="K215" r:id="rId22" xr:uid="{00000000-0004-0000-0400-000015000000}"/>
    <hyperlink ref="K267" r:id="rId23" xr:uid="{00000000-0004-0000-0400-000016000000}"/>
    <hyperlink ref="K274" r:id="rId24" xr:uid="{00000000-0004-0000-0400-000017000000}"/>
    <hyperlink ref="K323" r:id="rId25" xr:uid="{00000000-0004-0000-0400-000018000000}"/>
    <hyperlink ref="K405" r:id="rId26" xr:uid="{00000000-0004-0000-0400-000019000000}"/>
    <hyperlink ref="K702" r:id="rId27" xr:uid="{00000000-0004-0000-0400-00001A000000}"/>
    <hyperlink ref="K703" r:id="rId28" xr:uid="{00000000-0004-0000-0400-00001B000000}"/>
    <hyperlink ref="K371" r:id="rId29" xr:uid="{00000000-0004-0000-0400-00001C000000}"/>
    <hyperlink ref="K439" r:id="rId30" xr:uid="{00000000-0004-0000-0400-00001D000000}"/>
    <hyperlink ref="K772" r:id="rId31" xr:uid="{00000000-0004-0000-0400-00001E000000}"/>
    <hyperlink ref="K669" r:id="rId32" xr:uid="{00000000-0004-0000-0400-00001F000000}"/>
    <hyperlink ref="K417" r:id="rId33" xr:uid="{00000000-0004-0000-0400-000020000000}"/>
    <hyperlink ref="K576" r:id="rId34" xr:uid="{00000000-0004-0000-0400-000021000000}"/>
    <hyperlink ref="K509" r:id="rId35" xr:uid="{00000000-0004-0000-0400-000022000000}"/>
    <hyperlink ref="K465" r:id="rId36" display="kikibelen@gmail.com" xr:uid="{00000000-0004-0000-0400-000023000000}"/>
    <hyperlink ref="K303" r:id="rId37" xr:uid="{00000000-0004-0000-0400-000024000000}"/>
    <hyperlink ref="K304" r:id="rId38" xr:uid="{00000000-0004-0000-0400-000025000000}"/>
    <hyperlink ref="K494" r:id="rId39" xr:uid="{00000000-0004-0000-0400-000026000000}"/>
    <hyperlink ref="K15" r:id="rId40" xr:uid="{00000000-0004-0000-0400-000027000000}"/>
    <hyperlink ref="K52" r:id="rId41" xr:uid="{00000000-0004-0000-0400-000028000000}"/>
    <hyperlink ref="K76" r:id="rId42" xr:uid="{00000000-0004-0000-0400-000029000000}"/>
    <hyperlink ref="K89" r:id="rId43" xr:uid="{00000000-0004-0000-0400-00002A000000}"/>
    <hyperlink ref="K332" r:id="rId44" xr:uid="{00000000-0004-0000-0400-00002B000000}"/>
    <hyperlink ref="K380" r:id="rId45" xr:uid="{00000000-0004-0000-0400-00002C000000}"/>
    <hyperlink ref="K381" r:id="rId46" xr:uid="{00000000-0004-0000-0400-00002D000000}"/>
    <hyperlink ref="K468" r:id="rId47" xr:uid="{00000000-0004-0000-0400-00002E000000}"/>
    <hyperlink ref="K525" r:id="rId48" xr:uid="{00000000-0004-0000-0400-00002F000000}"/>
    <hyperlink ref="K575" r:id="rId49" xr:uid="{00000000-0004-0000-0400-000030000000}"/>
    <hyperlink ref="K582" r:id="rId50" xr:uid="{00000000-0004-0000-0400-000031000000}"/>
    <hyperlink ref="K625" r:id="rId51" xr:uid="{00000000-0004-0000-0400-000032000000}"/>
    <hyperlink ref="K675" r:id="rId52" xr:uid="{00000000-0004-0000-0400-000033000000}"/>
    <hyperlink ref="K719" r:id="rId53" xr:uid="{00000000-0004-0000-0400-000034000000}"/>
    <hyperlink ref="K821" r:id="rId54" xr:uid="{00000000-0004-0000-0400-000035000000}"/>
    <hyperlink ref="K5" r:id="rId55" display="maria.chicaiza1928@hotmail.com" xr:uid="{00000000-0004-0000-0400-000036000000}"/>
    <hyperlink ref="K83" r:id="rId56" display="maria.chicaiza1928@hotmail.com" xr:uid="{00000000-0004-0000-0400-000037000000}"/>
    <hyperlink ref="K202" r:id="rId57" display="maria.chicaiza1928@hotmail.com" xr:uid="{00000000-0004-0000-0400-000038000000}"/>
    <hyperlink ref="K203" r:id="rId58" display="maria.chicaiza1928@hotmail.com" xr:uid="{00000000-0004-0000-0400-000039000000}"/>
    <hyperlink ref="K204" r:id="rId59" display="maria.chicaiza1928@hotmail.com" xr:uid="{00000000-0004-0000-0400-00003A000000}"/>
    <hyperlink ref="K292" r:id="rId60" display="maria.chicaiza1928@hotmail.com" xr:uid="{00000000-0004-0000-0400-00003B000000}"/>
    <hyperlink ref="K377" r:id="rId61" display="maria.chicaiza1928@hotmail.com" xr:uid="{00000000-0004-0000-0400-00003C000000}"/>
    <hyperlink ref="K453" r:id="rId62" display="maria.chicaiza1928@hotmail.com" xr:uid="{00000000-0004-0000-0400-00003D000000}"/>
    <hyperlink ref="K514" r:id="rId63" display="maria.chicaiza1928@hotmail.com" xr:uid="{00000000-0004-0000-0400-00003E000000}"/>
    <hyperlink ref="K597" r:id="rId64" display="maria.chicaiza1928@hotmail.com" xr:uid="{00000000-0004-0000-0400-00003F000000}"/>
    <hyperlink ref="K660" r:id="rId65" display="maria.chicaiza1928@hotmail.com" xr:uid="{00000000-0004-0000-0400-000040000000}"/>
    <hyperlink ref="K776" r:id="rId66" display="maria.chicaiza1928@hotmail.com" xr:uid="{00000000-0004-0000-0400-000041000000}"/>
    <hyperlink ref="K552" r:id="rId67" xr:uid="{00000000-0004-0000-0400-000042000000}"/>
    <hyperlink ref="K399" r:id="rId68" xr:uid="{00000000-0004-0000-0400-000043000000}"/>
    <hyperlink ref="K612" r:id="rId69" xr:uid="{00000000-0004-0000-0400-000044000000}"/>
    <hyperlink ref="K667" r:id="rId70" xr:uid="{00000000-0004-0000-0400-000045000000}"/>
    <hyperlink ref="K668" r:id="rId71" xr:uid="{00000000-0004-0000-0400-000046000000}"/>
    <hyperlink ref="K760" r:id="rId72" xr:uid="{00000000-0004-0000-0400-000047000000}"/>
    <hyperlink ref="K810" r:id="rId73" xr:uid="{00000000-0004-0000-0400-000048000000}"/>
    <hyperlink ref="K619" r:id="rId74" xr:uid="{00000000-0004-0000-0400-000049000000}"/>
    <hyperlink ref="K734" r:id="rId75" xr:uid="{00000000-0004-0000-0400-00004A000000}"/>
    <hyperlink ref="K747" r:id="rId76" xr:uid="{00000000-0004-0000-0400-00004B000000}"/>
    <hyperlink ref="K551" r:id="rId77" xr:uid="{00000000-0004-0000-0400-00004C000000}"/>
    <hyperlink ref="K618" r:id="rId78" xr:uid="{00000000-0004-0000-0400-00004D000000}"/>
    <hyperlink ref="K688" r:id="rId79" xr:uid="{00000000-0004-0000-0400-00004E000000}"/>
    <hyperlink ref="K758" r:id="rId80" xr:uid="{00000000-0004-0000-0400-00004F000000}"/>
    <hyperlink ref="K759" r:id="rId81" xr:uid="{00000000-0004-0000-0400-000050000000}"/>
    <hyperlink ref="K816" r:id="rId82" xr:uid="{00000000-0004-0000-0400-000051000000}"/>
    <hyperlink ref="K815" r:id="rId83" xr:uid="{00000000-0004-0000-0400-000052000000}"/>
    <hyperlink ref="K357" r:id="rId84" xr:uid="{00000000-0004-0000-0400-000053000000}"/>
    <hyperlink ref="K609" r:id="rId85" xr:uid="{00000000-0004-0000-0400-000054000000}"/>
    <hyperlink ref="K610" r:id="rId86" xr:uid="{00000000-0004-0000-0400-000055000000}"/>
    <hyperlink ref="K611" r:id="rId87" xr:uid="{00000000-0004-0000-0400-000056000000}"/>
    <hyperlink ref="K463" r:id="rId88" xr:uid="{00000000-0004-0000-0400-000057000000}"/>
    <hyperlink ref="K528" r:id="rId89" display="mariana_2192@hotmail.com" xr:uid="{00000000-0004-0000-0400-000058000000}"/>
    <hyperlink ref="K529" r:id="rId90" display="mariana_2192@hotmail.com" xr:uid="{00000000-0004-0000-0400-000059000000}"/>
    <hyperlink ref="K817" r:id="rId91" display="mariana_2192@hotmail.com" xr:uid="{00000000-0004-0000-0400-00005A000000}"/>
    <hyperlink ref="K818" r:id="rId92" display="mariana_2192@hotmail.com" xr:uid="{00000000-0004-0000-0400-00005B000000}"/>
    <hyperlink ref="K464" r:id="rId93" xr:uid="{00000000-0004-0000-0400-00005C000000}"/>
    <hyperlink ref="K534" r:id="rId94" xr:uid="{00000000-0004-0000-0400-00005D000000}"/>
    <hyperlink ref="K564" r:id="rId95" xr:uid="{00000000-0004-0000-0400-00005E000000}"/>
    <hyperlink ref="K565" r:id="rId96" xr:uid="{00000000-0004-0000-0400-00005F000000}"/>
    <hyperlink ref="K713" r:id="rId97" xr:uid="{00000000-0004-0000-0400-000060000000}"/>
    <hyperlink ref="K192" r:id="rId98" xr:uid="{00000000-0004-0000-0400-000061000000}"/>
    <hyperlink ref="K193" r:id="rId99" xr:uid="{00000000-0004-0000-0400-000062000000}"/>
    <hyperlink ref="K235" r:id="rId100" xr:uid="{00000000-0004-0000-0400-000063000000}"/>
    <hyperlink ref="K365" r:id="rId101" xr:uid="{00000000-0004-0000-0400-000064000000}"/>
    <hyperlink ref="K592" r:id="rId102" xr:uid="{00000000-0004-0000-0400-000065000000}"/>
    <hyperlink ref="K593" r:id="rId103" xr:uid="{00000000-0004-0000-0400-000066000000}"/>
    <hyperlink ref="K665" r:id="rId104" xr:uid="{00000000-0004-0000-0400-000067000000}"/>
    <hyperlink ref="K168" r:id="rId105" xr:uid="{00000000-0004-0000-0400-000068000000}"/>
    <hyperlink ref="K512" r:id="rId106" xr:uid="{00000000-0004-0000-0400-000069000000}"/>
    <hyperlink ref="K488" r:id="rId107" xr:uid="{00000000-0004-0000-0400-00006A000000}"/>
    <hyperlink ref="K532" r:id="rId108" xr:uid="{00000000-0004-0000-0400-00006B000000}"/>
    <hyperlink ref="K560" r:id="rId109" xr:uid="{00000000-0004-0000-0400-00006C000000}"/>
    <hyperlink ref="K709" r:id="rId110" xr:uid="{00000000-0004-0000-0400-00006D000000}"/>
    <hyperlink ref="K710" r:id="rId111" xr:uid="{00000000-0004-0000-0400-00006E000000}"/>
    <hyperlink ref="K731" r:id="rId112" xr:uid="{00000000-0004-0000-0400-00006F000000}"/>
    <hyperlink ref="K738" r:id="rId113" xr:uid="{00000000-0004-0000-0400-000070000000}"/>
    <hyperlink ref="K706" r:id="rId114" xr:uid="{00000000-0004-0000-0400-000071000000}"/>
    <hyperlink ref="K334" r:id="rId115" xr:uid="{00000000-0004-0000-0400-000072000000}"/>
    <hyperlink ref="K265" r:id="rId116" xr:uid="{00000000-0004-0000-0400-000073000000}"/>
    <hyperlink ref="K266" r:id="rId117" xr:uid="{00000000-0004-0000-0400-000074000000}"/>
    <hyperlink ref="K352" r:id="rId118" xr:uid="{00000000-0004-0000-0400-000075000000}"/>
    <hyperlink ref="K435" r:id="rId119" xr:uid="{00000000-0004-0000-0400-000076000000}"/>
    <hyperlink ref="K498" r:id="rId120" xr:uid="{00000000-0004-0000-0400-000077000000}"/>
    <hyperlink ref="K499" r:id="rId121" xr:uid="{00000000-0004-0000-0400-000078000000}"/>
    <hyperlink ref="K590" r:id="rId122" xr:uid="{00000000-0004-0000-0400-000079000000}"/>
    <hyperlink ref="K591" r:id="rId123" xr:uid="{00000000-0004-0000-0400-00007A000000}"/>
    <hyperlink ref="K819" r:id="rId124" xr:uid="{00000000-0004-0000-0400-00007B000000}"/>
    <hyperlink ref="K627" r:id="rId125" xr:uid="{00000000-0004-0000-0400-00007C000000}"/>
    <hyperlink ref="K796" r:id="rId126" xr:uid="{00000000-0004-0000-0400-00007D000000}"/>
    <hyperlink ref="K66" r:id="rId127" xr:uid="{00000000-0004-0000-0400-00007E000000}"/>
    <hyperlink ref="K408" r:id="rId128" xr:uid="{00000000-0004-0000-0400-00007F000000}"/>
    <hyperlink ref="K604" r:id="rId129" xr:uid="{00000000-0004-0000-0400-000080000000}"/>
    <hyperlink ref="K442" r:id="rId130" xr:uid="{00000000-0004-0000-0400-000081000000}"/>
    <hyperlink ref="K443" r:id="rId131" xr:uid="{00000000-0004-0000-0400-000082000000}"/>
    <hyperlink ref="K485" r:id="rId132" xr:uid="{00000000-0004-0000-0400-000083000000}"/>
    <hyperlink ref="K745" r:id="rId133" xr:uid="{00000000-0004-0000-0400-000084000000}"/>
    <hyperlink ref="K746" r:id="rId134" xr:uid="{00000000-0004-0000-0400-000085000000}"/>
    <hyperlink ref="K681" r:id="rId135" xr:uid="{00000000-0004-0000-0400-000086000000}"/>
    <hyperlink ref="K471" r:id="rId136" xr:uid="{00000000-0004-0000-0400-000087000000}"/>
    <hyperlink ref="K600" r:id="rId137" xr:uid="{00000000-0004-0000-0400-000088000000}"/>
    <hyperlink ref="K601" r:id="rId138" xr:uid="{00000000-0004-0000-0400-000089000000}"/>
    <hyperlink ref="K355" r:id="rId139" xr:uid="{00000000-0004-0000-0400-00008A000000}"/>
    <hyperlink ref="K392" r:id="rId140" xr:uid="{00000000-0004-0000-0400-00008B000000}"/>
    <hyperlink ref="K777" r:id="rId141" xr:uid="{00000000-0004-0000-0400-00008C000000}"/>
    <hyperlink ref="K602" r:id="rId142" xr:uid="{00000000-0004-0000-0400-00008D000000}"/>
    <hyperlink ref="K603" r:id="rId143" xr:uid="{00000000-0004-0000-0400-00008E000000}"/>
    <hyperlink ref="K751" r:id="rId144" xr:uid="{00000000-0004-0000-0400-00008F000000}"/>
    <hyperlink ref="K813" r:id="rId145" xr:uid="{00000000-0004-0000-0400-000090000000}"/>
    <hyperlink ref="K472" r:id="rId146" xr:uid="{00000000-0004-0000-0400-000091000000}"/>
    <hyperlink ref="K649" r:id="rId147" xr:uid="{00000000-0004-0000-0400-000092000000}"/>
    <hyperlink ref="K531" r:id="rId148" xr:uid="{00000000-0004-0000-0400-000093000000}"/>
    <hyperlink ref="K722" r:id="rId149" xr:uid="{00000000-0004-0000-0400-000094000000}"/>
    <hyperlink ref="K413" r:id="rId150" xr:uid="{00000000-0004-0000-0400-000095000000}"/>
    <hyperlink ref="K414" r:id="rId151" xr:uid="{00000000-0004-0000-0400-000096000000}"/>
    <hyperlink ref="K629" r:id="rId152" xr:uid="{00000000-0004-0000-0400-000097000000}"/>
    <hyperlink ref="K662" r:id="rId153" xr:uid="{00000000-0004-0000-0400-000098000000}"/>
    <hyperlink ref="K844" r:id="rId154" xr:uid="{00000000-0004-0000-0400-000099000000}"/>
    <hyperlink ref="K416" r:id="rId155" xr:uid="{00000000-0004-0000-0400-00009A000000}"/>
    <hyperlink ref="K272" r:id="rId156" xr:uid="{00000000-0004-0000-0400-00009B000000}"/>
    <hyperlink ref="K502" r:id="rId157" xr:uid="{00000000-0004-0000-0400-00009C000000}"/>
    <hyperlink ref="K805" r:id="rId158" xr:uid="{00000000-0004-0000-0400-00009D000000}"/>
    <hyperlink ref="K806" r:id="rId159" xr:uid="{00000000-0004-0000-0400-00009E000000}"/>
    <hyperlink ref="K638" r:id="rId160" xr:uid="{00000000-0004-0000-0400-00009F000000}"/>
    <hyperlink ref="K756" r:id="rId161" xr:uid="{00000000-0004-0000-0400-0000A0000000}"/>
    <hyperlink ref="K261" r:id="rId162" xr:uid="{00000000-0004-0000-0400-0000A1000000}"/>
    <hyperlink ref="K273" r:id="rId163" xr:uid="{00000000-0004-0000-0400-0000A2000000}"/>
    <hyperlink ref="K320" r:id="rId164" xr:uid="{00000000-0004-0000-0400-0000A3000000}"/>
    <hyperlink ref="K800" r:id="rId165" xr:uid="{00000000-0004-0000-0400-0000A4000000}"/>
    <hyperlink ref="K642" r:id="rId166" xr:uid="{00000000-0004-0000-0400-0000A5000000}"/>
    <hyperlink ref="K666" r:id="rId167" xr:uid="{00000000-0004-0000-0400-0000A6000000}"/>
    <hyperlink ref="K240" r:id="rId168" xr:uid="{00000000-0004-0000-0400-0000A7000000}"/>
    <hyperlink ref="K241" r:id="rId169" xr:uid="{00000000-0004-0000-0400-0000A8000000}"/>
    <hyperlink ref="K219" r:id="rId170" xr:uid="{00000000-0004-0000-0400-0000A9000000}"/>
    <hyperlink ref="K631" r:id="rId171" xr:uid="{00000000-0004-0000-0400-0000AA000000}"/>
    <hyperlink ref="K708" r:id="rId172" xr:uid="{00000000-0004-0000-0400-0000AB000000}"/>
    <hyperlink ref="K268" r:id="rId173" xr:uid="{00000000-0004-0000-0400-0000AC000000}"/>
    <hyperlink ref="K300" r:id="rId174" xr:uid="{00000000-0004-0000-0400-0000AD000000}"/>
    <hyperlink ref="K422" r:id="rId175" xr:uid="{00000000-0004-0000-0400-0000AE000000}"/>
    <hyperlink ref="K624" r:id="rId176" xr:uid="{00000000-0004-0000-0400-0000AF000000}"/>
    <hyperlink ref="K711" r:id="rId177" xr:uid="{00000000-0004-0000-0400-0000B0000000}"/>
    <hyperlink ref="K750" r:id="rId178" xr:uid="{00000000-0004-0000-0400-0000B1000000}"/>
    <hyperlink ref="K835" r:id="rId179" xr:uid="{00000000-0004-0000-0400-0000B2000000}"/>
    <hyperlink ref="K836" r:id="rId180" xr:uid="{00000000-0004-0000-0400-0000B3000000}"/>
    <hyperlink ref="K757" r:id="rId181" xr:uid="{00000000-0004-0000-0400-0000B4000000}"/>
    <hyperlink ref="K542" r:id="rId182" xr:uid="{00000000-0004-0000-0400-0000B5000000}"/>
    <hyperlink ref="K546" r:id="rId183" xr:uid="{00000000-0004-0000-0400-0000B6000000}"/>
    <hyperlink ref="K383" r:id="rId184" xr:uid="{00000000-0004-0000-0400-0000B7000000}"/>
    <hyperlink ref="K418" r:id="rId185" display="ximeteran@hotmail.com" xr:uid="{00000000-0004-0000-0400-0000B8000000}"/>
    <hyperlink ref="K558" r:id="rId186" xr:uid="{00000000-0004-0000-0400-0000B9000000}"/>
    <hyperlink ref="K635" r:id="rId187" xr:uid="{00000000-0004-0000-0400-0000BA000000}"/>
    <hyperlink ref="K797" r:id="rId188" xr:uid="{00000000-0004-0000-0400-0000BB000000}"/>
    <hyperlink ref="K346" r:id="rId189" xr:uid="{00000000-0004-0000-0400-0000BC000000}"/>
    <hyperlink ref="K347" r:id="rId190" xr:uid="{00000000-0004-0000-0400-0000BD000000}"/>
    <hyperlink ref="K567" r:id="rId191" xr:uid="{00000000-0004-0000-0400-0000BE000000}"/>
    <hyperlink ref="K568" r:id="rId192" xr:uid="{00000000-0004-0000-0400-0000BF000000}"/>
    <hyperlink ref="K620" r:id="rId193" xr:uid="{00000000-0004-0000-0400-0000C0000000}"/>
    <hyperlink ref="K744" r:id="rId194" xr:uid="{00000000-0004-0000-0400-0000C1000000}"/>
    <hyperlink ref="K823" r:id="rId195" xr:uid="{00000000-0004-0000-0400-0000C2000000}"/>
    <hyperlink ref="K824" r:id="rId196" xr:uid="{00000000-0004-0000-0400-0000C3000000}"/>
    <hyperlink ref="K831" r:id="rId197" xr:uid="{00000000-0004-0000-0400-0000C4000000}"/>
    <hyperlink ref="K832" r:id="rId198" xr:uid="{00000000-0004-0000-0400-0000C5000000}"/>
    <hyperlink ref="K554" r:id="rId199" xr:uid="{00000000-0004-0000-0400-0000C6000000}"/>
    <hyperlink ref="K720" r:id="rId200" xr:uid="{00000000-0004-0000-0400-0000C7000000}"/>
    <hyperlink ref="K721" r:id="rId201" xr:uid="{00000000-0004-0000-0400-0000C8000000}"/>
    <hyperlink ref="K792" r:id="rId202" xr:uid="{00000000-0004-0000-0400-0000C9000000}"/>
    <hyperlink ref="K426" r:id="rId203" xr:uid="{00000000-0004-0000-0400-0000CA000000}"/>
    <hyperlink ref="K427" r:id="rId204" xr:uid="{00000000-0004-0000-0400-0000CB000000}"/>
    <hyperlink ref="K520" r:id="rId205" xr:uid="{00000000-0004-0000-0400-0000CC000000}"/>
    <hyperlink ref="K521" r:id="rId206" xr:uid="{00000000-0004-0000-0400-0000CD000000}"/>
    <hyperlink ref="K617" r:id="rId207" xr:uid="{00000000-0004-0000-0400-0000CE000000}"/>
    <hyperlink ref="K788" r:id="rId208" xr:uid="{00000000-0004-0000-0400-0000CF000000}"/>
    <hyperlink ref="K510" r:id="rId209" xr:uid="{00000000-0004-0000-0400-0000D0000000}"/>
    <hyperlink ref="K341" r:id="rId210" xr:uid="{00000000-0004-0000-0400-0000D1000000}"/>
    <hyperlink ref="K503" r:id="rId211" xr:uid="{00000000-0004-0000-0400-0000D2000000}"/>
    <hyperlink ref="K822" r:id="rId212" xr:uid="{00000000-0004-0000-0400-0000D3000000}"/>
    <hyperlink ref="K771" r:id="rId213" xr:uid="{00000000-0004-0000-0400-0000D4000000}"/>
    <hyperlink ref="K454" r:id="rId214" xr:uid="{00000000-0004-0000-0400-0000D5000000}"/>
    <hyperlink ref="K455" r:id="rId215" xr:uid="{00000000-0004-0000-0400-0000D6000000}"/>
    <hyperlink ref="K456" r:id="rId216" xr:uid="{00000000-0004-0000-0400-0000D7000000}"/>
    <hyperlink ref="K574" r:id="rId217" xr:uid="{00000000-0004-0000-0400-0000D8000000}"/>
    <hyperlink ref="K714" r:id="rId218" xr:uid="{00000000-0004-0000-0400-0000D9000000}"/>
    <hyperlink ref="K841" r:id="rId219" xr:uid="{00000000-0004-0000-0400-0000DA000000}"/>
    <hyperlink ref="K613" r:id="rId220" display="monicapizurietav@gmail.com" xr:uid="{00000000-0004-0000-0400-0000DB000000}"/>
    <hyperlink ref="K614" r:id="rId221" display="monicapizurietav@gmail.com" xr:uid="{00000000-0004-0000-0400-0000DC000000}"/>
    <hyperlink ref="K557" r:id="rId222" xr:uid="{00000000-0004-0000-0400-0000DD000000}"/>
    <hyperlink ref="K674" r:id="rId223" xr:uid="{00000000-0004-0000-0400-0000DE000000}"/>
    <hyperlink ref="K577" r:id="rId224" xr:uid="{00000000-0004-0000-0400-0000DF000000}"/>
    <hyperlink ref="K829" r:id="rId225" xr:uid="{00000000-0004-0000-0400-0000E0000000}"/>
    <hyperlink ref="K780" r:id="rId226" xr:uid="{00000000-0004-0000-0400-0000E1000000}"/>
    <hyperlink ref="K581" r:id="rId227" xr:uid="{00000000-0004-0000-0400-0000E2000000}"/>
    <hyperlink ref="K585" r:id="rId228" xr:uid="{00000000-0004-0000-0400-0000E3000000}"/>
    <hyperlink ref="K650" r:id="rId229" xr:uid="{00000000-0004-0000-0400-0000E4000000}"/>
    <hyperlink ref="K790" r:id="rId230" xr:uid="{00000000-0004-0000-0400-0000E5000000}"/>
    <hyperlink ref="K663" r:id="rId231" xr:uid="{00000000-0004-0000-0400-0000E6000000}"/>
    <hyperlink ref="K678" r:id="rId232" xr:uid="{00000000-0004-0000-0400-0000E7000000}"/>
    <hyperlink ref="K673" r:id="rId233" xr:uid="{00000000-0004-0000-0400-0000E8000000}"/>
    <hyperlink ref="K596" r:id="rId234" xr:uid="{00000000-0004-0000-0400-0000E9000000}"/>
    <hyperlink ref="K770" r:id="rId235" xr:uid="{00000000-0004-0000-0400-0000EA000000}"/>
    <hyperlink ref="K212" r:id="rId236" xr:uid="{00000000-0004-0000-0400-0000EB000000}"/>
    <hyperlink ref="K791" r:id="rId237" xr:uid="{00000000-0004-0000-0400-0000EC000000}"/>
    <hyperlink ref="K838" r:id="rId238" xr:uid="{00000000-0004-0000-0400-0000ED000000}"/>
    <hyperlink ref="K199" r:id="rId239" xr:uid="{00000000-0004-0000-0400-0000EE000000}"/>
    <hyperlink ref="K312" r:id="rId240" xr:uid="{00000000-0004-0000-0400-0000EF000000}"/>
    <hyperlink ref="K388" r:id="rId241" xr:uid="{00000000-0004-0000-0400-0000F0000000}"/>
    <hyperlink ref="K99" r:id="rId242" xr:uid="{00000000-0004-0000-0400-0000F1000000}"/>
    <hyperlink ref="K100" r:id="rId243" xr:uid="{00000000-0004-0000-0400-0000F2000000}"/>
    <hyperlink ref="K515" r:id="rId244" xr:uid="{00000000-0004-0000-0400-0000F3000000}"/>
    <hyperlink ref="K715" r:id="rId245" xr:uid="{00000000-0004-0000-0400-0000F4000000}"/>
    <hyperlink ref="K716" r:id="rId246" xr:uid="{00000000-0004-0000-0400-0000F5000000}"/>
    <hyperlink ref="K342" r:id="rId247" xr:uid="{00000000-0004-0000-0400-0000F6000000}"/>
    <hyperlink ref="K478" r:id="rId248" xr:uid="{00000000-0004-0000-0400-0000F7000000}"/>
    <hyperlink ref="K479" r:id="rId249" xr:uid="{00000000-0004-0000-0400-0000F8000000}"/>
    <hyperlink ref="K393" r:id="rId250" xr:uid="{00000000-0004-0000-0400-0000F9000000}"/>
    <hyperlink ref="K571" r:id="rId251" xr:uid="{00000000-0004-0000-0400-0000FA000000}"/>
    <hyperlink ref="K647" r:id="rId252" xr:uid="{00000000-0004-0000-0400-0000FB000000}"/>
    <hyperlink ref="K242" r:id="rId253" xr:uid="{00000000-0004-0000-0400-0000FC000000}"/>
    <hyperlink ref="K243" r:id="rId254" xr:uid="{00000000-0004-0000-0400-0000FD000000}"/>
    <hyperlink ref="K244" r:id="rId255" xr:uid="{00000000-0004-0000-0400-0000FE000000}"/>
    <hyperlink ref="K636" r:id="rId256" xr:uid="{00000000-0004-0000-0400-0000FF000000}"/>
    <hyperlink ref="K298" r:id="rId257" xr:uid="{00000000-0004-0000-0400-000000010000}"/>
    <hyperlink ref="K516" r:id="rId258" xr:uid="{00000000-0004-0000-0400-000001010000}"/>
    <hyperlink ref="K741" r:id="rId259" xr:uid="{00000000-0004-0000-0400-000002010000}"/>
    <hyperlink ref="K481" r:id="rId260" xr:uid="{00000000-0004-0000-0400-000003010000}"/>
    <hyperlink ref="K440" r:id="rId261" xr:uid="{00000000-0004-0000-0400-000004010000}"/>
    <hyperlink ref="K480" r:id="rId262" xr:uid="{00000000-0004-0000-0400-000005010000}"/>
    <hyperlink ref="K469" r:id="rId263" xr:uid="{00000000-0004-0000-0400-000006010000}"/>
    <hyperlink ref="K755" r:id="rId264" xr:uid="{00000000-0004-0000-0400-000007010000}"/>
    <hyperlink ref="K420" r:id="rId265" xr:uid="{00000000-0004-0000-0400-000008010000}"/>
    <hyperlink ref="K526" r:id="rId266" xr:uid="{00000000-0004-0000-0400-000009010000}"/>
    <hyperlink ref="K539" r:id="rId267" xr:uid="{00000000-0004-0000-0400-00000A010000}"/>
    <hyperlink ref="K540" r:id="rId268" xr:uid="{00000000-0004-0000-0400-00000B010000}"/>
    <hyperlink ref="K541" r:id="rId269" xr:uid="{00000000-0004-0000-0400-00000C010000}"/>
    <hyperlink ref="K679" r:id="rId270" xr:uid="{00000000-0004-0000-0400-00000D010000}"/>
    <hyperlink ref="K773" r:id="rId271" xr:uid="{00000000-0004-0000-0400-00000E010000}"/>
    <hyperlink ref="K774" r:id="rId272" xr:uid="{00000000-0004-0000-0400-00000F010000}"/>
    <hyperlink ref="K775" r:id="rId273" xr:uid="{00000000-0004-0000-0400-000010010000}"/>
    <hyperlink ref="K833" r:id="rId274" xr:uid="{00000000-0004-0000-0400-000011010000}"/>
    <hyperlink ref="K482" r:id="rId275" xr:uid="{00000000-0004-0000-0400-000012010000}"/>
    <hyperlink ref="K493" r:id="rId276" xr:uid="{00000000-0004-0000-0400-000013010000}"/>
    <hyperlink ref="K220" r:id="rId277" xr:uid="{00000000-0004-0000-0400-000014010000}"/>
    <hyperlink ref="K317" r:id="rId278" xr:uid="{00000000-0004-0000-0400-000015010000}"/>
    <hyperlink ref="K321" r:id="rId279" xr:uid="{00000000-0004-0000-0400-000016010000}"/>
    <hyperlink ref="K322" r:id="rId280" xr:uid="{00000000-0004-0000-0400-000017010000}"/>
    <hyperlink ref="K447" r:id="rId281" xr:uid="{00000000-0004-0000-0400-000018010000}"/>
    <hyperlink ref="K845" r:id="rId282" xr:uid="{00000000-0004-0000-0400-000019010000}"/>
    <hyperlink ref="K264" r:id="rId283" xr:uid="{00000000-0004-0000-0400-00001A010000}"/>
    <hyperlink ref="K53" r:id="rId284" xr:uid="{00000000-0004-0000-0400-00001B010000}"/>
    <hyperlink ref="K143" r:id="rId285" xr:uid="{00000000-0004-0000-0400-00001C010000}"/>
    <hyperlink ref="K232" r:id="rId286" xr:uid="{00000000-0004-0000-0400-00001D010000}"/>
    <hyperlink ref="K327" r:id="rId287" xr:uid="{00000000-0004-0000-0400-00001E010000}"/>
    <hyperlink ref="K828" r:id="rId288" xr:uid="{00000000-0004-0000-0400-00001F010000}"/>
    <hyperlink ref="K92" r:id="rId289" xr:uid="{00000000-0004-0000-0400-000020010000}"/>
    <hyperlink ref="K196" r:id="rId290" xr:uid="{00000000-0004-0000-0400-000021010000}"/>
    <hyperlink ref="K197" r:id="rId291" xr:uid="{00000000-0004-0000-0400-000022010000}"/>
    <hyperlink ref="K331" r:id="rId292" xr:uid="{00000000-0004-0000-0400-000023010000}"/>
    <hyperlink ref="K369" r:id="rId293" xr:uid="{00000000-0004-0000-0400-000024010000}"/>
    <hyperlink ref="K436" r:id="rId294" xr:uid="{00000000-0004-0000-0400-000025010000}"/>
    <hyperlink ref="K467" r:id="rId295" xr:uid="{00000000-0004-0000-0400-000026010000}"/>
    <hyperlink ref="K535" r:id="rId296" xr:uid="{00000000-0004-0000-0400-000027010000}"/>
    <hyperlink ref="K651" r:id="rId297" xr:uid="{00000000-0004-0000-0400-000028010000}"/>
    <hyperlink ref="K812" r:id="rId298" xr:uid="{00000000-0004-0000-0400-000029010000}"/>
    <hyperlink ref="K795" r:id="rId299" xr:uid="{00000000-0004-0000-0400-00002A010000}"/>
    <hyperlink ref="K843" r:id="rId300" xr:uid="{00000000-0004-0000-0400-00002B010000}"/>
    <hyperlink ref="K530" r:id="rId301" xr:uid="{00000000-0004-0000-0400-00002C010000}"/>
    <hyperlink ref="K689" r:id="rId302" xr:uid="{00000000-0004-0000-0400-00002D010000}"/>
    <hyperlink ref="K690" r:id="rId303" xr:uid="{00000000-0004-0000-0400-00002E010000}"/>
    <hyperlink ref="K766" r:id="rId304" xr:uid="{00000000-0004-0000-0400-00002F010000}"/>
    <hyperlink ref="K767" r:id="rId305" xr:uid="{00000000-0004-0000-0400-000030010000}"/>
    <hyperlink ref="K725" r:id="rId306" xr:uid="{00000000-0004-0000-0400-000031010000}"/>
    <hyperlink ref="K726" r:id="rId307" xr:uid="{00000000-0004-0000-0400-000032010000}"/>
    <hyperlink ref="K781" r:id="rId308" xr:uid="{00000000-0004-0000-0400-000033010000}"/>
    <hyperlink ref="K782" r:id="rId309" xr:uid="{00000000-0004-0000-0400-000034010000}"/>
    <hyperlink ref="K693" r:id="rId310" xr:uid="{00000000-0004-0000-0400-000035010000}"/>
    <hyperlink ref="K3" r:id="rId311" xr:uid="{00000000-0004-0000-0400-000036010000}"/>
    <hyperlink ref="K4" r:id="rId312" xr:uid="{00000000-0004-0000-0400-000037010000}"/>
    <hyperlink ref="K18" r:id="rId313" xr:uid="{00000000-0004-0000-0400-000038010000}"/>
    <hyperlink ref="K19" r:id="rId314" xr:uid="{00000000-0004-0000-0400-000039010000}"/>
    <hyperlink ref="K81" r:id="rId315" xr:uid="{00000000-0004-0000-0400-00003A010000}"/>
    <hyperlink ref="K373" r:id="rId316" xr:uid="{00000000-0004-0000-0400-00003B010000}"/>
    <hyperlink ref="K511" r:id="rId317" xr:uid="{00000000-0004-0000-0400-00003C010000}"/>
    <hyperlink ref="K492" r:id="rId318" xr:uid="{00000000-0004-0000-0400-00003D010000}"/>
    <hyperlink ref="K559" r:id="rId319" xr:uid="{00000000-0004-0000-0400-00003E010000}"/>
    <hyperlink ref="K733" r:id="rId320" xr:uid="{00000000-0004-0000-0400-00003F010000}"/>
    <hyperlink ref="K803" r:id="rId321" xr:uid="{00000000-0004-0000-0400-000040010000}"/>
    <hyperlink ref="K839" r:id="rId322" xr:uid="{00000000-0004-0000-0400-000041010000}"/>
    <hyperlink ref="K840" r:id="rId323" xr:uid="{00000000-0004-0000-0400-000042010000}"/>
    <hyperlink ref="K387" r:id="rId324" xr:uid="{00000000-0004-0000-0400-000043010000}"/>
    <hyperlink ref="K421" r:id="rId325" xr:uid="{00000000-0004-0000-0400-000044010000}"/>
    <hyperlink ref="K104" r:id="rId326" xr:uid="{00000000-0004-0000-0400-000045010000}"/>
    <hyperlink ref="K105" r:id="rId327" xr:uid="{00000000-0004-0000-0400-000046010000}"/>
    <hyperlink ref="K586" r:id="rId328" xr:uid="{00000000-0004-0000-0400-000047010000}"/>
    <hyperlink ref="K686" r:id="rId329" xr:uid="{00000000-0004-0000-0400-000048010000}"/>
    <hyperlink ref="K687" r:id="rId330" xr:uid="{00000000-0004-0000-0400-000049010000}"/>
    <hyperlink ref="K150" r:id="rId331" xr:uid="{00000000-0004-0000-0400-00004A010000}"/>
    <hyperlink ref="K717" r:id="rId332" xr:uid="{00000000-0004-0000-0400-00004B010000}"/>
    <hyperlink ref="K768" r:id="rId333" xr:uid="{00000000-0004-0000-0400-00004C010000}"/>
    <hyperlink ref="K769" r:id="rId334" xr:uid="{00000000-0004-0000-0400-00004D010000}"/>
    <hyperlink ref="K277" r:id="rId335" xr:uid="{00000000-0004-0000-0400-00004E010000}"/>
    <hyperlink ref="K434" r:id="rId336" xr:uid="{00000000-0004-0000-0400-00004F010000}"/>
    <hyperlink ref="K595" r:id="rId337" xr:uid="{00000000-0004-0000-0400-000050010000}"/>
    <hyperlink ref="K742" r:id="rId338" xr:uid="{00000000-0004-0000-0400-000051010000}"/>
    <hyperlink ref="K17" r:id="rId339" xr:uid="{00000000-0004-0000-0400-000052010000}"/>
    <hyperlink ref="K79" r:id="rId340" xr:uid="{00000000-0004-0000-0400-000053010000}"/>
    <hyperlink ref="K80" r:id="rId341" xr:uid="{00000000-0004-0000-0400-000054010000}"/>
    <hyperlink ref="K161" r:id="rId342" xr:uid="{00000000-0004-0000-0400-000055010000}"/>
    <hyperlink ref="K238" r:id="rId343" xr:uid="{00000000-0004-0000-0400-000056010000}"/>
    <hyperlink ref="K297" r:id="rId344" xr:uid="{00000000-0004-0000-0400-000057010000}"/>
    <hyperlink ref="K318" r:id="rId345" xr:uid="{00000000-0004-0000-0400-000058010000}"/>
    <hyperlink ref="K351" r:id="rId346" xr:uid="{00000000-0004-0000-0400-000059010000}"/>
    <hyperlink ref="K382" r:id="rId347" xr:uid="{00000000-0004-0000-0400-00005A010000}"/>
    <hyperlink ref="K402" r:id="rId348" xr:uid="{00000000-0004-0000-0400-00005B010000}"/>
    <hyperlink ref="K425" r:id="rId349" xr:uid="{00000000-0004-0000-0400-00005C010000}"/>
    <hyperlink ref="K476" r:id="rId350" xr:uid="{00000000-0004-0000-0400-00005D010000}"/>
    <hyperlink ref="K477" r:id="rId351" xr:uid="{00000000-0004-0000-0400-00005E010000}"/>
    <hyperlink ref="K548" r:id="rId352" xr:uid="{00000000-0004-0000-0400-00005F010000}"/>
    <hyperlink ref="K524" r:id="rId353" xr:uid="{00000000-0004-0000-0400-000060010000}"/>
    <hyperlink ref="K561" r:id="rId354" xr:uid="{00000000-0004-0000-0400-000061010000}"/>
    <hyperlink ref="K652" r:id="rId355" xr:uid="{00000000-0004-0000-0400-000062010000}"/>
    <hyperlink ref="K685" r:id="rId356" xr:uid="{00000000-0004-0000-0400-000063010000}"/>
    <hyperlink ref="K729" r:id="rId357" xr:uid="{00000000-0004-0000-0400-000064010000}"/>
    <hyperlink ref="K730" r:id="rId358" xr:uid="{00000000-0004-0000-0400-000065010000}"/>
    <hyperlink ref="K804" r:id="rId359" xr:uid="{00000000-0004-0000-0400-000066010000}"/>
    <hyperlink ref="K704" r:id="rId360" xr:uid="{00000000-0004-0000-0400-000067010000}"/>
    <hyperlink ref="K761" r:id="rId361" xr:uid="{00000000-0004-0000-0400-000068010000}"/>
    <hyperlink ref="K762" r:id="rId362" xr:uid="{00000000-0004-0000-0400-000069010000}"/>
    <hyperlink ref="K70" r:id="rId363" xr:uid="{00000000-0004-0000-0400-00006A010000}"/>
    <hyperlink ref="K71" r:id="rId364" xr:uid="{00000000-0004-0000-0400-00006B010000}"/>
    <hyperlink ref="K200" r:id="rId365" xr:uid="{00000000-0004-0000-0400-00006C010000}"/>
    <hyperlink ref="K201" r:id="rId366" xr:uid="{00000000-0004-0000-0400-00006D010000}"/>
    <hyperlink ref="K403" r:id="rId367" xr:uid="{00000000-0004-0000-0400-00006E010000}"/>
    <hyperlink ref="K404" r:id="rId368" xr:uid="{00000000-0004-0000-0400-00006F010000}"/>
    <hyperlink ref="K579" r:id="rId369" xr:uid="{00000000-0004-0000-0400-000070010000}"/>
    <hyperlink ref="K718" r:id="rId370" xr:uid="{00000000-0004-0000-0400-000071010000}"/>
    <hyperlink ref="K671" r:id="rId371" xr:uid="{00000000-0004-0000-0400-000072010000}"/>
    <hyperlink ref="K737" r:id="rId372" xr:uid="{00000000-0004-0000-0400-000073010000}"/>
    <hyperlink ref="K16" r:id="rId373" xr:uid="{00000000-0004-0000-0400-000074010000}"/>
    <hyperlink ref="K78" r:id="rId374" xr:uid="{00000000-0004-0000-0400-000075010000}"/>
    <hyperlink ref="K160" r:id="rId375" xr:uid="{00000000-0004-0000-0400-000076010000}"/>
    <hyperlink ref="K206" r:id="rId376" xr:uid="{00000000-0004-0000-0400-000077010000}"/>
    <hyperlink ref="K230" r:id="rId377" xr:uid="{00000000-0004-0000-0400-000078010000}"/>
    <hyperlink ref="K270" r:id="rId378" xr:uid="{00000000-0004-0000-0400-000079010000}"/>
    <hyperlink ref="K302" r:id="rId379" xr:uid="{00000000-0004-0000-0400-00007A010000}"/>
    <hyperlink ref="K350" r:id="rId380" xr:uid="{00000000-0004-0000-0400-00007B010000}"/>
    <hyperlink ref="K362" r:id="rId381" xr:uid="{00000000-0004-0000-0400-00007C010000}"/>
    <hyperlink ref="K400" r:id="rId382" xr:uid="{00000000-0004-0000-0400-00007D010000}"/>
    <hyperlink ref="K401" r:id="rId383" xr:uid="{00000000-0004-0000-0400-00007E010000}"/>
    <hyperlink ref="K406" r:id="rId384" xr:uid="{00000000-0004-0000-0400-00007F010000}"/>
    <hyperlink ref="K424" r:id="rId385" xr:uid="{00000000-0004-0000-0400-000080010000}"/>
    <hyperlink ref="K475" r:id="rId386" xr:uid="{00000000-0004-0000-0400-000081010000}"/>
    <hyperlink ref="K484" r:id="rId387" xr:uid="{00000000-0004-0000-0400-000082010000}"/>
    <hyperlink ref="K517" r:id="rId388" xr:uid="{00000000-0004-0000-0400-000083010000}"/>
    <hyperlink ref="K518" r:id="rId389" xr:uid="{00000000-0004-0000-0400-000084010000}"/>
    <hyperlink ref="K589" r:id="rId390" xr:uid="{00000000-0004-0000-0400-000085010000}"/>
    <hyperlink ref="K753" r:id="rId391" xr:uid="{00000000-0004-0000-0400-000086010000}"/>
    <hyperlink ref="K754" r:id="rId392" xr:uid="{00000000-0004-0000-0400-000087010000}"/>
    <hyperlink ref="K808" r:id="rId393" xr:uid="{00000000-0004-0000-0400-000088010000}"/>
    <hyperlink ref="K809" r:id="rId394" xr:uid="{00000000-0004-0000-0400-000089010000}"/>
    <hyperlink ref="K842" r:id="rId395" xr:uid="{00000000-0004-0000-0400-00008A010000}"/>
    <hyperlink ref="K846" r:id="rId396" xr:uid="{00000000-0004-0000-0400-00008B010000}"/>
    <hyperlink ref="K763" r:id="rId397" xr:uid="{00000000-0004-0000-0400-00008C010000}"/>
    <hyperlink ref="K727" r:id="rId398" xr:uid="{00000000-0004-0000-0400-00008D010000}"/>
    <hyperlink ref="K728" r:id="rId399" xr:uid="{00000000-0004-0000-0400-00008E010000}"/>
    <hyperlink ref="K820" r:id="rId400" xr:uid="{00000000-0004-0000-0400-00008F010000}"/>
    <hyperlink ref="K578" r:id="rId401" xr:uid="{00000000-0004-0000-0400-000090010000}"/>
    <hyperlink ref="K149" r:id="rId402" xr:uid="{00000000-0004-0000-0400-000091010000}"/>
    <hyperlink ref="K258" r:id="rId403" xr:uid="{00000000-0004-0000-0400-000092010000}"/>
    <hyperlink ref="K508" r:id="rId404" xr:uid="{00000000-0004-0000-0400-000093010000}"/>
    <hyperlink ref="K697" r:id="rId405" xr:uid="{00000000-0004-0000-0400-000094010000}"/>
    <hyperlink ref="K533" r:id="rId406" xr:uid="{00000000-0004-0000-0400-000095010000}"/>
    <hyperlink ref="K339" r:id="rId407" xr:uid="{00000000-0004-0000-0400-000096010000}"/>
    <hyperlink ref="K778" r:id="rId408" xr:uid="{00000000-0004-0000-0400-000097010000}"/>
    <hyperlink ref="K779" r:id="rId409" xr:uid="{00000000-0004-0000-0400-000098010000}"/>
    <hyperlink ref="K764" r:id="rId410" xr:uid="{00000000-0004-0000-0400-000099010000}"/>
    <hyperlink ref="K462" r:id="rId411" xr:uid="{00000000-0004-0000-0400-00009A010000}"/>
    <hyperlink ref="K489" r:id="rId412" xr:uid="{00000000-0004-0000-0400-00009B010000}"/>
    <hyperlink ref="K555" r:id="rId413" xr:uid="{00000000-0004-0000-0400-00009C010000}"/>
    <hyperlink ref="K556" r:id="rId414" xr:uid="{00000000-0004-0000-0400-00009D010000}"/>
    <hyperlink ref="K594" r:id="rId415" xr:uid="{00000000-0004-0000-0400-00009E010000}"/>
    <hyperlink ref="K194" r:id="rId416" xr:uid="{00000000-0004-0000-0400-00009F010000}"/>
    <hyperlink ref="K195" r:id="rId417" xr:uid="{00000000-0004-0000-0400-0000A0010000}"/>
    <hyperlink ref="K473" r:id="rId418" xr:uid="{00000000-0004-0000-0400-0000A1010000}"/>
    <hyperlink ref="K474" r:id="rId419" xr:uid="{00000000-0004-0000-0400-0000A2010000}"/>
    <hyperlink ref="K632" r:id="rId420" xr:uid="{00000000-0004-0000-0400-0000A3010000}"/>
    <hyperlink ref="K633" r:id="rId421" xr:uid="{00000000-0004-0000-0400-0000A4010000}"/>
    <hyperlink ref="K634" r:id="rId422" xr:uid="{00000000-0004-0000-0400-0000A5010000}"/>
    <hyperlink ref="K599" r:id="rId423" display="veronicaachi17@outlook.es" xr:uid="{00000000-0004-0000-0400-0000A6010000}"/>
    <hyperlink ref="K107" r:id="rId424" xr:uid="{00000000-0004-0000-0400-0000A7010000}"/>
    <hyperlink ref="K299" r:id="rId425" xr:uid="{00000000-0004-0000-0400-0000A8010000}"/>
    <hyperlink ref="K562" r:id="rId426" xr:uid="{00000000-0004-0000-0400-0000A9010000}"/>
    <hyperlink ref="K563" r:id="rId427" xr:uid="{00000000-0004-0000-0400-0000AA010000}"/>
    <hyperlink ref="K732" r:id="rId428" xr:uid="{00000000-0004-0000-0400-0000AB010000}"/>
    <hyperlink ref="K827" r:id="rId429" xr:uid="{00000000-0004-0000-0400-0000AC010000}"/>
    <hyperlink ref="K682" r:id="rId430" xr:uid="{00000000-0004-0000-0400-0000AD010000}"/>
    <hyperlink ref="K198" r:id="rId431" xr:uid="{00000000-0004-0000-0400-0000AE010000}"/>
    <hyperlink ref="K349" r:id="rId432" xr:uid="{00000000-0004-0000-0400-0000AF010000}"/>
    <hyperlink ref="K483" r:id="rId433" xr:uid="{00000000-0004-0000-0400-0000B0010000}"/>
    <hyperlink ref="K712" r:id="rId434" xr:uid="{00000000-0004-0000-0400-0000B1010000}"/>
    <hyperlink ref="K811" r:id="rId435" xr:uid="{00000000-0004-0000-0400-0000B2010000}"/>
    <hyperlink ref="K664" r:id="rId436" xr:uid="{00000000-0004-0000-0400-0000B3010000}"/>
    <hyperlink ref="K84" r:id="rId437" xr:uid="{00000000-0004-0000-0400-0000B4010000}"/>
    <hyperlink ref="K85" r:id="rId438" xr:uid="{00000000-0004-0000-0400-0000B5010000}"/>
    <hyperlink ref="K86" r:id="rId439" xr:uid="{00000000-0004-0000-0400-0000B6010000}"/>
    <hyperlink ref="K87" r:id="rId440" xr:uid="{00000000-0004-0000-0400-0000B7010000}"/>
    <hyperlink ref="K374" r:id="rId441" xr:uid="{00000000-0004-0000-0400-0000B8010000}"/>
    <hyperlink ref="K375" r:id="rId442" xr:uid="{00000000-0004-0000-0400-0000B9010000}"/>
    <hyperlink ref="K580" r:id="rId443" xr:uid="{00000000-0004-0000-0400-0000BA010000}"/>
    <hyperlink ref="K653" r:id="rId444" xr:uid="{00000000-0004-0000-0400-0000BB010000}"/>
    <hyperlink ref="K676" r:id="rId445" xr:uid="{00000000-0004-0000-0400-0000BC010000}"/>
    <hyperlink ref="K670" r:id="rId446" xr:uid="{00000000-0004-0000-0400-0000BD010000}"/>
    <hyperlink ref="K233" r:id="rId447" xr:uid="{00000000-0004-0000-0400-0000BE010000}"/>
    <hyperlink ref="K234" r:id="rId448" xr:uid="{00000000-0004-0000-0400-0000BF010000}"/>
    <hyperlink ref="K700" r:id="rId449" xr:uid="{00000000-0004-0000-0400-0000C0010000}"/>
    <hyperlink ref="K328" r:id="rId450" xr:uid="{00000000-0004-0000-0400-0000C1010000}"/>
    <hyperlink ref="K333" r:id="rId451" xr:uid="{00000000-0004-0000-0400-0000C2010000}"/>
    <hyperlink ref="K657" r:id="rId452" xr:uid="{00000000-0004-0000-0400-0000C3010000}"/>
    <hyperlink ref="K695" r:id="rId453" xr:uid="{00000000-0004-0000-0400-0000C4010000}"/>
    <hyperlink ref="K696" r:id="rId454" xr:uid="{00000000-0004-0000-0400-0000C5010000}"/>
    <hyperlink ref="K490" r:id="rId455" xr:uid="{00000000-0004-0000-0400-0000C6010000}"/>
    <hyperlink ref="K324" r:id="rId456" xr:uid="{00000000-0004-0000-0400-0000C7010000}"/>
    <hyperlink ref="K354" r:id="rId457" xr:uid="{00000000-0004-0000-0400-0000C8010000}"/>
    <hyperlink ref="K386" r:id="rId458" xr:uid="{00000000-0004-0000-0400-0000C9010000}"/>
    <hyperlink ref="K437" r:id="rId459" xr:uid="{00000000-0004-0000-0400-0000CA010000}"/>
    <hyperlink ref="K507" r:id="rId460" xr:uid="{00000000-0004-0000-0400-0000CB010000}"/>
    <hyperlink ref="K72" r:id="rId461" xr:uid="{00000000-0004-0000-0400-0000CC010000}"/>
    <hyperlink ref="K73" r:id="rId462" xr:uid="{00000000-0004-0000-0400-0000CD010000}"/>
    <hyperlink ref="K74" r:id="rId463" xr:uid="{00000000-0004-0000-0400-0000CE010000}"/>
    <hyperlink ref="K75" r:id="rId464" xr:uid="{00000000-0004-0000-0400-0000CF010000}"/>
    <hyperlink ref="K236" r:id="rId465" xr:uid="{00000000-0004-0000-0400-0000D0010000}"/>
    <hyperlink ref="K391" r:id="rId466" xr:uid="{00000000-0004-0000-0400-0000D1010000}"/>
    <hyperlink ref="K504" r:id="rId467" xr:uid="{00000000-0004-0000-0400-0000D2010000}"/>
    <hyperlink ref="K783" r:id="rId468" xr:uid="{00000000-0004-0000-0400-0000D3010000}"/>
    <hyperlink ref="K784" r:id="rId469" xr:uid="{00000000-0004-0000-0400-0000D4010000}"/>
    <hyperlink ref="K785" r:id="rId470" xr:uid="{00000000-0004-0000-0400-0000D5010000}"/>
    <hyperlink ref="K786" r:id="rId471" xr:uid="{00000000-0004-0000-0400-0000D6010000}"/>
    <hyperlink ref="K787" r:id="rId472" xr:uid="{00000000-0004-0000-0400-0000D7010000}"/>
    <hyperlink ref="K658" r:id="rId473" xr:uid="{00000000-0004-0000-0400-0000D8010000}"/>
    <hyperlink ref="K659" r:id="rId474" xr:uid="{00000000-0004-0000-0400-0000D9010000}"/>
    <hyperlink ref="K584" r:id="rId475" xr:uid="{00000000-0004-0000-0400-0000DA010000}"/>
    <hyperlink ref="K655" r:id="rId476" xr:uid="{00000000-0004-0000-0400-0000DB010000}"/>
    <hyperlink ref="K656" r:id="rId477" xr:uid="{00000000-0004-0000-0400-0000DC010000}"/>
    <hyperlink ref="K630" r:id="rId478" xr:uid="{00000000-0004-0000-0400-0000DD010000}"/>
    <hyperlink ref="K743" r:id="rId479" xr:uid="{00000000-0004-0000-0400-0000DE010000}"/>
    <hyperlink ref="K344" r:id="rId480" xr:uid="{00000000-0004-0000-0400-0000DF010000}"/>
    <hyperlink ref="K527" r:id="rId481" xr:uid="{00000000-0004-0000-0400-0000E0010000}"/>
    <hyperlink ref="K573" r:id="rId482" xr:uid="{00000000-0004-0000-0400-0000E1010000}"/>
    <hyperlink ref="K694" r:id="rId483" xr:uid="{00000000-0004-0000-0400-0000E2010000}"/>
    <hyperlink ref="K259" r:id="rId484" xr:uid="{00000000-0004-0000-0400-0000E3010000}"/>
    <hyperlink ref="K260" r:id="rId485" xr:uid="{00000000-0004-0000-0400-0000E4010000}"/>
    <hyperlink ref="K446" r:id="rId486" xr:uid="{00000000-0004-0000-0400-0000E5010000}"/>
    <hyperlink ref="K316" r:id="rId487" xr:uid="{00000000-0004-0000-0400-0000E6010000}"/>
    <hyperlink ref="K353" r:id="rId488" xr:uid="{00000000-0004-0000-0400-0000E7010000}"/>
    <hyperlink ref="K513" r:id="rId489" xr:uid="{00000000-0004-0000-0400-0000E8010000}"/>
    <hyperlink ref="K159" r:id="rId490" xr:uid="{00000000-0004-0000-0400-0000E9010000}"/>
    <hyperlink ref="K587" r:id="rId491" xr:uid="{00000000-0004-0000-0400-0000EA010000}"/>
    <hyperlink ref="K588" r:id="rId492" xr:uid="{00000000-0004-0000-0400-0000EB010000}"/>
    <hyperlink ref="K605" r:id="rId493" xr:uid="{00000000-0004-0000-0400-0000EC010000}"/>
    <hyperlink ref="K646" r:id="rId494" xr:uid="{00000000-0004-0000-0400-0000ED010000}"/>
    <hyperlink ref="K34" r:id="rId495" xr:uid="{00000000-0004-0000-0400-0000EE010000}"/>
    <hyperlink ref="K118" r:id="rId496" xr:uid="{00000000-0004-0000-0400-0000EF010000}"/>
    <hyperlink ref="K522" r:id="rId497" xr:uid="{00000000-0004-0000-0400-0000F0010000}"/>
  </hyperlinks>
  <pageMargins left="0.75" right="0.75" top="1" bottom="1" header="0.5" footer="0.5"/>
  <pageSetup orientation="portrait" r:id="rId49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7"/>
  <sheetViews>
    <sheetView topLeftCell="A7" workbookViewId="0">
      <selection activeCell="D52" sqref="D52:E53"/>
    </sheetView>
  </sheetViews>
  <sheetFormatPr baseColWidth="10" defaultColWidth="12" defaultRowHeight="15" x14ac:dyDescent="0.25"/>
  <cols>
    <col min="1" max="1" width="10.5703125" style="30" bestFit="1" customWidth="1"/>
    <col min="2" max="2" width="15.5703125" style="30" customWidth="1"/>
    <col min="3" max="3" width="10.5703125" style="30" customWidth="1"/>
    <col min="4" max="4" width="16.42578125" style="30" bestFit="1" customWidth="1"/>
    <col min="5" max="5" width="12" style="43"/>
    <col min="6" max="7" width="12" style="30"/>
    <col min="8" max="8" width="12" style="43"/>
    <col min="9" max="16384" width="12" style="30"/>
  </cols>
  <sheetData>
    <row r="1" spans="1:8" ht="16.5" thickBot="1" x14ac:dyDescent="0.3">
      <c r="A1" s="31" t="s">
        <v>15</v>
      </c>
      <c r="B1" s="31"/>
      <c r="C1" s="31"/>
      <c r="D1" s="31" t="s">
        <v>595</v>
      </c>
      <c r="E1" s="32" t="s">
        <v>596</v>
      </c>
      <c r="F1" s="31" t="s">
        <v>597</v>
      </c>
      <c r="G1" s="31" t="s">
        <v>598</v>
      </c>
      <c r="H1" s="32" t="s">
        <v>599</v>
      </c>
    </row>
    <row r="2" spans="1:8" x14ac:dyDescent="0.25">
      <c r="A2" s="109">
        <v>46011</v>
      </c>
      <c r="B2" s="107">
        <v>1790283380001</v>
      </c>
      <c r="C2" s="107" t="s">
        <v>1010</v>
      </c>
      <c r="D2" s="111" t="s">
        <v>600</v>
      </c>
      <c r="E2" s="33">
        <v>0.13</v>
      </c>
      <c r="F2" s="34" t="s">
        <v>601</v>
      </c>
      <c r="G2" s="34">
        <v>0</v>
      </c>
      <c r="H2" s="35">
        <f t="shared" ref="H2:H64" si="0">E2*G2</f>
        <v>0</v>
      </c>
    </row>
    <row r="3" spans="1:8" ht="15.75" thickBot="1" x14ac:dyDescent="0.3">
      <c r="A3" s="110"/>
      <c r="B3" s="108"/>
      <c r="C3" s="108"/>
      <c r="D3" s="112"/>
      <c r="E3" s="36">
        <v>149.87</v>
      </c>
      <c r="F3" s="37" t="s">
        <v>602</v>
      </c>
      <c r="G3" s="37">
        <v>0</v>
      </c>
      <c r="H3" s="38">
        <f t="shared" si="0"/>
        <v>0</v>
      </c>
    </row>
    <row r="4" spans="1:8" x14ac:dyDescent="0.25">
      <c r="A4" s="109">
        <v>46011</v>
      </c>
      <c r="B4" s="107">
        <v>1790283380001</v>
      </c>
      <c r="C4" s="107" t="s">
        <v>1010</v>
      </c>
      <c r="D4" s="111" t="s">
        <v>603</v>
      </c>
      <c r="E4" s="33">
        <v>0.13</v>
      </c>
      <c r="F4" s="34" t="s">
        <v>601</v>
      </c>
      <c r="G4" s="34">
        <v>0</v>
      </c>
      <c r="H4" s="35">
        <f t="shared" si="0"/>
        <v>0</v>
      </c>
    </row>
    <row r="5" spans="1:8" ht="15.75" thickBot="1" x14ac:dyDescent="0.3">
      <c r="A5" s="110"/>
      <c r="B5" s="108"/>
      <c r="C5" s="108"/>
      <c r="D5" s="112"/>
      <c r="E5" s="36">
        <v>1.87</v>
      </c>
      <c r="F5" s="37" t="s">
        <v>602</v>
      </c>
      <c r="G5" s="37">
        <v>0</v>
      </c>
      <c r="H5" s="38">
        <f t="shared" si="0"/>
        <v>0</v>
      </c>
    </row>
    <row r="6" spans="1:8" x14ac:dyDescent="0.25">
      <c r="A6" s="109">
        <v>46018</v>
      </c>
      <c r="B6" s="107">
        <v>1790283380001</v>
      </c>
      <c r="C6" s="107" t="s">
        <v>1010</v>
      </c>
      <c r="D6" s="111" t="s">
        <v>604</v>
      </c>
      <c r="E6" s="33">
        <v>0</v>
      </c>
      <c r="F6" s="34" t="s">
        <v>601</v>
      </c>
      <c r="G6" s="34">
        <v>0</v>
      </c>
      <c r="H6" s="35">
        <f t="shared" si="0"/>
        <v>0</v>
      </c>
    </row>
    <row r="7" spans="1:8" ht="15.75" thickBot="1" x14ac:dyDescent="0.3">
      <c r="A7" s="110"/>
      <c r="B7" s="108"/>
      <c r="C7" s="108"/>
      <c r="D7" s="112"/>
      <c r="E7" s="36">
        <v>162</v>
      </c>
      <c r="F7" s="37" t="s">
        <v>602</v>
      </c>
      <c r="G7" s="37">
        <v>0</v>
      </c>
      <c r="H7" s="38">
        <f t="shared" si="0"/>
        <v>0</v>
      </c>
    </row>
    <row r="8" spans="1:8" x14ac:dyDescent="0.25">
      <c r="A8" s="113">
        <v>46023</v>
      </c>
      <c r="B8" s="107">
        <v>1790283380001</v>
      </c>
      <c r="C8" s="107" t="s">
        <v>1010</v>
      </c>
      <c r="D8" s="115" t="s">
        <v>605</v>
      </c>
      <c r="E8" s="33">
        <v>0</v>
      </c>
      <c r="F8" s="34" t="s">
        <v>601</v>
      </c>
      <c r="G8" s="34">
        <v>0</v>
      </c>
      <c r="H8" s="35">
        <f t="shared" si="0"/>
        <v>0</v>
      </c>
    </row>
    <row r="9" spans="1:8" ht="15.75" thickBot="1" x14ac:dyDescent="0.3">
      <c r="A9" s="114"/>
      <c r="B9" s="108"/>
      <c r="C9" s="108"/>
      <c r="D9" s="116"/>
      <c r="E9" s="36">
        <v>40</v>
      </c>
      <c r="F9" s="37" t="s">
        <v>602</v>
      </c>
      <c r="G9" s="37">
        <v>0</v>
      </c>
      <c r="H9" s="38">
        <f t="shared" si="0"/>
        <v>0</v>
      </c>
    </row>
    <row r="10" spans="1:8" x14ac:dyDescent="0.25">
      <c r="A10" s="113">
        <v>46022</v>
      </c>
      <c r="B10" s="107">
        <v>1790283380001</v>
      </c>
      <c r="C10" s="107" t="s">
        <v>1010</v>
      </c>
      <c r="D10" s="115" t="s">
        <v>606</v>
      </c>
      <c r="E10" s="33">
        <v>0</v>
      </c>
      <c r="F10" s="34" t="s">
        <v>601</v>
      </c>
      <c r="G10" s="34">
        <v>0</v>
      </c>
      <c r="H10" s="35">
        <f t="shared" si="0"/>
        <v>0</v>
      </c>
    </row>
    <row r="11" spans="1:8" ht="15.75" thickBot="1" x14ac:dyDescent="0.3">
      <c r="A11" s="114"/>
      <c r="B11" s="108"/>
      <c r="C11" s="108"/>
      <c r="D11" s="116"/>
      <c r="E11" s="36">
        <v>256</v>
      </c>
      <c r="F11" s="37" t="s">
        <v>602</v>
      </c>
      <c r="G11" s="37">
        <v>0</v>
      </c>
      <c r="H11" s="38">
        <f t="shared" si="0"/>
        <v>0</v>
      </c>
    </row>
    <row r="12" spans="1:8" x14ac:dyDescent="0.25">
      <c r="A12" s="113">
        <v>46023</v>
      </c>
      <c r="B12" s="107">
        <v>1790283380001</v>
      </c>
      <c r="C12" s="107" t="s">
        <v>1010</v>
      </c>
      <c r="D12" s="115" t="s">
        <v>607</v>
      </c>
      <c r="E12" s="33">
        <v>0</v>
      </c>
      <c r="F12" s="34" t="s">
        <v>601</v>
      </c>
      <c r="G12" s="34">
        <v>0</v>
      </c>
      <c r="H12" s="35">
        <f t="shared" si="0"/>
        <v>0</v>
      </c>
    </row>
    <row r="13" spans="1:8" ht="15.75" thickBot="1" x14ac:dyDescent="0.3">
      <c r="A13" s="114"/>
      <c r="B13" s="108"/>
      <c r="C13" s="108"/>
      <c r="D13" s="116"/>
      <c r="E13" s="36">
        <v>31</v>
      </c>
      <c r="F13" s="37" t="s">
        <v>602</v>
      </c>
      <c r="G13" s="37">
        <v>0</v>
      </c>
      <c r="H13" s="38">
        <f t="shared" si="0"/>
        <v>0</v>
      </c>
    </row>
    <row r="14" spans="1:8" x14ac:dyDescent="0.25">
      <c r="A14" s="113">
        <v>46023</v>
      </c>
      <c r="B14" s="107">
        <v>1790283380001</v>
      </c>
      <c r="C14" s="107" t="s">
        <v>1010</v>
      </c>
      <c r="D14" s="115" t="s">
        <v>608</v>
      </c>
      <c r="E14" s="33">
        <v>0</v>
      </c>
      <c r="F14" s="34" t="s">
        <v>601</v>
      </c>
      <c r="G14" s="34">
        <v>0</v>
      </c>
      <c r="H14" s="35">
        <f t="shared" si="0"/>
        <v>0</v>
      </c>
    </row>
    <row r="15" spans="1:8" ht="15.75" thickBot="1" x14ac:dyDescent="0.3">
      <c r="A15" s="114"/>
      <c r="B15" s="108"/>
      <c r="C15" s="108"/>
      <c r="D15" s="116"/>
      <c r="E15" s="36">
        <v>43</v>
      </c>
      <c r="F15" s="37" t="s">
        <v>602</v>
      </c>
      <c r="G15" s="37">
        <v>0</v>
      </c>
      <c r="H15" s="38">
        <f t="shared" si="0"/>
        <v>0</v>
      </c>
    </row>
    <row r="16" spans="1:8" x14ac:dyDescent="0.25">
      <c r="A16" s="113">
        <v>46032</v>
      </c>
      <c r="B16" s="107">
        <v>1790283380001</v>
      </c>
      <c r="C16" s="107" t="s">
        <v>1010</v>
      </c>
      <c r="D16" s="115" t="s">
        <v>609</v>
      </c>
      <c r="E16" s="33">
        <v>0</v>
      </c>
      <c r="F16" s="34" t="s">
        <v>601</v>
      </c>
      <c r="G16" s="34">
        <v>0</v>
      </c>
      <c r="H16" s="35">
        <f t="shared" si="0"/>
        <v>0</v>
      </c>
    </row>
    <row r="17" spans="1:8" ht="15.75" thickBot="1" x14ac:dyDescent="0.3">
      <c r="A17" s="114"/>
      <c r="B17" s="108"/>
      <c r="C17" s="108"/>
      <c r="D17" s="116"/>
      <c r="E17" s="36">
        <v>115</v>
      </c>
      <c r="F17" s="37" t="s">
        <v>602</v>
      </c>
      <c r="G17" s="37">
        <v>0</v>
      </c>
      <c r="H17" s="38">
        <f t="shared" si="0"/>
        <v>0</v>
      </c>
    </row>
    <row r="18" spans="1:8" x14ac:dyDescent="0.25">
      <c r="A18" s="113">
        <v>46032</v>
      </c>
      <c r="B18" s="107">
        <v>1790283380001</v>
      </c>
      <c r="C18" s="107" t="s">
        <v>1010</v>
      </c>
      <c r="D18" s="115" t="s">
        <v>610</v>
      </c>
      <c r="E18" s="33">
        <v>0</v>
      </c>
      <c r="F18" s="34" t="s">
        <v>601</v>
      </c>
      <c r="G18" s="34">
        <v>0</v>
      </c>
      <c r="H18" s="35">
        <f t="shared" si="0"/>
        <v>0</v>
      </c>
    </row>
    <row r="19" spans="1:8" ht="15.75" thickBot="1" x14ac:dyDescent="0.3">
      <c r="A19" s="114"/>
      <c r="B19" s="108"/>
      <c r="C19" s="108"/>
      <c r="D19" s="116"/>
      <c r="E19" s="36">
        <v>180</v>
      </c>
      <c r="F19" s="37" t="s">
        <v>602</v>
      </c>
      <c r="G19" s="37">
        <v>0</v>
      </c>
      <c r="H19" s="38">
        <f t="shared" si="0"/>
        <v>0</v>
      </c>
    </row>
    <row r="20" spans="1:8" x14ac:dyDescent="0.25">
      <c r="A20" s="113">
        <v>46039</v>
      </c>
      <c r="B20" s="107">
        <v>1790283380001</v>
      </c>
      <c r="C20" s="107" t="s">
        <v>1010</v>
      </c>
      <c r="D20" s="115" t="s">
        <v>611</v>
      </c>
      <c r="E20" s="33">
        <v>0</v>
      </c>
      <c r="F20" s="34" t="s">
        <v>601</v>
      </c>
      <c r="G20" s="34">
        <v>0</v>
      </c>
      <c r="H20" s="35">
        <f t="shared" si="0"/>
        <v>0</v>
      </c>
    </row>
    <row r="21" spans="1:8" ht="15.75" thickBot="1" x14ac:dyDescent="0.3">
      <c r="A21" s="114"/>
      <c r="B21" s="108"/>
      <c r="C21" s="108"/>
      <c r="D21" s="116"/>
      <c r="E21" s="36">
        <v>25</v>
      </c>
      <c r="F21" s="37" t="s">
        <v>602</v>
      </c>
      <c r="G21" s="37">
        <v>0</v>
      </c>
      <c r="H21" s="38">
        <f t="shared" si="0"/>
        <v>0</v>
      </c>
    </row>
    <row r="22" spans="1:8" x14ac:dyDescent="0.25">
      <c r="A22" s="113">
        <v>46039</v>
      </c>
      <c r="B22" s="107">
        <v>1790283380001</v>
      </c>
      <c r="C22" s="107" t="s">
        <v>1010</v>
      </c>
      <c r="D22" s="115" t="s">
        <v>612</v>
      </c>
      <c r="E22" s="33">
        <v>0</v>
      </c>
      <c r="F22" s="34" t="s">
        <v>601</v>
      </c>
      <c r="G22" s="34">
        <v>0</v>
      </c>
      <c r="H22" s="35">
        <f t="shared" si="0"/>
        <v>0</v>
      </c>
    </row>
    <row r="23" spans="1:8" ht="15.75" thickBot="1" x14ac:dyDescent="0.3">
      <c r="A23" s="114"/>
      <c r="B23" s="108"/>
      <c r="C23" s="108"/>
      <c r="D23" s="116"/>
      <c r="E23" s="36">
        <v>50</v>
      </c>
      <c r="F23" s="37" t="s">
        <v>602</v>
      </c>
      <c r="G23" s="37">
        <v>0</v>
      </c>
      <c r="H23" s="38">
        <f t="shared" si="0"/>
        <v>0</v>
      </c>
    </row>
    <row r="24" spans="1:8" x14ac:dyDescent="0.25">
      <c r="A24" s="113">
        <v>46039</v>
      </c>
      <c r="B24" s="107">
        <v>1790283380001</v>
      </c>
      <c r="C24" s="107" t="s">
        <v>1010</v>
      </c>
      <c r="D24" s="115" t="s">
        <v>613</v>
      </c>
      <c r="E24" s="33">
        <v>0</v>
      </c>
      <c r="F24" s="34" t="s">
        <v>601</v>
      </c>
      <c r="G24" s="34">
        <v>0</v>
      </c>
      <c r="H24" s="35">
        <f t="shared" si="0"/>
        <v>0</v>
      </c>
    </row>
    <row r="25" spans="1:8" ht="15.75" thickBot="1" x14ac:dyDescent="0.3">
      <c r="A25" s="114"/>
      <c r="B25" s="108"/>
      <c r="C25" s="108"/>
      <c r="D25" s="116"/>
      <c r="E25" s="36">
        <v>32</v>
      </c>
      <c r="F25" s="37" t="s">
        <v>602</v>
      </c>
      <c r="G25" s="37">
        <v>0</v>
      </c>
      <c r="H25" s="38">
        <f t="shared" si="0"/>
        <v>0</v>
      </c>
    </row>
    <row r="26" spans="1:8" x14ac:dyDescent="0.25">
      <c r="A26" s="113">
        <v>46046</v>
      </c>
      <c r="B26" s="107">
        <v>1790283380001</v>
      </c>
      <c r="C26" s="107" t="s">
        <v>1010</v>
      </c>
      <c r="D26" s="115" t="s">
        <v>614</v>
      </c>
      <c r="E26" s="33">
        <v>0</v>
      </c>
      <c r="F26" s="34" t="s">
        <v>601</v>
      </c>
      <c r="G26" s="34">
        <v>0</v>
      </c>
      <c r="H26" s="35">
        <f t="shared" si="0"/>
        <v>0</v>
      </c>
    </row>
    <row r="27" spans="1:8" ht="15.75" thickBot="1" x14ac:dyDescent="0.3">
      <c r="A27" s="114"/>
      <c r="B27" s="108"/>
      <c r="C27" s="108"/>
      <c r="D27" s="116"/>
      <c r="E27" s="36">
        <v>73</v>
      </c>
      <c r="F27" s="37" t="s">
        <v>602</v>
      </c>
      <c r="G27" s="37">
        <v>0</v>
      </c>
      <c r="H27" s="38">
        <f t="shared" si="0"/>
        <v>0</v>
      </c>
    </row>
    <row r="28" spans="1:8" x14ac:dyDescent="0.25">
      <c r="A28" s="113">
        <v>46046</v>
      </c>
      <c r="B28" s="107">
        <v>1790283380001</v>
      </c>
      <c r="C28" s="107" t="s">
        <v>1010</v>
      </c>
      <c r="D28" s="115" t="s">
        <v>615</v>
      </c>
      <c r="E28" s="33">
        <v>0</v>
      </c>
      <c r="F28" s="34" t="s">
        <v>601</v>
      </c>
      <c r="G28" s="34">
        <v>0</v>
      </c>
      <c r="H28" s="35">
        <f t="shared" si="0"/>
        <v>0</v>
      </c>
    </row>
    <row r="29" spans="1:8" ht="15.75" thickBot="1" x14ac:dyDescent="0.3">
      <c r="A29" s="114"/>
      <c r="B29" s="108"/>
      <c r="C29" s="108"/>
      <c r="D29" s="116"/>
      <c r="E29" s="36">
        <v>27</v>
      </c>
      <c r="F29" s="37" t="s">
        <v>602</v>
      </c>
      <c r="G29" s="37">
        <v>0</v>
      </c>
      <c r="H29" s="38">
        <f t="shared" si="0"/>
        <v>0</v>
      </c>
    </row>
    <row r="30" spans="1:8" x14ac:dyDescent="0.25">
      <c r="A30" s="113">
        <v>46046</v>
      </c>
      <c r="B30" s="107">
        <v>1790283380001</v>
      </c>
      <c r="C30" s="107" t="s">
        <v>1010</v>
      </c>
      <c r="D30" s="115" t="s">
        <v>616</v>
      </c>
      <c r="E30" s="33">
        <v>0</v>
      </c>
      <c r="F30" s="34" t="s">
        <v>601</v>
      </c>
      <c r="G30" s="34">
        <v>0</v>
      </c>
      <c r="H30" s="35">
        <f t="shared" si="0"/>
        <v>0</v>
      </c>
    </row>
    <row r="31" spans="1:8" ht="15.75" thickBot="1" x14ac:dyDescent="0.3">
      <c r="A31" s="114"/>
      <c r="B31" s="108"/>
      <c r="C31" s="108"/>
      <c r="D31" s="116"/>
      <c r="E31" s="36">
        <v>25</v>
      </c>
      <c r="F31" s="37" t="s">
        <v>602</v>
      </c>
      <c r="G31" s="37">
        <v>0</v>
      </c>
      <c r="H31" s="38">
        <f t="shared" si="0"/>
        <v>0</v>
      </c>
    </row>
    <row r="32" spans="1:8" x14ac:dyDescent="0.25">
      <c r="A32" s="113">
        <v>46060</v>
      </c>
      <c r="B32" s="107">
        <v>1790283380001</v>
      </c>
      <c r="C32" s="107" t="s">
        <v>1010</v>
      </c>
      <c r="D32" s="115" t="s">
        <v>617</v>
      </c>
      <c r="E32" s="33">
        <v>0</v>
      </c>
      <c r="F32" s="34" t="s">
        <v>601</v>
      </c>
      <c r="G32" s="34">
        <v>0</v>
      </c>
      <c r="H32" s="35">
        <f t="shared" si="0"/>
        <v>0</v>
      </c>
    </row>
    <row r="33" spans="1:8" ht="15.75" thickBot="1" x14ac:dyDescent="0.3">
      <c r="A33" s="114"/>
      <c r="B33" s="108"/>
      <c r="C33" s="108"/>
      <c r="D33" s="116"/>
      <c r="E33" s="36">
        <v>119</v>
      </c>
      <c r="F33" s="37" t="s">
        <v>602</v>
      </c>
      <c r="G33" s="37">
        <v>0</v>
      </c>
      <c r="H33" s="38">
        <f t="shared" si="0"/>
        <v>0</v>
      </c>
    </row>
    <row r="34" spans="1:8" x14ac:dyDescent="0.25">
      <c r="A34" s="113">
        <v>46060</v>
      </c>
      <c r="B34" s="107">
        <v>1790283380001</v>
      </c>
      <c r="C34" s="107" t="s">
        <v>1010</v>
      </c>
      <c r="D34" s="115" t="s">
        <v>618</v>
      </c>
      <c r="E34" s="33">
        <v>0</v>
      </c>
      <c r="F34" s="34" t="s">
        <v>601</v>
      </c>
      <c r="G34" s="34">
        <v>0</v>
      </c>
      <c r="H34" s="35">
        <f t="shared" si="0"/>
        <v>0</v>
      </c>
    </row>
    <row r="35" spans="1:8" ht="15.75" thickBot="1" x14ac:dyDescent="0.3">
      <c r="A35" s="114"/>
      <c r="B35" s="108"/>
      <c r="C35" s="108"/>
      <c r="D35" s="116"/>
      <c r="E35" s="36">
        <v>50</v>
      </c>
      <c r="F35" s="37" t="s">
        <v>602</v>
      </c>
      <c r="G35" s="37">
        <v>0</v>
      </c>
      <c r="H35" s="38">
        <f t="shared" si="0"/>
        <v>0</v>
      </c>
    </row>
    <row r="36" spans="1:8" x14ac:dyDescent="0.25">
      <c r="A36" s="113">
        <v>46062</v>
      </c>
      <c r="B36" s="107">
        <v>990049459001</v>
      </c>
      <c r="C36" s="107" t="s">
        <v>1011</v>
      </c>
      <c r="D36" s="115" t="s">
        <v>619</v>
      </c>
      <c r="E36" s="33">
        <v>0</v>
      </c>
      <c r="F36" s="34" t="s">
        <v>601</v>
      </c>
      <c r="G36" s="34">
        <v>0</v>
      </c>
      <c r="H36" s="35">
        <f t="shared" si="0"/>
        <v>0</v>
      </c>
    </row>
    <row r="37" spans="1:8" ht="15.75" thickBot="1" x14ac:dyDescent="0.3">
      <c r="A37" s="114"/>
      <c r="B37" s="108"/>
      <c r="C37" s="108"/>
      <c r="D37" s="116"/>
      <c r="E37" s="36">
        <v>47.03</v>
      </c>
      <c r="F37" s="37" t="s">
        <v>602</v>
      </c>
      <c r="G37" s="37">
        <v>0.02</v>
      </c>
      <c r="H37" s="38">
        <f t="shared" si="0"/>
        <v>0.94059999999999999</v>
      </c>
    </row>
    <row r="38" spans="1:8" x14ac:dyDescent="0.25">
      <c r="A38" s="113">
        <v>46067</v>
      </c>
      <c r="B38" s="107">
        <v>1790283380001</v>
      </c>
      <c r="C38" s="107" t="s">
        <v>1010</v>
      </c>
      <c r="D38" s="115" t="s">
        <v>620</v>
      </c>
      <c r="E38" s="33">
        <v>0</v>
      </c>
      <c r="F38" s="34" t="s">
        <v>601</v>
      </c>
      <c r="G38" s="34">
        <v>0</v>
      </c>
      <c r="H38" s="35">
        <f t="shared" si="0"/>
        <v>0</v>
      </c>
    </row>
    <row r="39" spans="1:8" ht="15.75" thickBot="1" x14ac:dyDescent="0.3">
      <c r="A39" s="114"/>
      <c r="B39" s="108"/>
      <c r="C39" s="108"/>
      <c r="D39" s="116"/>
      <c r="E39" s="36">
        <v>136</v>
      </c>
      <c r="F39" s="37" t="s">
        <v>602</v>
      </c>
      <c r="G39" s="37">
        <v>0</v>
      </c>
      <c r="H39" s="38">
        <f t="shared" si="0"/>
        <v>0</v>
      </c>
    </row>
    <row r="40" spans="1:8" x14ac:dyDescent="0.25">
      <c r="A40" s="113">
        <v>46067</v>
      </c>
      <c r="B40" s="107">
        <v>1790283380001</v>
      </c>
      <c r="C40" s="107" t="s">
        <v>1010</v>
      </c>
      <c r="D40" s="115" t="s">
        <v>621</v>
      </c>
      <c r="E40" s="33">
        <v>0</v>
      </c>
      <c r="F40" s="34" t="s">
        <v>601</v>
      </c>
      <c r="G40" s="34">
        <v>0</v>
      </c>
      <c r="H40" s="35">
        <f t="shared" si="0"/>
        <v>0</v>
      </c>
    </row>
    <row r="41" spans="1:8" ht="15.75" thickBot="1" x14ac:dyDescent="0.3">
      <c r="A41" s="114"/>
      <c r="B41" s="108"/>
      <c r="C41" s="108"/>
      <c r="D41" s="116"/>
      <c r="E41" s="36">
        <v>58</v>
      </c>
      <c r="F41" s="37" t="s">
        <v>602</v>
      </c>
      <c r="G41" s="37">
        <v>0</v>
      </c>
      <c r="H41" s="38">
        <f t="shared" si="0"/>
        <v>0</v>
      </c>
    </row>
    <row r="42" spans="1:8" x14ac:dyDescent="0.25">
      <c r="A42" s="113">
        <v>46074</v>
      </c>
      <c r="B42" s="107">
        <v>1790283380001</v>
      </c>
      <c r="C42" s="107" t="s">
        <v>1010</v>
      </c>
      <c r="D42" s="115" t="s">
        <v>622</v>
      </c>
      <c r="E42" s="33">
        <v>0</v>
      </c>
      <c r="F42" s="34" t="s">
        <v>601</v>
      </c>
      <c r="G42" s="34">
        <v>0</v>
      </c>
      <c r="H42" s="35">
        <f t="shared" si="0"/>
        <v>0</v>
      </c>
    </row>
    <row r="43" spans="1:8" ht="15.75" thickBot="1" x14ac:dyDescent="0.3">
      <c r="A43" s="114"/>
      <c r="B43" s="108"/>
      <c r="C43" s="108"/>
      <c r="D43" s="116"/>
      <c r="E43" s="36">
        <v>16</v>
      </c>
      <c r="F43" s="37" t="s">
        <v>602</v>
      </c>
      <c r="G43" s="37">
        <v>0</v>
      </c>
      <c r="H43" s="38">
        <f t="shared" si="0"/>
        <v>0</v>
      </c>
    </row>
    <row r="44" spans="1:8" x14ac:dyDescent="0.25">
      <c r="A44" s="113">
        <v>46074</v>
      </c>
      <c r="B44" s="107">
        <v>1790283380001</v>
      </c>
      <c r="C44" s="107" t="s">
        <v>1010</v>
      </c>
      <c r="D44" s="115" t="s">
        <v>623</v>
      </c>
      <c r="E44" s="33">
        <v>0</v>
      </c>
      <c r="F44" s="34" t="s">
        <v>601</v>
      </c>
      <c r="G44" s="34">
        <v>0</v>
      </c>
      <c r="H44" s="35">
        <f t="shared" si="0"/>
        <v>0</v>
      </c>
    </row>
    <row r="45" spans="1:8" ht="15.75" thickBot="1" x14ac:dyDescent="0.3">
      <c r="A45" s="114"/>
      <c r="B45" s="108"/>
      <c r="C45" s="108"/>
      <c r="D45" s="116"/>
      <c r="E45" s="36">
        <v>60</v>
      </c>
      <c r="F45" s="37" t="s">
        <v>602</v>
      </c>
      <c r="G45" s="37">
        <v>0</v>
      </c>
      <c r="H45" s="38">
        <f t="shared" si="0"/>
        <v>0</v>
      </c>
    </row>
    <row r="46" spans="1:8" x14ac:dyDescent="0.25">
      <c r="A46" s="113">
        <v>46081</v>
      </c>
      <c r="B46" s="107">
        <v>1790283380001</v>
      </c>
      <c r="C46" s="107" t="s">
        <v>1010</v>
      </c>
      <c r="D46" s="115" t="s">
        <v>624</v>
      </c>
      <c r="E46" s="33">
        <v>0</v>
      </c>
      <c r="F46" s="34" t="s">
        <v>601</v>
      </c>
      <c r="G46" s="34">
        <v>0</v>
      </c>
      <c r="H46" s="35">
        <f t="shared" si="0"/>
        <v>0</v>
      </c>
    </row>
    <row r="47" spans="1:8" ht="15.75" thickBot="1" x14ac:dyDescent="0.3">
      <c r="A47" s="114"/>
      <c r="B47" s="108"/>
      <c r="C47" s="108"/>
      <c r="D47" s="116"/>
      <c r="E47" s="36">
        <v>2</v>
      </c>
      <c r="F47" s="37" t="s">
        <v>602</v>
      </c>
      <c r="G47" s="37">
        <v>0</v>
      </c>
      <c r="H47" s="38">
        <f t="shared" si="0"/>
        <v>0</v>
      </c>
    </row>
    <row r="48" spans="1:8" x14ac:dyDescent="0.25">
      <c r="A48" s="113">
        <v>46081</v>
      </c>
      <c r="B48" s="107">
        <v>1790283380001</v>
      </c>
      <c r="C48" s="107" t="s">
        <v>1010</v>
      </c>
      <c r="D48" s="115" t="s">
        <v>625</v>
      </c>
      <c r="E48" s="33">
        <v>0</v>
      </c>
      <c r="F48" s="34" t="s">
        <v>601</v>
      </c>
      <c r="G48" s="34">
        <v>0</v>
      </c>
      <c r="H48" s="35">
        <f t="shared" si="0"/>
        <v>0</v>
      </c>
    </row>
    <row r="49" spans="1:8" ht="15.75" thickBot="1" x14ac:dyDescent="0.3">
      <c r="A49" s="114"/>
      <c r="B49" s="108"/>
      <c r="C49" s="108"/>
      <c r="D49" s="116"/>
      <c r="E49" s="36">
        <v>140</v>
      </c>
      <c r="F49" s="37" t="s">
        <v>602</v>
      </c>
      <c r="G49" s="37">
        <v>0</v>
      </c>
      <c r="H49" s="38">
        <f t="shared" si="0"/>
        <v>0</v>
      </c>
    </row>
    <row r="50" spans="1:8" x14ac:dyDescent="0.25">
      <c r="A50" s="113">
        <v>46081</v>
      </c>
      <c r="B50" s="107">
        <v>1790283380001</v>
      </c>
      <c r="C50" s="107" t="s">
        <v>1010</v>
      </c>
      <c r="D50" s="115" t="s">
        <v>626</v>
      </c>
      <c r="E50" s="33">
        <v>0</v>
      </c>
      <c r="F50" s="34" t="s">
        <v>601</v>
      </c>
      <c r="G50" s="34">
        <v>0</v>
      </c>
      <c r="H50" s="35">
        <f t="shared" si="0"/>
        <v>0</v>
      </c>
    </row>
    <row r="51" spans="1:8" ht="15.75" thickBot="1" x14ac:dyDescent="0.3">
      <c r="A51" s="114"/>
      <c r="B51" s="108"/>
      <c r="C51" s="108"/>
      <c r="D51" s="116"/>
      <c r="E51" s="36">
        <v>38</v>
      </c>
      <c r="F51" s="37" t="s">
        <v>602</v>
      </c>
      <c r="G51" s="37">
        <v>0</v>
      </c>
      <c r="H51" s="38">
        <f t="shared" si="0"/>
        <v>0</v>
      </c>
    </row>
    <row r="52" spans="1:8" x14ac:dyDescent="0.25">
      <c r="A52" s="113">
        <v>46088</v>
      </c>
      <c r="B52" s="107">
        <v>1790283380001</v>
      </c>
      <c r="C52" s="107" t="s">
        <v>1010</v>
      </c>
      <c r="D52" s="115" t="s">
        <v>627</v>
      </c>
      <c r="E52" s="33">
        <v>0</v>
      </c>
      <c r="F52" s="34" t="s">
        <v>601</v>
      </c>
      <c r="G52" s="34">
        <v>0</v>
      </c>
      <c r="H52" s="35">
        <f t="shared" si="0"/>
        <v>0</v>
      </c>
    </row>
    <row r="53" spans="1:8" ht="15.75" thickBot="1" x14ac:dyDescent="0.3">
      <c r="A53" s="114"/>
      <c r="B53" s="108"/>
      <c r="C53" s="108"/>
      <c r="D53" s="116"/>
      <c r="E53" s="36">
        <v>43</v>
      </c>
      <c r="F53" s="37" t="s">
        <v>602</v>
      </c>
      <c r="G53" s="37">
        <v>0</v>
      </c>
      <c r="H53" s="38">
        <f t="shared" si="0"/>
        <v>0</v>
      </c>
    </row>
    <row r="54" spans="1:8" x14ac:dyDescent="0.25">
      <c r="A54" s="113">
        <v>46088</v>
      </c>
      <c r="B54" s="107">
        <v>1790283380001</v>
      </c>
      <c r="C54" s="107" t="s">
        <v>1010</v>
      </c>
      <c r="D54" s="115" t="s">
        <v>628</v>
      </c>
      <c r="E54" s="33">
        <v>0</v>
      </c>
      <c r="F54" s="34" t="s">
        <v>601</v>
      </c>
      <c r="G54" s="34">
        <v>0</v>
      </c>
      <c r="H54" s="35">
        <f t="shared" si="0"/>
        <v>0</v>
      </c>
    </row>
    <row r="55" spans="1:8" ht="15.75" thickBot="1" x14ac:dyDescent="0.3">
      <c r="A55" s="114"/>
      <c r="B55" s="108"/>
      <c r="C55" s="108"/>
      <c r="D55" s="116"/>
      <c r="E55" s="36">
        <v>22</v>
      </c>
      <c r="F55" s="37" t="s">
        <v>602</v>
      </c>
      <c r="G55" s="37">
        <v>0</v>
      </c>
      <c r="H55" s="38">
        <f t="shared" si="0"/>
        <v>0</v>
      </c>
    </row>
    <row r="56" spans="1:8" x14ac:dyDescent="0.25">
      <c r="A56" s="113">
        <v>46088</v>
      </c>
      <c r="B56" s="107">
        <v>1790283380001</v>
      </c>
      <c r="C56" s="107" t="s">
        <v>1010</v>
      </c>
      <c r="D56" s="115" t="s">
        <v>629</v>
      </c>
      <c r="E56" s="33">
        <v>0</v>
      </c>
      <c r="F56" s="34" t="s">
        <v>601</v>
      </c>
      <c r="G56" s="34">
        <v>0</v>
      </c>
      <c r="H56" s="35">
        <f t="shared" si="0"/>
        <v>0</v>
      </c>
    </row>
    <row r="57" spans="1:8" ht="15.75" thickBot="1" x14ac:dyDescent="0.3">
      <c r="A57" s="114"/>
      <c r="B57" s="108"/>
      <c r="C57" s="108"/>
      <c r="D57" s="116"/>
      <c r="E57" s="36">
        <v>22</v>
      </c>
      <c r="F57" s="37" t="s">
        <v>602</v>
      </c>
      <c r="G57" s="37">
        <v>0</v>
      </c>
      <c r="H57" s="38">
        <f t="shared" si="0"/>
        <v>0</v>
      </c>
    </row>
    <row r="58" spans="1:8" x14ac:dyDescent="0.25">
      <c r="A58" s="113">
        <v>46095</v>
      </c>
      <c r="B58" s="107">
        <v>1790283380001</v>
      </c>
      <c r="C58" s="107" t="s">
        <v>1010</v>
      </c>
      <c r="D58" s="115" t="s">
        <v>630</v>
      </c>
      <c r="E58" s="33">
        <v>0</v>
      </c>
      <c r="F58" s="34" t="s">
        <v>601</v>
      </c>
      <c r="G58" s="34">
        <v>0</v>
      </c>
      <c r="H58" s="35">
        <f t="shared" si="0"/>
        <v>0</v>
      </c>
    </row>
    <row r="59" spans="1:8" ht="15.75" thickBot="1" x14ac:dyDescent="0.3">
      <c r="A59" s="114"/>
      <c r="B59" s="108"/>
      <c r="C59" s="108"/>
      <c r="D59" s="116"/>
      <c r="E59" s="36">
        <v>220</v>
      </c>
      <c r="F59" s="37" t="s">
        <v>602</v>
      </c>
      <c r="G59" s="37">
        <v>0</v>
      </c>
      <c r="H59" s="38">
        <f t="shared" si="0"/>
        <v>0</v>
      </c>
    </row>
    <row r="60" spans="1:8" x14ac:dyDescent="0.25">
      <c r="A60" s="39">
        <v>46102</v>
      </c>
      <c r="B60" s="107">
        <v>1790283380001</v>
      </c>
      <c r="C60" s="107" t="s">
        <v>1010</v>
      </c>
      <c r="D60" s="40" t="s">
        <v>631</v>
      </c>
      <c r="E60" s="33">
        <v>0</v>
      </c>
      <c r="F60" s="34" t="s">
        <v>601</v>
      </c>
      <c r="G60" s="34">
        <v>0</v>
      </c>
      <c r="H60" s="35">
        <f t="shared" si="0"/>
        <v>0</v>
      </c>
    </row>
    <row r="61" spans="1:8" ht="15.75" thickBot="1" x14ac:dyDescent="0.3">
      <c r="A61" s="41"/>
      <c r="B61" s="108"/>
      <c r="C61" s="108"/>
      <c r="D61" s="42"/>
      <c r="E61" s="36">
        <v>18</v>
      </c>
      <c r="F61" s="37" t="s">
        <v>602</v>
      </c>
      <c r="G61" s="37">
        <v>0</v>
      </c>
      <c r="H61" s="38">
        <f t="shared" si="0"/>
        <v>0</v>
      </c>
    </row>
    <row r="62" spans="1:8" x14ac:dyDescent="0.25">
      <c r="A62" s="113">
        <v>46102</v>
      </c>
      <c r="B62" s="107">
        <v>1790283380001</v>
      </c>
      <c r="C62" s="107" t="s">
        <v>1010</v>
      </c>
      <c r="D62" s="115" t="s">
        <v>632</v>
      </c>
      <c r="E62" s="33">
        <v>0</v>
      </c>
      <c r="F62" s="34" t="s">
        <v>601</v>
      </c>
      <c r="G62" s="34">
        <v>0</v>
      </c>
      <c r="H62" s="35">
        <f t="shared" si="0"/>
        <v>0</v>
      </c>
    </row>
    <row r="63" spans="1:8" ht="15.75" thickBot="1" x14ac:dyDescent="0.3">
      <c r="A63" s="114"/>
      <c r="B63" s="108"/>
      <c r="C63" s="108"/>
      <c r="D63" s="116"/>
      <c r="E63" s="36">
        <v>42</v>
      </c>
      <c r="F63" s="37" t="s">
        <v>602</v>
      </c>
      <c r="G63" s="37">
        <v>0</v>
      </c>
      <c r="H63" s="38">
        <f t="shared" si="0"/>
        <v>0</v>
      </c>
    </row>
    <row r="64" spans="1:8" x14ac:dyDescent="0.25">
      <c r="A64" s="113">
        <v>46109</v>
      </c>
      <c r="B64" s="107">
        <v>1790283380001</v>
      </c>
      <c r="C64" s="107" t="s">
        <v>1010</v>
      </c>
      <c r="D64" s="115" t="s">
        <v>633</v>
      </c>
      <c r="E64" s="33"/>
      <c r="F64" s="34" t="s">
        <v>601</v>
      </c>
      <c r="G64" s="34">
        <v>0</v>
      </c>
      <c r="H64" s="35">
        <f t="shared" si="0"/>
        <v>0</v>
      </c>
    </row>
    <row r="65" spans="1:8" ht="15.75" thickBot="1" x14ac:dyDescent="0.3">
      <c r="A65" s="114"/>
      <c r="B65" s="108"/>
      <c r="C65" s="108"/>
      <c r="D65" s="116"/>
      <c r="E65" s="36"/>
      <c r="F65" s="37" t="s">
        <v>602</v>
      </c>
      <c r="G65" s="37">
        <v>0</v>
      </c>
      <c r="H65" s="38">
        <f t="shared" ref="H65:H128" si="1">E65*G65</f>
        <v>0</v>
      </c>
    </row>
    <row r="66" spans="1:8" x14ac:dyDescent="0.25">
      <c r="A66" s="39">
        <v>46113</v>
      </c>
      <c r="B66" s="107">
        <v>1790283380001</v>
      </c>
      <c r="C66" s="107" t="s">
        <v>1010</v>
      </c>
      <c r="D66" s="40" t="s">
        <v>634</v>
      </c>
      <c r="E66" s="33">
        <v>0</v>
      </c>
      <c r="F66" s="34" t="s">
        <v>601</v>
      </c>
      <c r="G66" s="34">
        <v>0</v>
      </c>
      <c r="H66" s="35">
        <f t="shared" si="1"/>
        <v>0</v>
      </c>
    </row>
    <row r="67" spans="1:8" ht="15.75" thickBot="1" x14ac:dyDescent="0.3">
      <c r="A67" s="41"/>
      <c r="B67" s="108"/>
      <c r="C67" s="108"/>
      <c r="D67" s="42"/>
      <c r="E67" s="36">
        <v>20</v>
      </c>
      <c r="F67" s="37" t="s">
        <v>602</v>
      </c>
      <c r="G67" s="37">
        <v>0</v>
      </c>
      <c r="H67" s="38">
        <f t="shared" si="1"/>
        <v>0</v>
      </c>
    </row>
    <row r="68" spans="1:8" x14ac:dyDescent="0.25">
      <c r="A68" s="113">
        <v>46113</v>
      </c>
      <c r="B68" s="107">
        <v>1790283380001</v>
      </c>
      <c r="C68" s="107" t="s">
        <v>1010</v>
      </c>
      <c r="D68" s="115" t="s">
        <v>635</v>
      </c>
      <c r="E68" s="33">
        <v>0</v>
      </c>
      <c r="F68" s="34" t="s">
        <v>601</v>
      </c>
      <c r="G68" s="34">
        <v>0</v>
      </c>
      <c r="H68" s="35">
        <f t="shared" si="1"/>
        <v>0</v>
      </c>
    </row>
    <row r="69" spans="1:8" ht="15.75" thickBot="1" x14ac:dyDescent="0.3">
      <c r="A69" s="114"/>
      <c r="B69" s="108"/>
      <c r="C69" s="108"/>
      <c r="D69" s="116"/>
      <c r="E69" s="36">
        <v>28</v>
      </c>
      <c r="F69" s="37" t="s">
        <v>602</v>
      </c>
      <c r="G69" s="37">
        <v>0</v>
      </c>
      <c r="H69" s="38">
        <f t="shared" si="1"/>
        <v>0</v>
      </c>
    </row>
    <row r="70" spans="1:8" x14ac:dyDescent="0.25">
      <c r="A70" s="113">
        <v>46116</v>
      </c>
      <c r="B70" s="107">
        <v>1790283380001</v>
      </c>
      <c r="C70" s="107" t="s">
        <v>1010</v>
      </c>
      <c r="D70" s="115" t="s">
        <v>636</v>
      </c>
      <c r="E70" s="33">
        <v>0</v>
      </c>
      <c r="F70" s="34" t="s">
        <v>601</v>
      </c>
      <c r="G70" s="34">
        <v>0</v>
      </c>
      <c r="H70" s="35">
        <f t="shared" si="1"/>
        <v>0</v>
      </c>
    </row>
    <row r="71" spans="1:8" ht="15.75" thickBot="1" x14ac:dyDescent="0.3">
      <c r="A71" s="114"/>
      <c r="B71" s="108"/>
      <c r="C71" s="108"/>
      <c r="D71" s="116"/>
      <c r="E71" s="36">
        <v>12</v>
      </c>
      <c r="F71" s="37" t="s">
        <v>602</v>
      </c>
      <c r="G71" s="37">
        <v>0</v>
      </c>
      <c r="H71" s="38">
        <f t="shared" si="1"/>
        <v>0</v>
      </c>
    </row>
    <row r="72" spans="1:8" x14ac:dyDescent="0.25">
      <c r="A72" s="113">
        <v>46123</v>
      </c>
      <c r="B72" s="107">
        <v>1790283380001</v>
      </c>
      <c r="C72" s="107" t="s">
        <v>1010</v>
      </c>
      <c r="D72" s="115" t="s">
        <v>637</v>
      </c>
      <c r="E72" s="33">
        <v>0</v>
      </c>
      <c r="F72" s="34" t="s">
        <v>601</v>
      </c>
      <c r="G72" s="34">
        <v>0</v>
      </c>
      <c r="H72" s="35">
        <f t="shared" si="1"/>
        <v>0</v>
      </c>
    </row>
    <row r="73" spans="1:8" ht="15.75" thickBot="1" x14ac:dyDescent="0.3">
      <c r="A73" s="114"/>
      <c r="B73" s="108"/>
      <c r="C73" s="108"/>
      <c r="D73" s="116"/>
      <c r="E73" s="36">
        <v>18</v>
      </c>
      <c r="F73" s="37" t="s">
        <v>602</v>
      </c>
      <c r="G73" s="37">
        <v>0</v>
      </c>
      <c r="H73" s="38">
        <f t="shared" si="1"/>
        <v>0</v>
      </c>
    </row>
    <row r="74" spans="1:8" x14ac:dyDescent="0.25">
      <c r="A74" s="113">
        <v>46130</v>
      </c>
      <c r="B74" s="107">
        <v>1790283380001</v>
      </c>
      <c r="C74" s="107" t="s">
        <v>1010</v>
      </c>
      <c r="D74" s="115" t="s">
        <v>638</v>
      </c>
      <c r="E74" s="33">
        <v>0</v>
      </c>
      <c r="F74" s="34" t="s">
        <v>601</v>
      </c>
      <c r="G74" s="34">
        <v>0</v>
      </c>
      <c r="H74" s="35">
        <f t="shared" si="1"/>
        <v>0</v>
      </c>
    </row>
    <row r="75" spans="1:8" ht="15.75" thickBot="1" x14ac:dyDescent="0.3">
      <c r="A75" s="114"/>
      <c r="B75" s="108"/>
      <c r="C75" s="108"/>
      <c r="D75" s="116"/>
      <c r="E75" s="36">
        <v>40</v>
      </c>
      <c r="F75" s="37" t="s">
        <v>602</v>
      </c>
      <c r="G75" s="37">
        <v>0</v>
      </c>
      <c r="H75" s="38">
        <f t="shared" si="1"/>
        <v>0</v>
      </c>
    </row>
    <row r="76" spans="1:8" x14ac:dyDescent="0.25">
      <c r="A76" s="113">
        <v>46130</v>
      </c>
      <c r="B76" s="107">
        <v>1790283380001</v>
      </c>
      <c r="C76" s="107" t="s">
        <v>1010</v>
      </c>
      <c r="D76" s="115" t="s">
        <v>639</v>
      </c>
      <c r="E76" s="33">
        <v>0</v>
      </c>
      <c r="F76" s="34" t="s">
        <v>601</v>
      </c>
      <c r="G76" s="34">
        <v>0</v>
      </c>
      <c r="H76" s="35">
        <f t="shared" si="1"/>
        <v>0</v>
      </c>
    </row>
    <row r="77" spans="1:8" ht="15.75" thickBot="1" x14ac:dyDescent="0.3">
      <c r="A77" s="114"/>
      <c r="B77" s="108"/>
      <c r="C77" s="108"/>
      <c r="D77" s="116"/>
      <c r="E77" s="36">
        <v>37</v>
      </c>
      <c r="F77" s="37" t="s">
        <v>602</v>
      </c>
      <c r="G77" s="37">
        <v>0</v>
      </c>
      <c r="H77" s="38">
        <f t="shared" si="1"/>
        <v>0</v>
      </c>
    </row>
    <row r="78" spans="1:8" x14ac:dyDescent="0.25">
      <c r="A78" s="113">
        <v>46137</v>
      </c>
      <c r="B78" s="107">
        <v>1790283380001</v>
      </c>
      <c r="C78" s="107" t="s">
        <v>1010</v>
      </c>
      <c r="D78" s="115" t="s">
        <v>640</v>
      </c>
      <c r="E78" s="33">
        <v>0</v>
      </c>
      <c r="F78" s="34" t="s">
        <v>601</v>
      </c>
      <c r="G78" s="34">
        <v>0</v>
      </c>
      <c r="H78" s="35">
        <f t="shared" si="1"/>
        <v>0</v>
      </c>
    </row>
    <row r="79" spans="1:8" ht="15.75" thickBot="1" x14ac:dyDescent="0.3">
      <c r="A79" s="114"/>
      <c r="B79" s="108"/>
      <c r="C79" s="108"/>
      <c r="D79" s="116"/>
      <c r="E79" s="36">
        <v>87</v>
      </c>
      <c r="F79" s="37" t="s">
        <v>602</v>
      </c>
      <c r="G79" s="37">
        <v>0</v>
      </c>
      <c r="H79" s="38">
        <f t="shared" si="1"/>
        <v>0</v>
      </c>
    </row>
    <row r="80" spans="1:8" x14ac:dyDescent="0.25">
      <c r="A80" s="113">
        <v>46137</v>
      </c>
      <c r="B80" s="107">
        <v>1790283380001</v>
      </c>
      <c r="C80" s="107" t="s">
        <v>1010</v>
      </c>
      <c r="D80" s="115" t="s">
        <v>641</v>
      </c>
      <c r="E80" s="33">
        <v>0</v>
      </c>
      <c r="F80" s="34" t="s">
        <v>601</v>
      </c>
      <c r="G80" s="34">
        <v>0</v>
      </c>
      <c r="H80" s="35">
        <f t="shared" si="1"/>
        <v>0</v>
      </c>
    </row>
    <row r="81" spans="1:8" ht="15.75" thickBot="1" x14ac:dyDescent="0.3">
      <c r="A81" s="114"/>
      <c r="B81" s="108"/>
      <c r="C81" s="108"/>
      <c r="D81" s="116"/>
      <c r="E81" s="36">
        <v>52</v>
      </c>
      <c r="F81" s="37" t="s">
        <v>602</v>
      </c>
      <c r="G81" s="37">
        <v>0</v>
      </c>
      <c r="H81" s="38">
        <f t="shared" si="1"/>
        <v>0</v>
      </c>
    </row>
    <row r="82" spans="1:8" x14ac:dyDescent="0.25">
      <c r="A82" s="113">
        <v>46143</v>
      </c>
      <c r="B82" s="107">
        <v>1790283380001</v>
      </c>
      <c r="C82" s="107" t="s">
        <v>1010</v>
      </c>
      <c r="D82" s="115" t="s">
        <v>642</v>
      </c>
      <c r="E82" s="33">
        <v>0</v>
      </c>
      <c r="F82" s="34" t="s">
        <v>601</v>
      </c>
      <c r="G82" s="34">
        <v>0</v>
      </c>
      <c r="H82" s="35">
        <f t="shared" si="1"/>
        <v>0</v>
      </c>
    </row>
    <row r="83" spans="1:8" ht="15.75" thickBot="1" x14ac:dyDescent="0.3">
      <c r="A83" s="114"/>
      <c r="B83" s="108"/>
      <c r="C83" s="108"/>
      <c r="D83" s="116"/>
      <c r="E83" s="36">
        <v>0</v>
      </c>
      <c r="F83" s="37" t="s">
        <v>602</v>
      </c>
      <c r="G83" s="37">
        <v>0</v>
      </c>
      <c r="H83" s="38">
        <f t="shared" si="1"/>
        <v>0</v>
      </c>
    </row>
    <row r="84" spans="1:8" x14ac:dyDescent="0.25">
      <c r="A84" s="113">
        <v>46143</v>
      </c>
      <c r="B84" s="107">
        <v>1790283380001</v>
      </c>
      <c r="C84" s="107" t="s">
        <v>1010</v>
      </c>
      <c r="D84" s="115" t="s">
        <v>643</v>
      </c>
      <c r="E84" s="33">
        <v>0</v>
      </c>
      <c r="F84" s="34" t="s">
        <v>601</v>
      </c>
      <c r="G84" s="34">
        <v>0</v>
      </c>
      <c r="H84" s="35">
        <f t="shared" si="1"/>
        <v>0</v>
      </c>
    </row>
    <row r="85" spans="1:8" ht="15.75" thickBot="1" x14ac:dyDescent="0.3">
      <c r="A85" s="114"/>
      <c r="B85" s="108"/>
      <c r="C85" s="108"/>
      <c r="D85" s="116"/>
      <c r="E85" s="36">
        <v>0</v>
      </c>
      <c r="F85" s="37" t="s">
        <v>602</v>
      </c>
      <c r="G85" s="37">
        <v>0</v>
      </c>
      <c r="H85" s="38">
        <f t="shared" si="1"/>
        <v>0</v>
      </c>
    </row>
    <row r="86" spans="1:8" x14ac:dyDescent="0.25">
      <c r="A86" s="113">
        <v>46149</v>
      </c>
      <c r="B86" s="107">
        <v>1790283380001</v>
      </c>
      <c r="C86" s="107" t="s">
        <v>1010</v>
      </c>
      <c r="D86" s="115" t="s">
        <v>644</v>
      </c>
      <c r="E86" s="33">
        <v>0</v>
      </c>
      <c r="F86" s="34" t="s">
        <v>601</v>
      </c>
      <c r="G86" s="34">
        <v>0</v>
      </c>
      <c r="H86" s="35">
        <f t="shared" si="1"/>
        <v>0</v>
      </c>
    </row>
    <row r="87" spans="1:8" ht="15.75" thickBot="1" x14ac:dyDescent="0.3">
      <c r="A87" s="114"/>
      <c r="B87" s="108"/>
      <c r="C87" s="108"/>
      <c r="D87" s="116"/>
      <c r="E87" s="36">
        <v>15</v>
      </c>
      <c r="F87" s="37" t="s">
        <v>602</v>
      </c>
      <c r="G87" s="37">
        <v>0</v>
      </c>
      <c r="H87" s="38">
        <f t="shared" si="1"/>
        <v>0</v>
      </c>
    </row>
    <row r="88" spans="1:8" x14ac:dyDescent="0.25">
      <c r="A88" s="113">
        <v>46149</v>
      </c>
      <c r="B88" s="107">
        <v>1790283380001</v>
      </c>
      <c r="C88" s="107" t="s">
        <v>1010</v>
      </c>
      <c r="D88" s="115" t="s">
        <v>645</v>
      </c>
      <c r="E88" s="33">
        <v>0</v>
      </c>
      <c r="F88" s="34" t="s">
        <v>601</v>
      </c>
      <c r="G88" s="34">
        <v>0</v>
      </c>
      <c r="H88" s="35">
        <f t="shared" si="1"/>
        <v>0</v>
      </c>
    </row>
    <row r="89" spans="1:8" ht="15.75" thickBot="1" x14ac:dyDescent="0.3">
      <c r="A89" s="114"/>
      <c r="B89" s="108"/>
      <c r="C89" s="108"/>
      <c r="D89" s="116"/>
      <c r="E89" s="36">
        <v>90</v>
      </c>
      <c r="F89" s="37" t="s">
        <v>602</v>
      </c>
      <c r="G89" s="37">
        <v>0</v>
      </c>
      <c r="H89" s="38">
        <f t="shared" si="1"/>
        <v>0</v>
      </c>
    </row>
    <row r="90" spans="1:8" x14ac:dyDescent="0.25">
      <c r="A90" s="113">
        <v>46151</v>
      </c>
      <c r="B90" s="107">
        <v>1790283380001</v>
      </c>
      <c r="C90" s="107" t="s">
        <v>1010</v>
      </c>
      <c r="D90" s="115" t="s">
        <v>646</v>
      </c>
      <c r="E90" s="33">
        <v>0</v>
      </c>
      <c r="F90" s="34" t="s">
        <v>601</v>
      </c>
      <c r="G90" s="34">
        <v>0</v>
      </c>
      <c r="H90" s="35">
        <f t="shared" si="1"/>
        <v>0</v>
      </c>
    </row>
    <row r="91" spans="1:8" ht="15.75" thickBot="1" x14ac:dyDescent="0.3">
      <c r="A91" s="114"/>
      <c r="B91" s="108"/>
      <c r="C91" s="108"/>
      <c r="D91" s="116"/>
      <c r="E91" s="36">
        <v>211</v>
      </c>
      <c r="F91" s="37" t="s">
        <v>602</v>
      </c>
      <c r="G91" s="37">
        <v>0</v>
      </c>
      <c r="H91" s="38">
        <f t="shared" si="1"/>
        <v>0</v>
      </c>
    </row>
    <row r="92" spans="1:8" x14ac:dyDescent="0.25">
      <c r="A92" s="113">
        <v>46158</v>
      </c>
      <c r="B92" s="107">
        <v>1790283380001</v>
      </c>
      <c r="C92" s="107" t="s">
        <v>1010</v>
      </c>
      <c r="D92" s="115" t="s">
        <v>647</v>
      </c>
      <c r="E92" s="33">
        <v>0</v>
      </c>
      <c r="F92" s="34" t="s">
        <v>601</v>
      </c>
      <c r="G92" s="34">
        <v>0</v>
      </c>
      <c r="H92" s="35">
        <f t="shared" si="1"/>
        <v>0</v>
      </c>
    </row>
    <row r="93" spans="1:8" ht="15.75" thickBot="1" x14ac:dyDescent="0.3">
      <c r="A93" s="114"/>
      <c r="B93" s="108"/>
      <c r="C93" s="108"/>
      <c r="D93" s="116"/>
      <c r="E93" s="36">
        <v>25</v>
      </c>
      <c r="F93" s="37" t="s">
        <v>602</v>
      </c>
      <c r="G93" s="37">
        <v>0</v>
      </c>
      <c r="H93" s="38">
        <f t="shared" si="1"/>
        <v>0</v>
      </c>
    </row>
    <row r="94" spans="1:8" x14ac:dyDescent="0.25">
      <c r="A94" s="113">
        <v>46158</v>
      </c>
      <c r="B94" s="107">
        <v>1790283380001</v>
      </c>
      <c r="C94" s="107" t="s">
        <v>1010</v>
      </c>
      <c r="D94" s="115" t="s">
        <v>648</v>
      </c>
      <c r="E94" s="33">
        <v>0</v>
      </c>
      <c r="F94" s="34" t="s">
        <v>601</v>
      </c>
      <c r="G94" s="34">
        <v>0</v>
      </c>
      <c r="H94" s="35">
        <f t="shared" si="1"/>
        <v>0</v>
      </c>
    </row>
    <row r="95" spans="1:8" ht="15.75" thickBot="1" x14ac:dyDescent="0.3">
      <c r="A95" s="114"/>
      <c r="B95" s="108"/>
      <c r="C95" s="108"/>
      <c r="D95" s="116"/>
      <c r="E95" s="36">
        <v>32</v>
      </c>
      <c r="F95" s="37" t="s">
        <v>602</v>
      </c>
      <c r="G95" s="37">
        <v>0</v>
      </c>
      <c r="H95" s="38">
        <f t="shared" si="1"/>
        <v>0</v>
      </c>
    </row>
    <row r="96" spans="1:8" x14ac:dyDescent="0.25">
      <c r="A96" s="113">
        <v>46165</v>
      </c>
      <c r="B96" s="107">
        <v>1790283380001</v>
      </c>
      <c r="C96" s="107" t="s">
        <v>1010</v>
      </c>
      <c r="D96" s="115" t="s">
        <v>649</v>
      </c>
      <c r="E96" s="33"/>
      <c r="F96" s="34" t="s">
        <v>601</v>
      </c>
      <c r="G96" s="34">
        <v>0</v>
      </c>
      <c r="H96" s="35">
        <f t="shared" si="1"/>
        <v>0</v>
      </c>
    </row>
    <row r="97" spans="1:8" ht="15.75" thickBot="1" x14ac:dyDescent="0.3">
      <c r="A97" s="114"/>
      <c r="B97" s="108"/>
      <c r="C97" s="108"/>
      <c r="D97" s="116"/>
      <c r="E97" s="36">
        <v>117</v>
      </c>
      <c r="F97" s="37" t="s">
        <v>602</v>
      </c>
      <c r="G97" s="37">
        <v>0</v>
      </c>
      <c r="H97" s="38">
        <f t="shared" si="1"/>
        <v>0</v>
      </c>
    </row>
    <row r="98" spans="1:8" x14ac:dyDescent="0.25">
      <c r="A98" s="113">
        <v>46172</v>
      </c>
      <c r="B98" s="107">
        <v>1790283380001</v>
      </c>
      <c r="C98" s="107" t="s">
        <v>1010</v>
      </c>
      <c r="D98" s="115" t="s">
        <v>650</v>
      </c>
      <c r="E98" s="33"/>
      <c r="F98" s="34" t="s">
        <v>601</v>
      </c>
      <c r="G98" s="34">
        <v>0</v>
      </c>
      <c r="H98" s="35">
        <f t="shared" si="1"/>
        <v>0</v>
      </c>
    </row>
    <row r="99" spans="1:8" ht="15.75" thickBot="1" x14ac:dyDescent="0.3">
      <c r="A99" s="114"/>
      <c r="B99" s="108"/>
      <c r="C99" s="108"/>
      <c r="D99" s="116"/>
      <c r="E99" s="36">
        <v>12</v>
      </c>
      <c r="F99" s="37" t="s">
        <v>602</v>
      </c>
      <c r="G99" s="37">
        <v>0</v>
      </c>
      <c r="H99" s="38">
        <f t="shared" si="1"/>
        <v>0</v>
      </c>
    </row>
    <row r="100" spans="1:8" x14ac:dyDescent="0.25">
      <c r="A100" s="113">
        <v>46172</v>
      </c>
      <c r="B100" s="107">
        <v>1790283380001</v>
      </c>
      <c r="C100" s="107" t="s">
        <v>1010</v>
      </c>
      <c r="D100" s="115" t="s">
        <v>651</v>
      </c>
      <c r="E100" s="33"/>
      <c r="F100" s="34" t="s">
        <v>601</v>
      </c>
      <c r="G100" s="34">
        <v>0</v>
      </c>
      <c r="H100" s="35">
        <f t="shared" si="1"/>
        <v>0</v>
      </c>
    </row>
    <row r="101" spans="1:8" ht="15.75" thickBot="1" x14ac:dyDescent="0.3">
      <c r="A101" s="114"/>
      <c r="B101" s="108"/>
      <c r="C101" s="108"/>
      <c r="D101" s="116"/>
      <c r="E101" s="36">
        <v>21</v>
      </c>
      <c r="F101" s="37" t="s">
        <v>602</v>
      </c>
      <c r="G101" s="37">
        <v>0</v>
      </c>
      <c r="H101" s="38">
        <f t="shared" si="1"/>
        <v>0</v>
      </c>
    </row>
    <row r="102" spans="1:8" x14ac:dyDescent="0.25">
      <c r="A102" s="113">
        <v>46174</v>
      </c>
      <c r="B102" s="107">
        <v>1790283380001</v>
      </c>
      <c r="C102" s="107" t="s">
        <v>1010</v>
      </c>
      <c r="D102" s="115" t="s">
        <v>652</v>
      </c>
      <c r="E102" s="33"/>
      <c r="F102" s="34" t="s">
        <v>601</v>
      </c>
      <c r="G102" s="34">
        <v>0</v>
      </c>
      <c r="H102" s="35">
        <f t="shared" si="1"/>
        <v>0</v>
      </c>
    </row>
    <row r="103" spans="1:8" ht="15.75" thickBot="1" x14ac:dyDescent="0.3">
      <c r="A103" s="114"/>
      <c r="B103" s="108"/>
      <c r="C103" s="108"/>
      <c r="D103" s="116"/>
      <c r="E103" s="36">
        <v>10</v>
      </c>
      <c r="F103" s="37" t="s">
        <v>602</v>
      </c>
      <c r="G103" s="37">
        <v>0</v>
      </c>
      <c r="H103" s="38">
        <f t="shared" si="1"/>
        <v>0</v>
      </c>
    </row>
    <row r="104" spans="1:8" x14ac:dyDescent="0.25">
      <c r="A104" s="113">
        <v>46174</v>
      </c>
      <c r="B104" s="107">
        <v>1790283380001</v>
      </c>
      <c r="C104" s="107" t="s">
        <v>1010</v>
      </c>
      <c r="D104" s="115" t="s">
        <v>653</v>
      </c>
      <c r="E104" s="33"/>
      <c r="F104" s="34" t="s">
        <v>601</v>
      </c>
      <c r="G104" s="34">
        <v>0</v>
      </c>
      <c r="H104" s="35">
        <f t="shared" si="1"/>
        <v>0</v>
      </c>
    </row>
    <row r="105" spans="1:8" ht="15.75" thickBot="1" x14ac:dyDescent="0.3">
      <c r="A105" s="114"/>
      <c r="B105" s="108"/>
      <c r="C105" s="108"/>
      <c r="D105" s="116"/>
      <c r="E105" s="36">
        <v>33</v>
      </c>
      <c r="F105" s="37" t="s">
        <v>602</v>
      </c>
      <c r="G105" s="37">
        <v>0</v>
      </c>
      <c r="H105" s="38">
        <f t="shared" si="1"/>
        <v>0</v>
      </c>
    </row>
    <row r="106" spans="1:8" x14ac:dyDescent="0.25">
      <c r="A106" s="113">
        <v>46179</v>
      </c>
      <c r="B106" s="107">
        <v>1790283380001</v>
      </c>
      <c r="C106" s="107" t="s">
        <v>1010</v>
      </c>
      <c r="D106" s="115" t="s">
        <v>654</v>
      </c>
      <c r="E106" s="33"/>
      <c r="F106" s="34" t="s">
        <v>601</v>
      </c>
      <c r="G106" s="34">
        <v>0</v>
      </c>
      <c r="H106" s="35">
        <f t="shared" si="1"/>
        <v>0</v>
      </c>
    </row>
    <row r="107" spans="1:8" ht="15.75" thickBot="1" x14ac:dyDescent="0.3">
      <c r="A107" s="114"/>
      <c r="B107" s="108"/>
      <c r="C107" s="108"/>
      <c r="D107" s="116"/>
      <c r="E107" s="36">
        <v>105</v>
      </c>
      <c r="F107" s="37" t="s">
        <v>602</v>
      </c>
      <c r="G107" s="37">
        <v>0</v>
      </c>
      <c r="H107" s="38">
        <f t="shared" si="1"/>
        <v>0</v>
      </c>
    </row>
    <row r="108" spans="1:8" x14ac:dyDescent="0.25">
      <c r="A108" s="113">
        <v>46179</v>
      </c>
      <c r="B108" s="107">
        <v>1790283380001</v>
      </c>
      <c r="C108" s="107" t="s">
        <v>1010</v>
      </c>
      <c r="D108" s="115" t="s">
        <v>655</v>
      </c>
      <c r="E108" s="33"/>
      <c r="F108" s="34" t="s">
        <v>601</v>
      </c>
      <c r="G108" s="34">
        <v>0</v>
      </c>
      <c r="H108" s="35">
        <f t="shared" si="1"/>
        <v>0</v>
      </c>
    </row>
    <row r="109" spans="1:8" ht="15.75" thickBot="1" x14ac:dyDescent="0.3">
      <c r="A109" s="114"/>
      <c r="B109" s="108"/>
      <c r="C109" s="108"/>
      <c r="D109" s="116"/>
      <c r="E109" s="36">
        <v>57</v>
      </c>
      <c r="F109" s="37" t="s">
        <v>602</v>
      </c>
      <c r="G109" s="37">
        <v>0</v>
      </c>
      <c r="H109" s="38">
        <f t="shared" si="1"/>
        <v>0</v>
      </c>
    </row>
    <row r="110" spans="1:8" x14ac:dyDescent="0.25">
      <c r="A110" s="113">
        <v>46187</v>
      </c>
      <c r="B110" s="107">
        <v>1790283380001</v>
      </c>
      <c r="C110" s="107" t="s">
        <v>1010</v>
      </c>
      <c r="D110" s="115" t="s">
        <v>656</v>
      </c>
      <c r="E110" s="33"/>
      <c r="F110" s="34" t="s">
        <v>601</v>
      </c>
      <c r="G110" s="34">
        <v>0</v>
      </c>
      <c r="H110" s="35">
        <f t="shared" si="1"/>
        <v>0</v>
      </c>
    </row>
    <row r="111" spans="1:8" ht="15.75" thickBot="1" x14ac:dyDescent="0.3">
      <c r="A111" s="114"/>
      <c r="B111" s="108"/>
      <c r="C111" s="108"/>
      <c r="D111" s="116"/>
      <c r="E111" s="36">
        <v>15</v>
      </c>
      <c r="F111" s="37" t="s">
        <v>602</v>
      </c>
      <c r="G111" s="37">
        <v>0</v>
      </c>
      <c r="H111" s="38">
        <f t="shared" si="1"/>
        <v>0</v>
      </c>
    </row>
    <row r="112" spans="1:8" x14ac:dyDescent="0.25">
      <c r="A112" s="113">
        <v>46193</v>
      </c>
      <c r="B112" s="107">
        <v>1790283380001</v>
      </c>
      <c r="C112" s="107" t="s">
        <v>1010</v>
      </c>
      <c r="D112" s="115" t="s">
        <v>657</v>
      </c>
      <c r="E112" s="33"/>
      <c r="F112" s="34" t="s">
        <v>601</v>
      </c>
      <c r="G112" s="34">
        <v>0</v>
      </c>
      <c r="H112" s="35">
        <f t="shared" si="1"/>
        <v>0</v>
      </c>
    </row>
    <row r="113" spans="1:8" ht="15.75" thickBot="1" x14ac:dyDescent="0.3">
      <c r="A113" s="114"/>
      <c r="B113" s="108"/>
      <c r="C113" s="108"/>
      <c r="D113" s="116"/>
      <c r="E113" s="36">
        <v>57</v>
      </c>
      <c r="F113" s="37" t="s">
        <v>602</v>
      </c>
      <c r="G113" s="37">
        <v>0</v>
      </c>
      <c r="H113" s="38">
        <f t="shared" si="1"/>
        <v>0</v>
      </c>
    </row>
    <row r="114" spans="1:8" x14ac:dyDescent="0.25">
      <c r="A114" s="113">
        <v>46200</v>
      </c>
      <c r="B114" s="107">
        <v>1790283380001</v>
      </c>
      <c r="C114" s="107" t="s">
        <v>1010</v>
      </c>
      <c r="D114" s="115" t="s">
        <v>1012</v>
      </c>
      <c r="E114" s="33"/>
      <c r="F114" s="34" t="s">
        <v>601</v>
      </c>
      <c r="G114" s="34">
        <v>0</v>
      </c>
      <c r="H114" s="35">
        <f t="shared" si="1"/>
        <v>0</v>
      </c>
    </row>
    <row r="115" spans="1:8" ht="15.75" thickBot="1" x14ac:dyDescent="0.3">
      <c r="A115" s="114"/>
      <c r="B115" s="108"/>
      <c r="C115" s="108"/>
      <c r="D115" s="116"/>
      <c r="E115" s="36">
        <v>51</v>
      </c>
      <c r="F115" s="37" t="s">
        <v>602</v>
      </c>
      <c r="G115" s="37">
        <v>0</v>
      </c>
      <c r="H115" s="38">
        <f t="shared" si="1"/>
        <v>0</v>
      </c>
    </row>
    <row r="116" spans="1:8" x14ac:dyDescent="0.25">
      <c r="A116" s="113">
        <v>46200</v>
      </c>
      <c r="B116" s="107">
        <v>1790283380001</v>
      </c>
      <c r="C116" s="107" t="s">
        <v>1010</v>
      </c>
      <c r="D116" s="115" t="s">
        <v>1013</v>
      </c>
      <c r="E116" s="33"/>
      <c r="F116" s="34" t="s">
        <v>601</v>
      </c>
      <c r="G116" s="34">
        <v>0</v>
      </c>
      <c r="H116" s="35">
        <f t="shared" si="1"/>
        <v>0</v>
      </c>
    </row>
    <row r="117" spans="1:8" ht="15.75" thickBot="1" x14ac:dyDescent="0.3">
      <c r="A117" s="114"/>
      <c r="B117" s="108"/>
      <c r="C117" s="108"/>
      <c r="D117" s="116"/>
      <c r="E117" s="36">
        <v>64</v>
      </c>
      <c r="F117" s="37" t="s">
        <v>602</v>
      </c>
      <c r="G117" s="37">
        <v>0</v>
      </c>
      <c r="H117" s="38">
        <f t="shared" si="1"/>
        <v>0</v>
      </c>
    </row>
    <row r="118" spans="1:8" x14ac:dyDescent="0.25">
      <c r="A118" s="113">
        <v>46200</v>
      </c>
      <c r="B118" s="107">
        <v>1790283380001</v>
      </c>
      <c r="C118" s="107" t="s">
        <v>1010</v>
      </c>
      <c r="D118" s="115" t="s">
        <v>1014</v>
      </c>
      <c r="E118" s="33"/>
      <c r="F118" s="34" t="s">
        <v>601</v>
      </c>
      <c r="G118" s="34">
        <v>0</v>
      </c>
      <c r="H118" s="35">
        <f t="shared" si="1"/>
        <v>0</v>
      </c>
    </row>
    <row r="119" spans="1:8" ht="15.75" thickBot="1" x14ac:dyDescent="0.3">
      <c r="A119" s="114"/>
      <c r="B119" s="108"/>
      <c r="C119" s="108"/>
      <c r="D119" s="116"/>
      <c r="E119" s="36">
        <v>72</v>
      </c>
      <c r="F119" s="37" t="s">
        <v>602</v>
      </c>
      <c r="G119" s="37">
        <v>0</v>
      </c>
      <c r="H119" s="38">
        <f t="shared" si="1"/>
        <v>0</v>
      </c>
    </row>
    <row r="120" spans="1:8" x14ac:dyDescent="0.25">
      <c r="A120" s="113">
        <v>46204</v>
      </c>
      <c r="B120" s="107">
        <v>1790283380001</v>
      </c>
      <c r="C120" s="107" t="s">
        <v>1010</v>
      </c>
      <c r="D120" s="115" t="s">
        <v>1015</v>
      </c>
      <c r="E120" s="33"/>
      <c r="F120" s="34" t="s">
        <v>601</v>
      </c>
      <c r="G120" s="34">
        <v>0</v>
      </c>
      <c r="H120" s="35">
        <f t="shared" si="1"/>
        <v>0</v>
      </c>
    </row>
    <row r="121" spans="1:8" ht="15.75" thickBot="1" x14ac:dyDescent="0.3">
      <c r="A121" s="114"/>
      <c r="B121" s="108"/>
      <c r="C121" s="108"/>
      <c r="D121" s="116"/>
      <c r="E121" s="36">
        <v>27</v>
      </c>
      <c r="F121" s="37" t="s">
        <v>602</v>
      </c>
      <c r="G121" s="37">
        <v>0</v>
      </c>
      <c r="H121" s="38">
        <f t="shared" si="1"/>
        <v>0</v>
      </c>
    </row>
    <row r="122" spans="1:8" x14ac:dyDescent="0.25">
      <c r="A122" s="113">
        <v>46209</v>
      </c>
      <c r="B122" s="107">
        <v>990049459001</v>
      </c>
      <c r="C122" s="107" t="s">
        <v>1011</v>
      </c>
      <c r="D122" s="115" t="s">
        <v>1016</v>
      </c>
      <c r="E122" s="33"/>
      <c r="F122" s="34" t="s">
        <v>601</v>
      </c>
      <c r="G122" s="34">
        <v>0</v>
      </c>
      <c r="H122" s="35">
        <f t="shared" si="1"/>
        <v>0</v>
      </c>
    </row>
    <row r="123" spans="1:8" ht="15.75" thickBot="1" x14ac:dyDescent="0.3">
      <c r="A123" s="114"/>
      <c r="B123" s="108"/>
      <c r="C123" s="108"/>
      <c r="D123" s="116"/>
      <c r="E123" s="36">
        <v>11.52</v>
      </c>
      <c r="F123" s="37" t="s">
        <v>602</v>
      </c>
      <c r="G123" s="37">
        <v>0.02</v>
      </c>
      <c r="H123" s="38">
        <f t="shared" si="1"/>
        <v>0.23039999999999999</v>
      </c>
    </row>
    <row r="124" spans="1:8" x14ac:dyDescent="0.25">
      <c r="A124" s="113">
        <v>46207</v>
      </c>
      <c r="B124" s="107">
        <v>1790283380001</v>
      </c>
      <c r="C124" s="107" t="s">
        <v>1010</v>
      </c>
      <c r="D124" s="115" t="s">
        <v>1017</v>
      </c>
      <c r="E124" s="33"/>
      <c r="F124" s="34" t="s">
        <v>601</v>
      </c>
      <c r="G124" s="34">
        <v>0</v>
      </c>
      <c r="H124" s="35">
        <f t="shared" si="1"/>
        <v>0</v>
      </c>
    </row>
    <row r="125" spans="1:8" ht="15.75" thickBot="1" x14ac:dyDescent="0.3">
      <c r="A125" s="114"/>
      <c r="B125" s="108"/>
      <c r="C125" s="108"/>
      <c r="D125" s="116"/>
      <c r="E125" s="36">
        <v>17</v>
      </c>
      <c r="F125" s="37" t="s">
        <v>602</v>
      </c>
      <c r="G125" s="37">
        <v>0</v>
      </c>
      <c r="H125" s="38">
        <f t="shared" si="1"/>
        <v>0</v>
      </c>
    </row>
    <row r="126" spans="1:8" x14ac:dyDescent="0.25">
      <c r="A126" s="113">
        <v>46219</v>
      </c>
      <c r="B126" s="107">
        <v>990049459001</v>
      </c>
      <c r="C126" s="107" t="s">
        <v>1011</v>
      </c>
      <c r="D126" s="115" t="s">
        <v>1018</v>
      </c>
      <c r="E126" s="33"/>
      <c r="F126" s="34" t="s">
        <v>601</v>
      </c>
      <c r="G126" s="34">
        <v>0</v>
      </c>
      <c r="H126" s="35">
        <f t="shared" si="1"/>
        <v>0</v>
      </c>
    </row>
    <row r="127" spans="1:8" ht="15.75" thickBot="1" x14ac:dyDescent="0.3">
      <c r="A127" s="114"/>
      <c r="B127" s="108"/>
      <c r="C127" s="108"/>
      <c r="D127" s="116"/>
      <c r="E127" s="36">
        <v>9.6</v>
      </c>
      <c r="F127" s="37" t="s">
        <v>602</v>
      </c>
      <c r="G127" s="37">
        <v>0.02</v>
      </c>
      <c r="H127" s="38">
        <f t="shared" si="1"/>
        <v>0.192</v>
      </c>
    </row>
    <row r="128" spans="1:8" x14ac:dyDescent="0.25">
      <c r="A128" s="113">
        <v>46214</v>
      </c>
      <c r="B128" s="107">
        <v>1790283380001</v>
      </c>
      <c r="C128" s="107" t="s">
        <v>1010</v>
      </c>
      <c r="D128" s="115" t="s">
        <v>1019</v>
      </c>
      <c r="E128" s="33"/>
      <c r="F128" s="34" t="s">
        <v>601</v>
      </c>
      <c r="G128" s="34">
        <v>0</v>
      </c>
      <c r="H128" s="35">
        <f t="shared" si="1"/>
        <v>0</v>
      </c>
    </row>
    <row r="129" spans="1:8" ht="15.75" thickBot="1" x14ac:dyDescent="0.3">
      <c r="A129" s="114"/>
      <c r="B129" s="108"/>
      <c r="C129" s="108"/>
      <c r="D129" s="116"/>
      <c r="E129" s="36">
        <v>130</v>
      </c>
      <c r="F129" s="37" t="s">
        <v>602</v>
      </c>
      <c r="G129" s="37">
        <v>0</v>
      </c>
      <c r="H129" s="38">
        <f t="shared" ref="H129:H157" si="2">E129*G129</f>
        <v>0</v>
      </c>
    </row>
    <row r="130" spans="1:8" x14ac:dyDescent="0.25">
      <c r="A130" s="113">
        <v>46214</v>
      </c>
      <c r="B130" s="107">
        <v>1790283380001</v>
      </c>
      <c r="C130" s="107" t="s">
        <v>1010</v>
      </c>
      <c r="D130" s="115" t="s">
        <v>1020</v>
      </c>
      <c r="E130" s="33"/>
      <c r="F130" s="34" t="s">
        <v>601</v>
      </c>
      <c r="G130" s="34">
        <v>0</v>
      </c>
      <c r="H130" s="35">
        <f t="shared" si="2"/>
        <v>0</v>
      </c>
    </row>
    <row r="131" spans="1:8" ht="15.75" thickBot="1" x14ac:dyDescent="0.3">
      <c r="A131" s="114"/>
      <c r="B131" s="108"/>
      <c r="C131" s="108"/>
      <c r="D131" s="116"/>
      <c r="E131" s="36">
        <v>111</v>
      </c>
      <c r="F131" s="37" t="s">
        <v>602</v>
      </c>
      <c r="G131" s="37">
        <v>0</v>
      </c>
      <c r="H131" s="38">
        <f t="shared" si="2"/>
        <v>0</v>
      </c>
    </row>
    <row r="132" spans="1:8" x14ac:dyDescent="0.25">
      <c r="A132" s="113">
        <v>46214</v>
      </c>
      <c r="B132" s="107">
        <v>1790283380001</v>
      </c>
      <c r="C132" s="107" t="s">
        <v>1010</v>
      </c>
      <c r="D132" s="115" t="s">
        <v>1021</v>
      </c>
      <c r="E132" s="33"/>
      <c r="F132" s="34" t="s">
        <v>601</v>
      </c>
      <c r="G132" s="34">
        <v>0</v>
      </c>
      <c r="H132" s="35">
        <f t="shared" si="2"/>
        <v>0</v>
      </c>
    </row>
    <row r="133" spans="1:8" ht="15.75" thickBot="1" x14ac:dyDescent="0.3">
      <c r="A133" s="114"/>
      <c r="B133" s="108"/>
      <c r="C133" s="108"/>
      <c r="D133" s="116"/>
      <c r="E133" s="36">
        <v>30</v>
      </c>
      <c r="F133" s="37" t="s">
        <v>602</v>
      </c>
      <c r="G133" s="37">
        <v>0</v>
      </c>
      <c r="H133" s="38">
        <f t="shared" si="2"/>
        <v>0</v>
      </c>
    </row>
    <row r="134" spans="1:8" x14ac:dyDescent="0.25">
      <c r="A134" s="113">
        <v>46221</v>
      </c>
      <c r="B134" s="107">
        <v>1790283380001</v>
      </c>
      <c r="C134" s="107" t="s">
        <v>1010</v>
      </c>
      <c r="D134" s="115" t="s">
        <v>1022</v>
      </c>
      <c r="E134" s="33"/>
      <c r="F134" s="34" t="s">
        <v>601</v>
      </c>
      <c r="G134" s="34">
        <v>0</v>
      </c>
      <c r="H134" s="35">
        <f t="shared" si="2"/>
        <v>0</v>
      </c>
    </row>
    <row r="135" spans="1:8" ht="15.75" thickBot="1" x14ac:dyDescent="0.3">
      <c r="A135" s="114"/>
      <c r="B135" s="108"/>
      <c r="C135" s="108"/>
      <c r="D135" s="116"/>
      <c r="E135" s="36">
        <v>15</v>
      </c>
      <c r="F135" s="37" t="s">
        <v>602</v>
      </c>
      <c r="G135" s="37">
        <v>0</v>
      </c>
      <c r="H135" s="38">
        <f t="shared" si="2"/>
        <v>0</v>
      </c>
    </row>
    <row r="136" spans="1:8" x14ac:dyDescent="0.25">
      <c r="A136" s="113">
        <v>46221</v>
      </c>
      <c r="B136" s="107">
        <v>1790283380001</v>
      </c>
      <c r="C136" s="107" t="s">
        <v>1010</v>
      </c>
      <c r="D136" s="115" t="s">
        <v>1023</v>
      </c>
      <c r="E136" s="33"/>
      <c r="F136" s="34" t="s">
        <v>601</v>
      </c>
      <c r="G136" s="34">
        <v>0</v>
      </c>
      <c r="H136" s="35">
        <f t="shared" si="2"/>
        <v>0</v>
      </c>
    </row>
    <row r="137" spans="1:8" ht="15.75" thickBot="1" x14ac:dyDescent="0.3">
      <c r="A137" s="114"/>
      <c r="B137" s="108"/>
      <c r="C137" s="108"/>
      <c r="D137" s="116"/>
      <c r="E137" s="36">
        <v>41</v>
      </c>
      <c r="F137" s="37" t="s">
        <v>602</v>
      </c>
      <c r="G137" s="37">
        <v>0</v>
      </c>
      <c r="H137" s="38">
        <f t="shared" si="2"/>
        <v>0</v>
      </c>
    </row>
    <row r="138" spans="1:8" x14ac:dyDescent="0.25">
      <c r="A138" s="113">
        <v>46221</v>
      </c>
      <c r="B138" s="107">
        <v>1790283380001</v>
      </c>
      <c r="C138" s="107" t="s">
        <v>1010</v>
      </c>
      <c r="D138" s="115" t="s">
        <v>1024</v>
      </c>
      <c r="E138" s="33"/>
      <c r="F138" s="34" t="s">
        <v>601</v>
      </c>
      <c r="G138" s="34">
        <v>0</v>
      </c>
      <c r="H138" s="35">
        <f t="shared" si="2"/>
        <v>0</v>
      </c>
    </row>
    <row r="139" spans="1:8" ht="15.75" thickBot="1" x14ac:dyDescent="0.3">
      <c r="A139" s="114"/>
      <c r="B139" s="108"/>
      <c r="C139" s="108"/>
      <c r="D139" s="116"/>
      <c r="E139" s="36">
        <v>26</v>
      </c>
      <c r="F139" s="37" t="s">
        <v>602</v>
      </c>
      <c r="G139" s="37">
        <v>0</v>
      </c>
      <c r="H139" s="38">
        <f t="shared" si="2"/>
        <v>0</v>
      </c>
    </row>
    <row r="140" spans="1:8" x14ac:dyDescent="0.25">
      <c r="A140" s="113">
        <v>46228</v>
      </c>
      <c r="B140" s="107">
        <v>1790283380001</v>
      </c>
      <c r="C140" s="107" t="s">
        <v>1010</v>
      </c>
      <c r="D140" s="115" t="s">
        <v>1025</v>
      </c>
      <c r="E140" s="33"/>
      <c r="F140" s="34" t="s">
        <v>601</v>
      </c>
      <c r="G140" s="34">
        <v>0</v>
      </c>
      <c r="H140" s="35">
        <f t="shared" si="2"/>
        <v>0</v>
      </c>
    </row>
    <row r="141" spans="1:8" ht="15.75" thickBot="1" x14ac:dyDescent="0.3">
      <c r="A141" s="114"/>
      <c r="B141" s="108"/>
      <c r="C141" s="108"/>
      <c r="D141" s="116"/>
      <c r="E141" s="36">
        <v>10</v>
      </c>
      <c r="F141" s="37" t="s">
        <v>602</v>
      </c>
      <c r="G141" s="37">
        <v>0</v>
      </c>
      <c r="H141" s="38">
        <f t="shared" si="2"/>
        <v>0</v>
      </c>
    </row>
    <row r="142" spans="1:8" x14ac:dyDescent="0.25">
      <c r="A142" s="113">
        <v>46228</v>
      </c>
      <c r="B142" s="107">
        <v>1790283380001</v>
      </c>
      <c r="C142" s="107" t="s">
        <v>1010</v>
      </c>
      <c r="D142" s="115" t="s">
        <v>1026</v>
      </c>
      <c r="E142" s="33"/>
      <c r="F142" s="34" t="s">
        <v>601</v>
      </c>
      <c r="G142" s="34">
        <v>0</v>
      </c>
      <c r="H142" s="35">
        <f t="shared" si="2"/>
        <v>0</v>
      </c>
    </row>
    <row r="143" spans="1:8" ht="15.75" thickBot="1" x14ac:dyDescent="0.3">
      <c r="A143" s="114"/>
      <c r="B143" s="108"/>
      <c r="C143" s="108"/>
      <c r="D143" s="116"/>
      <c r="E143" s="36">
        <v>20</v>
      </c>
      <c r="F143" s="37" t="s">
        <v>602</v>
      </c>
      <c r="G143" s="37">
        <v>0</v>
      </c>
      <c r="H143" s="38">
        <f t="shared" si="2"/>
        <v>0</v>
      </c>
    </row>
    <row r="144" spans="1:8" x14ac:dyDescent="0.25">
      <c r="A144" s="113">
        <v>46232</v>
      </c>
      <c r="B144" s="107">
        <v>990049459001</v>
      </c>
      <c r="C144" s="107" t="s">
        <v>1011</v>
      </c>
      <c r="D144" s="115" t="s">
        <v>1027</v>
      </c>
      <c r="E144" s="33"/>
      <c r="F144" s="34" t="s">
        <v>601</v>
      </c>
      <c r="G144" s="34">
        <v>0</v>
      </c>
      <c r="H144" s="35">
        <f t="shared" si="2"/>
        <v>0</v>
      </c>
    </row>
    <row r="145" spans="1:8" ht="15.75" thickBot="1" x14ac:dyDescent="0.3">
      <c r="A145" s="114"/>
      <c r="B145" s="108"/>
      <c r="C145" s="108"/>
      <c r="D145" s="116"/>
      <c r="E145" s="36">
        <v>21.12</v>
      </c>
      <c r="F145" s="37" t="s">
        <v>602</v>
      </c>
      <c r="G145" s="37">
        <v>0.02</v>
      </c>
      <c r="H145" s="38">
        <f t="shared" si="2"/>
        <v>0.42240000000000005</v>
      </c>
    </row>
    <row r="146" spans="1:8" x14ac:dyDescent="0.25">
      <c r="A146" s="113"/>
      <c r="B146" s="107"/>
      <c r="C146" s="107"/>
      <c r="D146" s="115"/>
      <c r="E146" s="33"/>
      <c r="F146" s="34" t="s">
        <v>601</v>
      </c>
      <c r="G146" s="34">
        <v>0</v>
      </c>
      <c r="H146" s="35">
        <f t="shared" si="2"/>
        <v>0</v>
      </c>
    </row>
    <row r="147" spans="1:8" ht="15.75" thickBot="1" x14ac:dyDescent="0.3">
      <c r="A147" s="114"/>
      <c r="B147" s="108"/>
      <c r="C147" s="108"/>
      <c r="D147" s="116"/>
      <c r="E147" s="36"/>
      <c r="F147" s="37" t="s">
        <v>602</v>
      </c>
      <c r="G147" s="37">
        <v>0</v>
      </c>
      <c r="H147" s="38">
        <f t="shared" si="2"/>
        <v>0</v>
      </c>
    </row>
    <row r="148" spans="1:8" x14ac:dyDescent="0.25">
      <c r="A148" s="113"/>
      <c r="B148" s="107"/>
      <c r="C148" s="107"/>
      <c r="D148" s="115"/>
      <c r="E148" s="33"/>
      <c r="F148" s="34" t="s">
        <v>601</v>
      </c>
      <c r="G148" s="34">
        <v>0</v>
      </c>
      <c r="H148" s="35">
        <f t="shared" si="2"/>
        <v>0</v>
      </c>
    </row>
    <row r="149" spans="1:8" ht="15.75" thickBot="1" x14ac:dyDescent="0.3">
      <c r="A149" s="114"/>
      <c r="B149" s="108"/>
      <c r="C149" s="108"/>
      <c r="D149" s="116"/>
      <c r="E149" s="36"/>
      <c r="F149" s="37" t="s">
        <v>602</v>
      </c>
      <c r="G149" s="37">
        <v>0</v>
      </c>
      <c r="H149" s="38">
        <f t="shared" si="2"/>
        <v>0</v>
      </c>
    </row>
    <row r="150" spans="1:8" x14ac:dyDescent="0.25">
      <c r="A150" s="113"/>
      <c r="B150" s="107"/>
      <c r="C150" s="107"/>
      <c r="D150" s="115"/>
      <c r="E150" s="33"/>
      <c r="F150" s="34" t="s">
        <v>601</v>
      </c>
      <c r="G150" s="34">
        <v>0</v>
      </c>
      <c r="H150" s="35">
        <f t="shared" si="2"/>
        <v>0</v>
      </c>
    </row>
    <row r="151" spans="1:8" ht="15.75" thickBot="1" x14ac:dyDescent="0.3">
      <c r="A151" s="114"/>
      <c r="B151" s="108"/>
      <c r="C151" s="108"/>
      <c r="D151" s="116"/>
      <c r="E151" s="36"/>
      <c r="F151" s="37" t="s">
        <v>602</v>
      </c>
      <c r="G151" s="37">
        <v>0</v>
      </c>
      <c r="H151" s="38">
        <f t="shared" si="2"/>
        <v>0</v>
      </c>
    </row>
    <row r="152" spans="1:8" x14ac:dyDescent="0.25">
      <c r="A152" s="113"/>
      <c r="B152" s="107"/>
      <c r="C152" s="107"/>
      <c r="D152" s="115"/>
      <c r="E152" s="33"/>
      <c r="F152" s="34" t="s">
        <v>601</v>
      </c>
      <c r="G152" s="34">
        <v>0</v>
      </c>
      <c r="H152" s="35">
        <f t="shared" si="2"/>
        <v>0</v>
      </c>
    </row>
    <row r="153" spans="1:8" ht="15.75" thickBot="1" x14ac:dyDescent="0.3">
      <c r="A153" s="114"/>
      <c r="B153" s="108"/>
      <c r="C153" s="108"/>
      <c r="D153" s="116"/>
      <c r="E153" s="36"/>
      <c r="F153" s="37" t="s">
        <v>602</v>
      </c>
      <c r="G153" s="37">
        <v>0</v>
      </c>
      <c r="H153" s="38">
        <f t="shared" si="2"/>
        <v>0</v>
      </c>
    </row>
    <row r="154" spans="1:8" x14ac:dyDescent="0.25">
      <c r="A154" s="113"/>
      <c r="B154" s="107"/>
      <c r="C154" s="107"/>
      <c r="D154" s="115"/>
      <c r="E154" s="33"/>
      <c r="F154" s="34" t="s">
        <v>601</v>
      </c>
      <c r="G154" s="34">
        <v>0</v>
      </c>
      <c r="H154" s="35">
        <f t="shared" si="2"/>
        <v>0</v>
      </c>
    </row>
    <row r="155" spans="1:8" ht="15.75" thickBot="1" x14ac:dyDescent="0.3">
      <c r="A155" s="114"/>
      <c r="B155" s="108"/>
      <c r="C155" s="108"/>
      <c r="D155" s="116"/>
      <c r="E155" s="36"/>
      <c r="F155" s="37" t="s">
        <v>602</v>
      </c>
      <c r="G155" s="37">
        <v>0</v>
      </c>
      <c r="H155" s="38">
        <f t="shared" si="2"/>
        <v>0</v>
      </c>
    </row>
    <row r="156" spans="1:8" x14ac:dyDescent="0.25">
      <c r="A156" s="113"/>
      <c r="B156" s="107"/>
      <c r="C156" s="107"/>
      <c r="D156" s="115"/>
      <c r="E156" s="33"/>
      <c r="F156" s="34" t="s">
        <v>601</v>
      </c>
      <c r="G156" s="34">
        <v>0</v>
      </c>
      <c r="H156" s="35">
        <f t="shared" si="2"/>
        <v>0</v>
      </c>
    </row>
    <row r="157" spans="1:8" ht="15.75" thickBot="1" x14ac:dyDescent="0.3">
      <c r="A157" s="114"/>
      <c r="B157" s="108"/>
      <c r="C157" s="108"/>
      <c r="D157" s="116"/>
      <c r="E157" s="36"/>
      <c r="F157" s="37" t="s">
        <v>602</v>
      </c>
      <c r="G157" s="37">
        <v>0</v>
      </c>
      <c r="H157" s="38">
        <f t="shared" si="2"/>
        <v>0</v>
      </c>
    </row>
  </sheetData>
  <autoFilter ref="A1:H157" xr:uid="{00000000-0009-0000-0000-000005000000}"/>
  <mergeCells count="308">
    <mergeCell ref="A156:A157"/>
    <mergeCell ref="D156:D157"/>
    <mergeCell ref="A150:A151"/>
    <mergeCell ref="D150:D151"/>
    <mergeCell ref="A152:A153"/>
    <mergeCell ref="D152:D153"/>
    <mergeCell ref="A154:A155"/>
    <mergeCell ref="D154:D155"/>
    <mergeCell ref="A144:A145"/>
    <mergeCell ref="D144:D145"/>
    <mergeCell ref="A146:A147"/>
    <mergeCell ref="D146:D147"/>
    <mergeCell ref="A148:A149"/>
    <mergeCell ref="D148:D149"/>
    <mergeCell ref="C144:C145"/>
    <mergeCell ref="C146:C147"/>
    <mergeCell ref="C148:C149"/>
    <mergeCell ref="C150:C151"/>
    <mergeCell ref="C152:C153"/>
    <mergeCell ref="C154:C155"/>
    <mergeCell ref="C156:C157"/>
    <mergeCell ref="B144:B145"/>
    <mergeCell ref="B146:B147"/>
    <mergeCell ref="B148:B149"/>
    <mergeCell ref="A138:A139"/>
    <mergeCell ref="D138:D139"/>
    <mergeCell ref="A140:A141"/>
    <mergeCell ref="D140:D141"/>
    <mergeCell ref="A142:A143"/>
    <mergeCell ref="D142:D143"/>
    <mergeCell ref="A132:A133"/>
    <mergeCell ref="D132:D133"/>
    <mergeCell ref="A134:A135"/>
    <mergeCell ref="D134:D135"/>
    <mergeCell ref="A136:A137"/>
    <mergeCell ref="D136:D137"/>
    <mergeCell ref="C132:C133"/>
    <mergeCell ref="C134:C135"/>
    <mergeCell ref="C136:C137"/>
    <mergeCell ref="C138:C139"/>
    <mergeCell ref="C140:C141"/>
    <mergeCell ref="C142:C143"/>
    <mergeCell ref="B132:B133"/>
    <mergeCell ref="B134:B135"/>
    <mergeCell ref="B136:B137"/>
    <mergeCell ref="B138:B139"/>
    <mergeCell ref="B140:B141"/>
    <mergeCell ref="B142:B143"/>
    <mergeCell ref="A126:A127"/>
    <mergeCell ref="D126:D127"/>
    <mergeCell ref="A128:A129"/>
    <mergeCell ref="D128:D129"/>
    <mergeCell ref="A130:A131"/>
    <mergeCell ref="D130:D131"/>
    <mergeCell ref="A120:A121"/>
    <mergeCell ref="D120:D121"/>
    <mergeCell ref="A122:A123"/>
    <mergeCell ref="D122:D123"/>
    <mergeCell ref="A124:A125"/>
    <mergeCell ref="D124:D125"/>
    <mergeCell ref="B120:B121"/>
    <mergeCell ref="C120:C121"/>
    <mergeCell ref="C122:C123"/>
    <mergeCell ref="C124:C125"/>
    <mergeCell ref="C126:C127"/>
    <mergeCell ref="C128:C129"/>
    <mergeCell ref="C130:C131"/>
    <mergeCell ref="B122:B123"/>
    <mergeCell ref="B124:B125"/>
    <mergeCell ref="B126:B127"/>
    <mergeCell ref="B128:B129"/>
    <mergeCell ref="B130:B131"/>
    <mergeCell ref="A114:A115"/>
    <mergeCell ref="D114:D115"/>
    <mergeCell ref="A116:A117"/>
    <mergeCell ref="D116:D117"/>
    <mergeCell ref="A118:A119"/>
    <mergeCell ref="D118:D119"/>
    <mergeCell ref="A108:A109"/>
    <mergeCell ref="D108:D109"/>
    <mergeCell ref="A110:A111"/>
    <mergeCell ref="D110:D111"/>
    <mergeCell ref="A112:A113"/>
    <mergeCell ref="D112:D113"/>
    <mergeCell ref="B118:B119"/>
    <mergeCell ref="C118:C119"/>
    <mergeCell ref="A102:A103"/>
    <mergeCell ref="D102:D103"/>
    <mergeCell ref="A104:A105"/>
    <mergeCell ref="D104:D105"/>
    <mergeCell ref="A106:A107"/>
    <mergeCell ref="D106:D107"/>
    <mergeCell ref="A96:A97"/>
    <mergeCell ref="D96:D97"/>
    <mergeCell ref="A98:A99"/>
    <mergeCell ref="D98:D99"/>
    <mergeCell ref="A100:A101"/>
    <mergeCell ref="D100:D101"/>
    <mergeCell ref="B96:B97"/>
    <mergeCell ref="C96:C97"/>
    <mergeCell ref="B98:B99"/>
    <mergeCell ref="C98:C99"/>
    <mergeCell ref="B100:B101"/>
    <mergeCell ref="C100:C101"/>
    <mergeCell ref="B102:B103"/>
    <mergeCell ref="C102:C103"/>
    <mergeCell ref="B104:B105"/>
    <mergeCell ref="C104:C105"/>
    <mergeCell ref="B106:B107"/>
    <mergeCell ref="C106:C107"/>
    <mergeCell ref="A90:A91"/>
    <mergeCell ref="D90:D91"/>
    <mergeCell ref="A92:A93"/>
    <mergeCell ref="D92:D93"/>
    <mergeCell ref="A94:A95"/>
    <mergeCell ref="D94:D95"/>
    <mergeCell ref="A84:A85"/>
    <mergeCell ref="D84:D85"/>
    <mergeCell ref="A86:A87"/>
    <mergeCell ref="D86:D87"/>
    <mergeCell ref="A88:A89"/>
    <mergeCell ref="D88:D89"/>
    <mergeCell ref="B84:B85"/>
    <mergeCell ref="C84:C85"/>
    <mergeCell ref="B86:B87"/>
    <mergeCell ref="C86:C87"/>
    <mergeCell ref="B88:B89"/>
    <mergeCell ref="C88:C89"/>
    <mergeCell ref="B90:B91"/>
    <mergeCell ref="C90:C91"/>
    <mergeCell ref="B92:B93"/>
    <mergeCell ref="C92:C93"/>
    <mergeCell ref="B94:B95"/>
    <mergeCell ref="C94:C95"/>
    <mergeCell ref="A78:A79"/>
    <mergeCell ref="D78:D79"/>
    <mergeCell ref="A80:A81"/>
    <mergeCell ref="D80:D81"/>
    <mergeCell ref="A82:A83"/>
    <mergeCell ref="D82:D83"/>
    <mergeCell ref="A72:A73"/>
    <mergeCell ref="D72:D73"/>
    <mergeCell ref="A74:A75"/>
    <mergeCell ref="D74:D75"/>
    <mergeCell ref="A76:A77"/>
    <mergeCell ref="D76:D77"/>
    <mergeCell ref="B78:B79"/>
    <mergeCell ref="C78:C79"/>
    <mergeCell ref="B80:B81"/>
    <mergeCell ref="C80:C81"/>
    <mergeCell ref="B82:B83"/>
    <mergeCell ref="C82:C83"/>
    <mergeCell ref="A64:A65"/>
    <mergeCell ref="D64:D65"/>
    <mergeCell ref="A68:A69"/>
    <mergeCell ref="D68:D69"/>
    <mergeCell ref="A70:A71"/>
    <mergeCell ref="D70:D71"/>
    <mergeCell ref="A56:A57"/>
    <mergeCell ref="D56:D57"/>
    <mergeCell ref="A58:A59"/>
    <mergeCell ref="D58:D59"/>
    <mergeCell ref="A62:A63"/>
    <mergeCell ref="D62:D63"/>
    <mergeCell ref="B56:B57"/>
    <mergeCell ref="C56:C57"/>
    <mergeCell ref="B58:B59"/>
    <mergeCell ref="C58:C59"/>
    <mergeCell ref="B60:B61"/>
    <mergeCell ref="C60:C61"/>
    <mergeCell ref="B62:B63"/>
    <mergeCell ref="C62:C63"/>
    <mergeCell ref="B64:B65"/>
    <mergeCell ref="C64:C65"/>
    <mergeCell ref="B66:B67"/>
    <mergeCell ref="C66:C67"/>
    <mergeCell ref="A50:A51"/>
    <mergeCell ref="D50:D51"/>
    <mergeCell ref="A52:A53"/>
    <mergeCell ref="D52:D53"/>
    <mergeCell ref="A54:A55"/>
    <mergeCell ref="D54:D55"/>
    <mergeCell ref="A44:A45"/>
    <mergeCell ref="D44:D45"/>
    <mergeCell ref="A46:A47"/>
    <mergeCell ref="D46:D47"/>
    <mergeCell ref="A48:A49"/>
    <mergeCell ref="D48:D49"/>
    <mergeCell ref="B44:B45"/>
    <mergeCell ref="C44:C45"/>
    <mergeCell ref="B46:B47"/>
    <mergeCell ref="C46:C47"/>
    <mergeCell ref="B48:B49"/>
    <mergeCell ref="C48:C49"/>
    <mergeCell ref="B50:B51"/>
    <mergeCell ref="C50:C51"/>
    <mergeCell ref="B52:B53"/>
    <mergeCell ref="C52:C53"/>
    <mergeCell ref="B54:B55"/>
    <mergeCell ref="C54:C55"/>
    <mergeCell ref="A38:A39"/>
    <mergeCell ref="D38:D39"/>
    <mergeCell ref="A40:A41"/>
    <mergeCell ref="D40:D41"/>
    <mergeCell ref="A42:A43"/>
    <mergeCell ref="D42:D43"/>
    <mergeCell ref="A32:A33"/>
    <mergeCell ref="D32:D33"/>
    <mergeCell ref="A34:A35"/>
    <mergeCell ref="D34:D35"/>
    <mergeCell ref="A36:A37"/>
    <mergeCell ref="D36:D37"/>
    <mergeCell ref="B32:B33"/>
    <mergeCell ref="C32:C33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C42:C43"/>
    <mergeCell ref="A26:A27"/>
    <mergeCell ref="D26:D27"/>
    <mergeCell ref="A28:A29"/>
    <mergeCell ref="D28:D29"/>
    <mergeCell ref="A30:A31"/>
    <mergeCell ref="D30:D31"/>
    <mergeCell ref="A20:A21"/>
    <mergeCell ref="D20:D21"/>
    <mergeCell ref="A22:A23"/>
    <mergeCell ref="D22:D23"/>
    <mergeCell ref="A24:A25"/>
    <mergeCell ref="D24:D25"/>
    <mergeCell ref="B20:B21"/>
    <mergeCell ref="C20:C21"/>
    <mergeCell ref="B22:B23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A18:A19"/>
    <mergeCell ref="D18:D19"/>
    <mergeCell ref="A8:A9"/>
    <mergeCell ref="D8:D9"/>
    <mergeCell ref="A10:A11"/>
    <mergeCell ref="D10:D11"/>
    <mergeCell ref="A12:A13"/>
    <mergeCell ref="D12:D13"/>
    <mergeCell ref="B16:B17"/>
    <mergeCell ref="C16:C17"/>
    <mergeCell ref="B18:B19"/>
    <mergeCell ref="C18:C19"/>
    <mergeCell ref="A2:A3"/>
    <mergeCell ref="D2:D3"/>
    <mergeCell ref="A4:A5"/>
    <mergeCell ref="D4:D5"/>
    <mergeCell ref="A6:A7"/>
    <mergeCell ref="D6:D7"/>
    <mergeCell ref="A14:A15"/>
    <mergeCell ref="D14:D15"/>
    <mergeCell ref="A16:A17"/>
    <mergeCell ref="D16:D17"/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50:B151"/>
    <mergeCell ref="B152:B153"/>
    <mergeCell ref="B154:B155"/>
    <mergeCell ref="B156:B15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116:B117"/>
    <mergeCell ref="C116:C11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2. Servicios</vt:lpstr>
      <vt:lpstr>3. Clientes</vt:lpstr>
      <vt:lpstr>5. Citas y Ventas</vt:lpstr>
      <vt:lpstr>retenciones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López</cp:lastModifiedBy>
  <dcterms:created xsi:type="dcterms:W3CDTF">2026-06-25T00:51:29Z</dcterms:created>
  <dcterms:modified xsi:type="dcterms:W3CDTF">2026-08-13T16:10:24Z</dcterms:modified>
</cp:coreProperties>
</file>