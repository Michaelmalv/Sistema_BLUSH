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ardo\Downloads\"/>
    </mc:Choice>
  </mc:AlternateContent>
  <bookViews>
    <workbookView xWindow="0" yWindow="0" windowWidth="23040" windowHeight="8496" activeTab="5"/>
  </bookViews>
  <sheets>
    <sheet name="1. Productos" sheetId="1" r:id="rId1"/>
    <sheet name="2. Servicios" sheetId="2" r:id="rId2"/>
    <sheet name="3. Clientes" sheetId="3" r:id="rId3"/>
    <sheet name="4. Gastos" sheetId="4" r:id="rId4"/>
    <sheet name="5. Citas y Ventas" sheetId="5" r:id="rId5"/>
    <sheet name="Hoja1" sheetId="6" r:id="rId6"/>
    <sheet name="retenciones" sheetId="7" r:id="rId7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8" i="7" l="1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7" i="7"/>
  <c r="F6" i="7"/>
  <c r="F5" i="7"/>
  <c r="F4" i="7"/>
  <c r="F3" i="7"/>
  <c r="F2" i="7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6" i="4"/>
  <c r="J145" i="4"/>
  <c r="J144" i="4"/>
  <c r="J143" i="4"/>
  <c r="J142" i="4"/>
  <c r="I141" i="4"/>
  <c r="J141" i="4" s="1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I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F920" i="5" l="1"/>
  <c r="F919" i="5"/>
  <c r="F889" i="5"/>
  <c r="F834" i="5"/>
  <c r="F833" i="5"/>
  <c r="F770" i="5"/>
  <c r="F768" i="5"/>
  <c r="F767" i="5"/>
  <c r="F766" i="5"/>
  <c r="F764" i="5"/>
  <c r="F762" i="5"/>
  <c r="F759" i="5"/>
  <c r="F745" i="5"/>
  <c r="F743" i="5"/>
  <c r="F741" i="5"/>
  <c r="F739" i="5"/>
  <c r="F738" i="5"/>
  <c r="F661" i="5"/>
  <c r="F646" i="5"/>
  <c r="F645" i="5"/>
  <c r="F583" i="5"/>
  <c r="F582" i="5"/>
  <c r="F543" i="5"/>
  <c r="F520" i="5"/>
  <c r="F503" i="5"/>
  <c r="F499" i="5"/>
  <c r="F495" i="5"/>
  <c r="F464" i="5"/>
  <c r="F440" i="5"/>
  <c r="F430" i="5"/>
  <c r="F422" i="5"/>
  <c r="F419" i="5"/>
  <c r="F365" i="5"/>
  <c r="F364" i="5"/>
  <c r="F362" i="5"/>
  <c r="F361" i="5"/>
  <c r="F337" i="5"/>
  <c r="F332" i="5"/>
  <c r="F296" i="5"/>
  <c r="F293" i="5"/>
  <c r="F290" i="5"/>
  <c r="F288" i="5"/>
  <c r="F287" i="5"/>
  <c r="F254" i="5"/>
  <c r="F201" i="5"/>
  <c r="F198" i="5"/>
  <c r="F190" i="5"/>
  <c r="F189" i="5"/>
  <c r="F100" i="5"/>
</calcChain>
</file>

<file path=xl/sharedStrings.xml><?xml version="1.0" encoding="utf-8"?>
<sst xmlns="http://schemas.openxmlformats.org/spreadsheetml/2006/main" count="6434" uniqueCount="1654">
  <si>
    <t>Plantilla de Carga: Catálogo de Productos</t>
  </si>
  <si>
    <t>nombre</t>
  </si>
  <si>
    <t>descripcion</t>
  </si>
  <si>
    <t>tipo</t>
  </si>
  <si>
    <t>stock_actual</t>
  </si>
  <si>
    <t>stock_minimo</t>
  </si>
  <si>
    <t>precio_venta</t>
  </si>
  <si>
    <t>proveedor</t>
  </si>
  <si>
    <t>proveedor_ruc</t>
  </si>
  <si>
    <t>precio_costo</t>
  </si>
  <si>
    <t>fecha_compra</t>
  </si>
  <si>
    <t>Esmaltes Gel Pro</t>
  </si>
  <si>
    <t>Esmaltes de alta duración</t>
  </si>
  <si>
    <t>insumo</t>
  </si>
  <si>
    <t>OPI Distribuidor</t>
  </si>
  <si>
    <t>1792938475001</t>
  </si>
  <si>
    <t>2026-05-01</t>
  </si>
  <si>
    <t>Removedor de acrílico premium</t>
  </si>
  <si>
    <t>Líquido removedor rápido</t>
  </si>
  <si>
    <t>Belleza Total S.A.</t>
  </si>
  <si>
    <t>1792223334001</t>
  </si>
  <si>
    <t>2026-05-15</t>
  </si>
  <si>
    <t>Aceite de cutícula coco 15ml</t>
  </si>
  <si>
    <t>Para reventa al cliente</t>
  </si>
  <si>
    <t>reventa</t>
  </si>
  <si>
    <t>Cosméticos Ec</t>
  </si>
  <si>
    <t>1794445556001</t>
  </si>
  <si>
    <t>2026-06-01</t>
  </si>
  <si>
    <t>Plantilla de Carga: Catálogo de Servicios</t>
  </si>
  <si>
    <t>precio_base</t>
  </si>
  <si>
    <t>duracion_minutos</t>
  </si>
  <si>
    <t>frecuencia_recomendada_dias</t>
  </si>
  <si>
    <t>Baño de acrílico</t>
  </si>
  <si>
    <t>Nivelación Rubber</t>
  </si>
  <si>
    <t>Pedicura tradicional</t>
  </si>
  <si>
    <t>Keratina</t>
  </si>
  <si>
    <t>Cejas HD</t>
  </si>
  <si>
    <t>Plantilla de Carga: Registro de Clientes</t>
  </si>
  <si>
    <t>celular</t>
  </si>
  <si>
    <t>correo</t>
  </si>
  <si>
    <t>medio_contacto</t>
  </si>
  <si>
    <t>Mayra Lojano</t>
  </si>
  <si>
    <t>WhatsApp</t>
  </si>
  <si>
    <t>Carla Poveda</t>
  </si>
  <si>
    <t>Angelita Flores</t>
  </si>
  <si>
    <t>Plantilla de Carga: Registro de Egresos y Gastos</t>
  </si>
  <si>
    <t>fecha</t>
  </si>
  <si>
    <t>factura</t>
  </si>
  <si>
    <t>cantidad</t>
  </si>
  <si>
    <t>concepto</t>
  </si>
  <si>
    <t>categoria</t>
  </si>
  <si>
    <t>valor_unitario</t>
  </si>
  <si>
    <t>total</t>
  </si>
  <si>
    <t>forma_pago</t>
  </si>
  <si>
    <t>cuenta</t>
  </si>
  <si>
    <t>Efectivo</t>
  </si>
  <si>
    <t>Deuna</t>
  </si>
  <si>
    <t>Cuenta Corriente</t>
  </si>
  <si>
    <t>Transferencia</t>
  </si>
  <si>
    <t>Plantilla de Carga: Histórico de Citas y Ventas</t>
  </si>
  <si>
    <t>fecha_hora</t>
  </si>
  <si>
    <t>valor_pagado</t>
  </si>
  <si>
    <t>cliente</t>
  </si>
  <si>
    <t>servicio</t>
  </si>
  <si>
    <t>personal</t>
  </si>
  <si>
    <t>no_transferencia(si existe)</t>
  </si>
  <si>
    <t>Identificación</t>
  </si>
  <si>
    <t>Fernanda Lizet Proaño</t>
  </si>
  <si>
    <t xml:space="preserve">Retiro acrìlico </t>
  </si>
  <si>
    <t>Elizabeth</t>
  </si>
  <si>
    <t>Manicura semipermanente</t>
  </si>
  <si>
    <t>Adrian Ibarra</t>
  </si>
  <si>
    <t>Manicura tradicional + ojo de gato</t>
  </si>
  <si>
    <t>Lucìa</t>
  </si>
  <si>
    <t>Andrea Pardo</t>
  </si>
  <si>
    <t xml:space="preserve">Manicura tradicional </t>
  </si>
  <si>
    <t>María Chicaiza</t>
  </si>
  <si>
    <t>Angelita Chasillacta</t>
  </si>
  <si>
    <t>Francisco Moya</t>
  </si>
  <si>
    <t>efectivo</t>
  </si>
  <si>
    <t>n/a</t>
  </si>
  <si>
    <t>Abigail Moya</t>
  </si>
  <si>
    <t>Eli Moya</t>
  </si>
  <si>
    <t>limpieza manicura</t>
  </si>
  <si>
    <t>manicura kids</t>
  </si>
  <si>
    <t>pedicura kids</t>
  </si>
  <si>
    <t>Veronica Chancusi</t>
  </si>
  <si>
    <t>manicura permanente</t>
  </si>
  <si>
    <t>Luci</t>
  </si>
  <si>
    <t>De una</t>
  </si>
  <si>
    <t>retiro</t>
  </si>
  <si>
    <t>Daniela Arboleda</t>
  </si>
  <si>
    <t>Eli</t>
  </si>
  <si>
    <t>MANICURA PERMANENTE</t>
  </si>
  <si>
    <t>Leon Enriquez</t>
  </si>
  <si>
    <t>manicura tradicional</t>
  </si>
  <si>
    <t>transferencia</t>
  </si>
  <si>
    <t>Christian Pardo</t>
  </si>
  <si>
    <t>limpieza manicure</t>
  </si>
  <si>
    <t>deuna</t>
  </si>
  <si>
    <t>trans Produbanco</t>
  </si>
  <si>
    <t>Portilla katherine</t>
  </si>
  <si>
    <t>pedicura permanente</t>
  </si>
  <si>
    <t>polygel</t>
  </si>
  <si>
    <t>pedicura tradicional</t>
  </si>
  <si>
    <t>acrílico</t>
  </si>
  <si>
    <t>Juan Pablo Mendez</t>
  </si>
  <si>
    <t>manicura permanente + retiro</t>
  </si>
  <si>
    <t>transf Produbanco</t>
  </si>
  <si>
    <t>Nathali Padilla</t>
  </si>
  <si>
    <t>manicura tradicional +manicura permanente</t>
  </si>
  <si>
    <t>Diana Padilla</t>
  </si>
  <si>
    <t>2 manicura tradicional +pedicura tradicional</t>
  </si>
  <si>
    <t>3 manicura tradicional</t>
  </si>
  <si>
    <t xml:space="preserve"> Fernanda Proaño</t>
  </si>
  <si>
    <t>AdonaySusana</t>
  </si>
  <si>
    <t>manicura permanente +retiro+efecto espejo</t>
  </si>
  <si>
    <t>2 impresiones</t>
  </si>
  <si>
    <t>2uñas</t>
  </si>
  <si>
    <t>Lily Ramirez</t>
  </si>
  <si>
    <t>Samiel DayanaGuerron</t>
  </si>
  <si>
    <t>Mariana Ramirez</t>
  </si>
  <si>
    <t>agenda</t>
  </si>
  <si>
    <t>cosmetiquera</t>
  </si>
  <si>
    <t>Edison Cristobal</t>
  </si>
  <si>
    <t>manicura permanente + ojo de gato</t>
  </si>
  <si>
    <t>Andrea Fernanda</t>
  </si>
  <si>
    <t>Sra Carmen</t>
  </si>
  <si>
    <t xml:space="preserve">manicura permanente   </t>
  </si>
  <si>
    <t>manicura polygel</t>
  </si>
  <si>
    <t>Ibone Jackeline Flores</t>
  </si>
  <si>
    <t>Andrea Poveda</t>
  </si>
  <si>
    <t>Lucía</t>
  </si>
  <si>
    <t>TC</t>
  </si>
  <si>
    <t>Manicura tradicional + 2 impresiones+ 2 semipermante</t>
  </si>
  <si>
    <t>María Belen Garnica</t>
  </si>
  <si>
    <t>semipermanente</t>
  </si>
  <si>
    <t>Elizabet</t>
  </si>
  <si>
    <t>Evelin García</t>
  </si>
  <si>
    <t>Pedicura semipermanente</t>
  </si>
  <si>
    <t xml:space="preserve">Pedicura tradicional </t>
  </si>
  <si>
    <t>Zapatos</t>
  </si>
  <si>
    <t>Andre</t>
  </si>
  <si>
    <t>Micaela Cruz</t>
  </si>
  <si>
    <t>Marcia Rea</t>
  </si>
  <si>
    <t>Retiro + efectos</t>
  </si>
  <si>
    <t>Jhanette Gonzalez</t>
  </si>
  <si>
    <t>Mamita Maru</t>
  </si>
  <si>
    <t>Sra Angelita</t>
  </si>
  <si>
    <t>Limpieza pedicura</t>
  </si>
  <si>
    <t>N/A</t>
  </si>
  <si>
    <t>Diana Zambrano</t>
  </si>
  <si>
    <t>Maria Fernanda Jaramillo</t>
  </si>
  <si>
    <t>pedicure tradicional</t>
  </si>
  <si>
    <t>tc</t>
  </si>
  <si>
    <t>manicura tradicional +pedicura tradicional</t>
  </si>
  <si>
    <t>2 manicura permanente</t>
  </si>
  <si>
    <t>Andrea  coloma</t>
  </si>
  <si>
    <t>Diana Cabrera</t>
  </si>
  <si>
    <t>dIANA cABRERA</t>
  </si>
  <si>
    <t>Manicura permanente</t>
  </si>
  <si>
    <t>manicura, barrido de polygel</t>
  </si>
  <si>
    <t>Fernanda Proaño</t>
  </si>
  <si>
    <t>Vanessa Calohirramo</t>
  </si>
  <si>
    <t>Manicura semipermanente+retiro+piedras+ una uña correcciòn</t>
  </si>
  <si>
    <t>Maria fernanda Reyes</t>
  </si>
  <si>
    <t>manicura y retiro permanente</t>
  </si>
  <si>
    <t>Melany Cardenas</t>
  </si>
  <si>
    <t>Maria BelenErazo</t>
  </si>
  <si>
    <t>manicura polygel + retiro</t>
  </si>
  <si>
    <t>limpieza uñas</t>
  </si>
  <si>
    <t>Maritza del Pilar</t>
  </si>
  <si>
    <t>Andres Pardo</t>
  </si>
  <si>
    <t xml:space="preserve">manicura permanente </t>
  </si>
  <si>
    <t>Maximo Lopez</t>
  </si>
  <si>
    <t>Ines Vega</t>
  </si>
  <si>
    <t>manicura tradicional +pedicura  tradicional</t>
  </si>
  <si>
    <t>deuma</t>
  </si>
  <si>
    <t>Kamila Pichucho</t>
  </si>
  <si>
    <t>acrilico  + efecto</t>
  </si>
  <si>
    <t>Erika Pazmiño</t>
  </si>
  <si>
    <t>permanente  + retiro</t>
  </si>
  <si>
    <t>Monica Andrade</t>
  </si>
  <si>
    <t>manicura permanente +pedicura permanente</t>
  </si>
  <si>
    <t>limpiza hombre</t>
  </si>
  <si>
    <t>efecto</t>
  </si>
  <si>
    <t>ELi</t>
  </si>
  <si>
    <t>stephany Tinoco</t>
  </si>
  <si>
    <t>Erika Zapata</t>
  </si>
  <si>
    <t>manicura permanente + retiro+adicional</t>
  </si>
  <si>
    <t>ELI</t>
  </si>
  <si>
    <t>Mayra Ortiz</t>
  </si>
  <si>
    <t>Mariela Paredes</t>
  </si>
  <si>
    <t>manicura tradicional + pedicura tradicional</t>
  </si>
  <si>
    <t>Damaris Cedeño</t>
  </si>
  <si>
    <t>manicura permanente + pedicura tradicional</t>
  </si>
  <si>
    <t>Adonay Pallo</t>
  </si>
  <si>
    <t>manicura polygel + efecto</t>
  </si>
  <si>
    <t>Francis Gomez</t>
  </si>
  <si>
    <t>Alisson Nicol Alejandro</t>
  </si>
  <si>
    <t>manicure tradicional</t>
  </si>
  <si>
    <t xml:space="preserve"> deuna </t>
  </si>
  <si>
    <t>Daniela Rodriguez</t>
  </si>
  <si>
    <t>manicura permanente +retiro +efecto</t>
  </si>
  <si>
    <t xml:space="preserve"> transferencia </t>
  </si>
  <si>
    <t>Paola Pazmiño</t>
  </si>
  <si>
    <t>retiro + limpieza</t>
  </si>
  <si>
    <t xml:space="preserve">manicura permanente +retiro </t>
  </si>
  <si>
    <t>manicura permanente  + retiro</t>
  </si>
  <si>
    <t xml:space="preserve">Carla Poveda </t>
  </si>
  <si>
    <t>Manicura semipermanente + efecto aurora</t>
  </si>
  <si>
    <t>Lu</t>
  </si>
  <si>
    <t xml:space="preserve">Pedicura semipermanente + efecto aurora </t>
  </si>
  <si>
    <t xml:space="preserve">Paulina Rubio </t>
  </si>
  <si>
    <t>Manicura semipermanente+retiro</t>
  </si>
  <si>
    <t xml:space="preserve">Adrian Ibarra </t>
  </si>
  <si>
    <t xml:space="preserve">limpieza </t>
  </si>
  <si>
    <t xml:space="preserve">Veronica Montenegro </t>
  </si>
  <si>
    <t xml:space="preserve">Ximena Orbe </t>
  </si>
  <si>
    <t>Poligel</t>
  </si>
  <si>
    <t xml:space="preserve">eli </t>
  </si>
  <si>
    <t xml:space="preserve">Transferencia </t>
  </si>
  <si>
    <t xml:space="preserve">Maira Cuero </t>
  </si>
  <si>
    <t>lu</t>
  </si>
  <si>
    <t>Pedicura semipermanente + retiro</t>
  </si>
  <si>
    <t>Odalis Alcazar</t>
  </si>
  <si>
    <t xml:space="preserve">Eli </t>
  </si>
  <si>
    <t xml:space="preserve">Andrea Pardo </t>
  </si>
  <si>
    <t>tradicional + impresiones</t>
  </si>
  <si>
    <t>Abigail Maldonado</t>
  </si>
  <si>
    <t>Isabel Verdezoto</t>
  </si>
  <si>
    <t>aNA lucia Pilataxi</t>
  </si>
  <si>
    <t>Patricia Lema</t>
  </si>
  <si>
    <t>manicura permanente + efecto</t>
  </si>
  <si>
    <t>Liseth Alvarez</t>
  </si>
  <si>
    <t>manicura permanente + pedicura permanente</t>
  </si>
  <si>
    <t>Cinthia Zambrano</t>
  </si>
  <si>
    <t>Retiro +manicura permanente +efecto +retiro +pedicura permanente</t>
  </si>
  <si>
    <t>acrilico manicura</t>
  </si>
  <si>
    <t>Camila Aguilar</t>
  </si>
  <si>
    <t>Maria Guadalupe Rea</t>
  </si>
  <si>
    <t>Leonardo Proaño</t>
  </si>
  <si>
    <t>limpiza de hombre</t>
  </si>
  <si>
    <t>Domenica Ortiz</t>
  </si>
  <si>
    <t>Cumanda Ochoa</t>
  </si>
  <si>
    <t>pedicura tradicional + manicura tradicional</t>
  </si>
  <si>
    <t>Maria Jose Figueroa</t>
  </si>
  <si>
    <t>arreglo de uña</t>
  </si>
  <si>
    <t>Manicura permanente + retiro +manicura permanente</t>
  </si>
  <si>
    <t>Caro</t>
  </si>
  <si>
    <t>cejas</t>
  </si>
  <si>
    <t>Sandra Larrea</t>
  </si>
  <si>
    <t>permanente + retito</t>
  </si>
  <si>
    <t>Veronica Landeta</t>
  </si>
  <si>
    <t>permanente + limpieza</t>
  </si>
  <si>
    <t>Cristina Angulo</t>
  </si>
  <si>
    <t>Diana Yepez</t>
  </si>
  <si>
    <t>Manicura tradicional + retiro</t>
  </si>
  <si>
    <t>Ximena Espinosa</t>
  </si>
  <si>
    <t>Pedicura Tradicional</t>
  </si>
  <si>
    <t xml:space="preserve">Jessica Mora  </t>
  </si>
  <si>
    <t>retiro+ depilación de boso + tradicional</t>
  </si>
  <si>
    <t>Caro Zambrano</t>
  </si>
  <si>
    <t>Comisión zapatos convers $45,00 + $1 por limpieza de bordes a Carito Zambrano</t>
  </si>
  <si>
    <t>Semipermanente</t>
  </si>
  <si>
    <t>Sofia Gavilanez</t>
  </si>
  <si>
    <t>Tradicional</t>
  </si>
  <si>
    <t>Carla Barreno</t>
  </si>
  <si>
    <t>Valentina Espinel</t>
  </si>
  <si>
    <t>Acrílico</t>
  </si>
  <si>
    <t>Manicura tradicional</t>
  </si>
  <si>
    <t xml:space="preserve">Mami </t>
  </si>
  <si>
    <t>Andreita</t>
  </si>
  <si>
    <t>Manicura tradicional + 2 impresiones+ uña</t>
  </si>
  <si>
    <t>TC + transferencia</t>
  </si>
  <si>
    <t>Doménica Sandoval</t>
  </si>
  <si>
    <t>Wendy Erazo</t>
  </si>
  <si>
    <t>Belén Garnica</t>
  </si>
  <si>
    <t>Retiro + pedicura tradicional + limpieza</t>
  </si>
  <si>
    <t>Limpieza manicura hombre</t>
  </si>
  <si>
    <t>Liz Alexandra Delgado</t>
  </si>
  <si>
    <t xml:space="preserve">Depilacion de cejas con cera </t>
  </si>
  <si>
    <t>pedicura + depilacion de bozo</t>
  </si>
  <si>
    <t>Jessica Alexandra</t>
  </si>
  <si>
    <t>Pamela Alexandra Beltran</t>
  </si>
  <si>
    <t>pedicura y uña</t>
  </si>
  <si>
    <t>Klever Cadena</t>
  </si>
  <si>
    <t>limpieza</t>
  </si>
  <si>
    <t>manicura permanente +retiro + gato</t>
  </si>
  <si>
    <t>Eliana MishellAndrade</t>
  </si>
  <si>
    <t>Marcia Guadalupe Rea</t>
  </si>
  <si>
    <t>arreglar</t>
  </si>
  <si>
    <t>manicura polygel+ retiro +pedicura permanente</t>
  </si>
  <si>
    <t>cejas y bozo</t>
  </si>
  <si>
    <t xml:space="preserve">manicura permanente  </t>
  </si>
  <si>
    <t>manicura permanente + retiro +pedicura + retiro</t>
  </si>
  <si>
    <t>Maria Cristina Peña</t>
  </si>
  <si>
    <t>Sonia Alexandra Morales</t>
  </si>
  <si>
    <t>manicura permanente+retiro+pedicura permanente+ojo de gato</t>
  </si>
  <si>
    <t>d</t>
  </si>
  <si>
    <t>depilacion de cejas</t>
  </si>
  <si>
    <t>manicura +relleno+efecto</t>
  </si>
  <si>
    <t>manicura tradiciional</t>
  </si>
  <si>
    <t>Andreita Pardo</t>
  </si>
  <si>
    <t>manicura limpieza</t>
  </si>
  <si>
    <t>Alisson Jumbo</t>
  </si>
  <si>
    <t>relleno polygel</t>
  </si>
  <si>
    <t>Emi Imaicela</t>
  </si>
  <si>
    <t>Evelin Garcia</t>
  </si>
  <si>
    <t>Tradicional + retiro</t>
  </si>
  <si>
    <t>Yadira Aguagallo</t>
  </si>
  <si>
    <t>Semipermanente + retiro</t>
  </si>
  <si>
    <t>Tradicional + 1 uña sofgel</t>
  </si>
  <si>
    <t>Kasye Nowak</t>
  </si>
  <si>
    <t>Alexandra Valladares</t>
  </si>
  <si>
    <t>Uñas sofgel</t>
  </si>
  <si>
    <t>Juan Sebastian Naranjo</t>
  </si>
  <si>
    <t>pedicura tradicional + sandalia</t>
  </si>
  <si>
    <t>diseño de cejas</t>
  </si>
  <si>
    <t>Karen Johanna Casco</t>
  </si>
  <si>
    <t>manicure permanente</t>
  </si>
  <si>
    <t>Andrea Cecilia Mancheno</t>
  </si>
  <si>
    <t>manicura oermanente +retiro</t>
  </si>
  <si>
    <t>manicura permanente +efecto ojo de gat0</t>
  </si>
  <si>
    <t>depilacion media pierna y axilas</t>
  </si>
  <si>
    <t>2 manicuras permanentes</t>
  </si>
  <si>
    <t>pedicure tradicional + bigote</t>
  </si>
  <si>
    <t>sof gel</t>
  </si>
  <si>
    <t>produbanco</t>
  </si>
  <si>
    <t>Michelle Puga</t>
  </si>
  <si>
    <t>Semipermanente+ 2 retiros</t>
  </si>
  <si>
    <t>Cejas+bozo</t>
  </si>
  <si>
    <t>Francis Acosta</t>
  </si>
  <si>
    <t>Ximena Orbe</t>
  </si>
  <si>
    <t>Retiro + Ruber + uña puesta</t>
  </si>
  <si>
    <t>Marìa Josè Rosero</t>
  </si>
  <si>
    <t xml:space="preserve">Tradicional </t>
  </si>
  <si>
    <t xml:space="preserve">Pigmentaciòn y gena </t>
  </si>
  <si>
    <t>Esther Cabezas</t>
  </si>
  <si>
    <t>Tradicional + pigmentacion</t>
  </si>
  <si>
    <t>Viviana Narvaez</t>
  </si>
  <si>
    <t>Retiro + semipermanente</t>
  </si>
  <si>
    <t>Mishelle Landi</t>
  </si>
  <si>
    <t>semipermante + retiro</t>
  </si>
  <si>
    <t>Monica Bustos</t>
  </si>
  <si>
    <t>Retiro + Tradicional</t>
  </si>
  <si>
    <t>Pedicura</t>
  </si>
  <si>
    <t>Nicol Ponce</t>
  </si>
  <si>
    <t>Semipermante + piedreria</t>
  </si>
  <si>
    <t>Michelle Gomez</t>
  </si>
  <si>
    <t>Retoque Poligel</t>
  </si>
  <si>
    <t>Luis Sandoval</t>
  </si>
  <si>
    <t>Retiro + semipermanente + cejas + bigote</t>
  </si>
  <si>
    <t>Milena Cecilia Midero</t>
  </si>
  <si>
    <t>manicura tradicional + impresión</t>
  </si>
  <si>
    <t>reparacion de uña + retiro</t>
  </si>
  <si>
    <t>manicura permanente +retiro acrilico</t>
  </si>
  <si>
    <t>impresión</t>
  </si>
  <si>
    <t>Sandra Patricia Larrea</t>
  </si>
  <si>
    <t>retiro permanente</t>
  </si>
  <si>
    <t>Romel WladimirYanez</t>
  </si>
  <si>
    <t>Karina Ortiz</t>
  </si>
  <si>
    <t>depilacion axila</t>
  </si>
  <si>
    <t>manicura permanentes</t>
  </si>
  <si>
    <t>Laura Gutierres</t>
  </si>
  <si>
    <t>Semipermante + retito</t>
  </si>
  <si>
    <t>Pedicura + retiro</t>
  </si>
  <si>
    <t>Alexandra Viera</t>
  </si>
  <si>
    <t>Rubber</t>
  </si>
  <si>
    <t>Pedicura+ zapatillas</t>
  </si>
  <si>
    <t>Adri</t>
  </si>
  <si>
    <t>SPI-33428509/ realizada el 25-01</t>
  </si>
  <si>
    <t>Edgar Herrera</t>
  </si>
  <si>
    <t>Manicura tradicional + Manicura tradicional e impresiones</t>
  </si>
  <si>
    <t>Tatina Meza</t>
  </si>
  <si>
    <t xml:space="preserve"> SPI-33428509 </t>
  </si>
  <si>
    <t>Marìa Fernanda Reyes</t>
  </si>
  <si>
    <t>Manicura tradicional+ semipermanente+ pedicura+retiro</t>
  </si>
  <si>
    <t>Manicura tradicional+ retiro</t>
  </si>
  <si>
    <t>Marla Roman</t>
  </si>
  <si>
    <t>Tonato Gualpa Walter</t>
  </si>
  <si>
    <t>manicura acrilico</t>
  </si>
  <si>
    <t>depilacion pierna</t>
  </si>
  <si>
    <t>BOZO</t>
  </si>
  <si>
    <t>limpieza caballero</t>
  </si>
  <si>
    <t>manicura permanente + rubber</t>
  </si>
  <si>
    <t>Jessica Alejandra</t>
  </si>
  <si>
    <t>manicura nivelacion de rubber + retiro</t>
  </si>
  <si>
    <t xml:space="preserve"> Micaela Cruz</t>
  </si>
  <si>
    <t>Micela Cruz</t>
  </si>
  <si>
    <t>OJO DE GATO</t>
  </si>
  <si>
    <t>retiro acrilico</t>
  </si>
  <si>
    <t>pedicure  permanente</t>
  </si>
  <si>
    <t>manicura  tradicional</t>
  </si>
  <si>
    <t>Sofia Calle</t>
  </si>
  <si>
    <t>Marìa Peña</t>
  </si>
  <si>
    <t>Manicura permanente + Reparaciòn de uña</t>
  </si>
  <si>
    <t>Carito</t>
  </si>
  <si>
    <t>Paola</t>
  </si>
  <si>
    <t>Mayra Morocho</t>
  </si>
  <si>
    <t>Depilaciòn facial</t>
  </si>
  <si>
    <t>Manicura+impresiones+ depilación cejas</t>
  </si>
  <si>
    <t>María Peña</t>
  </si>
  <si>
    <t>Tarjeta de Crédito</t>
  </si>
  <si>
    <t>Zapatillas desechables</t>
  </si>
  <si>
    <t>Blush</t>
  </si>
  <si>
    <t>Pamela Armendariz</t>
  </si>
  <si>
    <t>baño de acrílico + retiro</t>
  </si>
  <si>
    <t>Nicole Ponce</t>
  </si>
  <si>
    <t>Manicura semipermanente+ 2 efectos</t>
  </si>
  <si>
    <t>Jessica Manzano</t>
  </si>
  <si>
    <t>NivelaciónRubber+ sofgel+ reparación</t>
  </si>
  <si>
    <t>Semipermanente + 2 reparaciones de uñas</t>
  </si>
  <si>
    <t xml:space="preserve">Retiro de polygel+manicura permanente. </t>
  </si>
  <si>
    <t xml:space="preserve">Sofia Espinoza </t>
  </si>
  <si>
    <t xml:space="preserve">Retiro de permanente </t>
  </si>
  <si>
    <t>Transfernecia B.G</t>
  </si>
  <si>
    <t xml:space="preserve">Josselin Alejandra </t>
  </si>
  <si>
    <t>Retiro de Acrilico.</t>
  </si>
  <si>
    <t>Angelita</t>
  </si>
  <si>
    <t>Manicure permanente</t>
  </si>
  <si>
    <t>Roxana Salcedo</t>
  </si>
  <si>
    <t>Pedicure tradicional</t>
  </si>
  <si>
    <t>0-200896496</t>
  </si>
  <si>
    <t>Triana Gaibor</t>
  </si>
  <si>
    <t>Polygel</t>
  </si>
  <si>
    <t>Carolina Zambrano</t>
  </si>
  <si>
    <t>Botines</t>
  </si>
  <si>
    <t>Andrea Mancheno</t>
  </si>
  <si>
    <t>Semipermanente + Reparacion de uña</t>
  </si>
  <si>
    <t>S/N</t>
  </si>
  <si>
    <t>Reparacion de 1 uña</t>
  </si>
  <si>
    <t>Gissela Osorio</t>
  </si>
  <si>
    <t>Nivelacion Base Rubber+ Retiro + restauracion de uña</t>
  </si>
  <si>
    <t>Pedicure Permanente</t>
  </si>
  <si>
    <t xml:space="preserve">Tarjeta de Crédito </t>
  </si>
  <si>
    <t>Venta de dos velas</t>
  </si>
  <si>
    <t>Diana Cueva</t>
  </si>
  <si>
    <t>manicura permanente+dipping+reparacion de uña</t>
  </si>
  <si>
    <t>Gabriela Luna</t>
  </si>
  <si>
    <t xml:space="preserve"> manicura permanente</t>
  </si>
  <si>
    <t>Jenny Duque</t>
  </si>
  <si>
    <t>depilacion de bozo</t>
  </si>
  <si>
    <t>Paola Alexandra pazmiño</t>
  </si>
  <si>
    <t>Patricia Vaca</t>
  </si>
  <si>
    <t>Katy Orbe</t>
  </si>
  <si>
    <t>manicura  tradicional+reparacion de dos uñas</t>
  </si>
  <si>
    <t>Adiana Zurita</t>
  </si>
  <si>
    <t>Sofia Ruiz</t>
  </si>
  <si>
    <t>manicura y pedicura permanente</t>
  </si>
  <si>
    <t>Dayana Espinoza</t>
  </si>
  <si>
    <t>semipermanente+diseños todas las uñas</t>
  </si>
  <si>
    <t>Katia Sandoval</t>
  </si>
  <si>
    <t>semipermanente+ojo de gato</t>
  </si>
  <si>
    <t>Monica Hernandez</t>
  </si>
  <si>
    <t>tradicional</t>
  </si>
  <si>
    <t>Semipermanente+efecto sugar+piedras</t>
  </si>
  <si>
    <t>reparaciòn acrilico + base rubber esm</t>
  </si>
  <si>
    <t>Carolina Olmedo</t>
  </si>
  <si>
    <t>pedicura sin limpieza</t>
  </si>
  <si>
    <t>Alison Gallegos</t>
  </si>
  <si>
    <t>mantenimiento poligel+ojo de gato 4uñas+decoraciòn 2flores y 2lazos</t>
  </si>
  <si>
    <t>Kenia Arredondo</t>
  </si>
  <si>
    <t>manicura y pedicura tradicional</t>
  </si>
  <si>
    <t>Janeth Mendoza</t>
  </si>
  <si>
    <t>nivelaciòn rubber</t>
  </si>
  <si>
    <t>Anabel Zambrano</t>
  </si>
  <si>
    <t>base rubber + pedicura tradicional + depilaciòn cejas</t>
  </si>
  <si>
    <t>Cecilia Saenz</t>
  </si>
  <si>
    <t>manicura tradicional +pedicura+sandalia</t>
  </si>
  <si>
    <t>Alejandra Teran</t>
  </si>
  <si>
    <t>retiro semipermanente</t>
  </si>
  <si>
    <t>depilacion de cejas +depilacion bozo</t>
  </si>
  <si>
    <t>Fernanda Gonzales</t>
  </si>
  <si>
    <t>depilacion bozo</t>
  </si>
  <si>
    <t>Silvia Ruiz</t>
  </si>
  <si>
    <t>rubber+rubber+reparacion de uña +ojo de gato</t>
  </si>
  <si>
    <t>permanente + 2 efectos</t>
  </si>
  <si>
    <t xml:space="preserve">tradicional + reparacion de uñas </t>
  </si>
  <si>
    <t>Vanessa Velasco</t>
  </si>
  <si>
    <t>rubber + reparacion de 2 uñass</t>
  </si>
  <si>
    <t>Virginea Cevallos</t>
  </si>
  <si>
    <t>pedicure  tradicional +manicure tradicional</t>
  </si>
  <si>
    <t>Sofia Espinoza</t>
  </si>
  <si>
    <t>manicura semipermanente</t>
  </si>
  <si>
    <t>nanicura permanente +efecto espejo</t>
  </si>
  <si>
    <t>Valeria Aguirre</t>
  </si>
  <si>
    <t>base rubber</t>
  </si>
  <si>
    <t>Fernanda Aguilar</t>
  </si>
  <si>
    <t>nivelacion rubber</t>
  </si>
  <si>
    <t>Andrea Maldonado</t>
  </si>
  <si>
    <t>pedicura tradicional +depilacion de bozo menton y cejas</t>
  </si>
  <si>
    <t>Vanessa Lopez</t>
  </si>
  <si>
    <t>cejas +media pierna+ bozo +axilas</t>
  </si>
  <si>
    <t>BGR</t>
  </si>
  <si>
    <t>permanente +ojo de gato</t>
  </si>
  <si>
    <t>Mariana Espinoza</t>
  </si>
  <si>
    <t>Manicura tradicional + pedicura tradicional</t>
  </si>
  <si>
    <t>pendiente</t>
  </si>
  <si>
    <t>Jennifer Cadena</t>
  </si>
  <si>
    <t>falda</t>
  </si>
  <si>
    <t>cartera</t>
  </si>
  <si>
    <t>cejas+ bozo</t>
  </si>
  <si>
    <t>Mami Maru</t>
  </si>
  <si>
    <t>Liz Delgado</t>
  </si>
  <si>
    <t>Lorena Lomas</t>
  </si>
  <si>
    <t>Mercedez Saenz</t>
  </si>
  <si>
    <t>Andrea Nuques</t>
  </si>
  <si>
    <t>depilacion facial</t>
  </si>
  <si>
    <t>reparacion 2 uñas + nivelacion rubber</t>
  </si>
  <si>
    <t>Evelyn Alicia Garcia</t>
  </si>
  <si>
    <t>Gabriela Aviles</t>
  </si>
  <si>
    <t>Camilie Nuñez</t>
  </si>
  <si>
    <t>base rubber +efecto gato +pedicura tradicional</t>
  </si>
  <si>
    <t>Erika patricia Pazminio</t>
  </si>
  <si>
    <t>pichincha</t>
  </si>
  <si>
    <t>Macarena Jarrin</t>
  </si>
  <si>
    <t>depilacion de cejas + depilacion bozo</t>
  </si>
  <si>
    <t>Karen Casco</t>
  </si>
  <si>
    <t>Jennifer Romero</t>
  </si>
  <si>
    <t>Marcelo Burbano</t>
  </si>
  <si>
    <t>reparación de uña</t>
  </si>
  <si>
    <t>Andrea pardo</t>
  </si>
  <si>
    <t>Depilación bozo</t>
  </si>
  <si>
    <t>Depilación cejas</t>
  </si>
  <si>
    <t>Verónica Carvajal</t>
  </si>
  <si>
    <t>Manicura permanenente + lifting de pestañas efecto rimel</t>
  </si>
  <si>
    <t>Manicura permanenente</t>
  </si>
  <si>
    <t>Manicura permanenente+ 3 uñas gel</t>
  </si>
  <si>
    <t>Sofia Montalvo</t>
  </si>
  <si>
    <t>baño acrilico</t>
  </si>
  <si>
    <t>Soledad Chocho</t>
  </si>
  <si>
    <t>depilacion cejas</t>
  </si>
  <si>
    <t>Ibone Flores</t>
  </si>
  <si>
    <t>pediura tradicional +manicura tradicional</t>
  </si>
  <si>
    <t>Cristina Arauz</t>
  </si>
  <si>
    <t>permanente manicura +chompa +anillo</t>
  </si>
  <si>
    <t>chompa +anillo</t>
  </si>
  <si>
    <t>Stephanie Cadavid</t>
  </si>
  <si>
    <t>manicura permanente +pedicura tradicional</t>
  </si>
  <si>
    <t>Santiago - modelo</t>
  </si>
  <si>
    <t>Diana Chicaiza</t>
  </si>
  <si>
    <t>il .com    manicura permanente mas ojo de gato</t>
  </si>
  <si>
    <t>Antonella Santamaria</t>
  </si>
  <si>
    <t>retiro de polygel ymanicura tradicional</t>
  </si>
  <si>
    <t>Nadia Davila</t>
  </si>
  <si>
    <t>Cejas</t>
  </si>
  <si>
    <t>Ximena Teran</t>
  </si>
  <si>
    <t>Sofgel+ojo de gato</t>
  </si>
  <si>
    <t xml:space="preserve">Doris Almeida </t>
  </si>
  <si>
    <t xml:space="preserve">Pedicure permanente </t>
  </si>
  <si>
    <t xml:space="preserve">Gabriela Vaca </t>
  </si>
  <si>
    <t xml:space="preserve">Pedicura tradicional + retiro semi </t>
  </si>
  <si>
    <t xml:space="preserve">Elvira Sanchez </t>
  </si>
  <si>
    <t xml:space="preserve">Diana Barba </t>
  </si>
  <si>
    <t>Cejas + pestañas punto</t>
  </si>
  <si>
    <t>Katherin Melendez</t>
  </si>
  <si>
    <t>Jemina Mera</t>
  </si>
  <si>
    <t>Tarjeta de crédito</t>
  </si>
  <si>
    <t>Cinthya Guerra</t>
  </si>
  <si>
    <t>Daniela Quezada</t>
  </si>
  <si>
    <t>Reparación de uña</t>
  </si>
  <si>
    <t>permanente + efect aur</t>
  </si>
  <si>
    <t>Pilar Serrano</t>
  </si>
  <si>
    <t>Leticia Sanchez</t>
  </si>
  <si>
    <t xml:space="preserve"> pedicura tradicional</t>
  </si>
  <si>
    <t>Domenica Rosero</t>
  </si>
  <si>
    <t>nivelacion de rubber</t>
  </si>
  <si>
    <t>Nikol Posligua</t>
  </si>
  <si>
    <t xml:space="preserve"> base rubber</t>
  </si>
  <si>
    <t>Elena Barros</t>
  </si>
  <si>
    <t>zapatillas</t>
  </si>
  <si>
    <t>Andrea Carrillo</t>
  </si>
  <si>
    <t>polygel y retiro</t>
  </si>
  <si>
    <t>Sandra Poma</t>
  </si>
  <si>
    <t>Manicura y Pedicura tradicional</t>
  </si>
  <si>
    <t>Andrea Gordon</t>
  </si>
  <si>
    <t>Margarita Corrales</t>
  </si>
  <si>
    <t>Viviana</t>
  </si>
  <si>
    <t>Daniela Novoa</t>
  </si>
  <si>
    <t>Arreglo de 2 uñas</t>
  </si>
  <si>
    <t>Estefy Narvaez</t>
  </si>
  <si>
    <t>Mishel Miranda</t>
  </si>
  <si>
    <t>Tradicional+ imoeaión+cejas</t>
  </si>
  <si>
    <t>Diana Proaño</t>
  </si>
  <si>
    <t xml:space="preserve">Pedicure tradicional </t>
  </si>
  <si>
    <t>sandalias</t>
  </si>
  <si>
    <t>Bush</t>
  </si>
  <si>
    <t>María Soledad Landázuri</t>
  </si>
  <si>
    <t>Maria Fernanda Martinez</t>
  </si>
  <si>
    <t>tradicional y permanente</t>
  </si>
  <si>
    <t>Veronica Martinez</t>
  </si>
  <si>
    <t xml:space="preserve"> Veronica Martinez</t>
  </si>
  <si>
    <t>Erika Cueva</t>
  </si>
  <si>
    <t>Monica Vivanco</t>
  </si>
  <si>
    <t>Stefania Narvaez</t>
  </si>
  <si>
    <t>lifting +crystal priem</t>
  </si>
  <si>
    <t>Sandra Acosta</t>
  </si>
  <si>
    <t>permanente+reparacion+ojodegato</t>
  </si>
  <si>
    <t>MariaDolores Castillo</t>
  </si>
  <si>
    <t>permanente+retiro+efect aurora</t>
  </si>
  <si>
    <t>Kiara  Racines</t>
  </si>
  <si>
    <t>polygel+efecto+lifting +balines</t>
  </si>
  <si>
    <t>Gabriela Castellanos</t>
  </si>
  <si>
    <t>Melisa Tapia</t>
  </si>
  <si>
    <t>trasferencia</t>
  </si>
  <si>
    <t xml:space="preserve"> Melani Jami</t>
  </si>
  <si>
    <t>Solange Sosa</t>
  </si>
  <si>
    <t>Veronica Luna</t>
  </si>
  <si>
    <t>manicura + cejas</t>
  </si>
  <si>
    <t>Diana Yépez</t>
  </si>
  <si>
    <t xml:space="preserve">pedicura tradicional </t>
  </si>
  <si>
    <t>Retiro + tradicional</t>
  </si>
  <si>
    <t>limpieza y manicura semipermanente</t>
  </si>
  <si>
    <t>Edwin Benitez</t>
  </si>
  <si>
    <t>Manicura limpieza+ pedicura kids</t>
  </si>
  <si>
    <t>Christian Samaniego</t>
  </si>
  <si>
    <t>Bozo</t>
  </si>
  <si>
    <t>Daniela Rivera</t>
  </si>
  <si>
    <t>manicura + pedicura + sandalias</t>
  </si>
  <si>
    <t>Paola Bravo</t>
  </si>
  <si>
    <t>Sonia Ortiz</t>
  </si>
  <si>
    <t>Abigail Erdoiza</t>
  </si>
  <si>
    <t>pestañas por punto</t>
  </si>
  <si>
    <t>Sandra Acost</t>
  </si>
  <si>
    <t>reparacion de uña + ojo de gato</t>
  </si>
  <si>
    <t>Bethzabe Andrade</t>
  </si>
  <si>
    <t>manicura permanente + piedras</t>
  </si>
  <si>
    <t>Ana Navarrete</t>
  </si>
  <si>
    <t>permanente+efecto +cejas y bozo</t>
  </si>
  <si>
    <t>Charito Cobo</t>
  </si>
  <si>
    <t>limpieza + depilacion de cejas</t>
  </si>
  <si>
    <t>Stefanie Guerron</t>
  </si>
  <si>
    <t>bozo+ cejas</t>
  </si>
  <si>
    <t>Virginia Cevallos</t>
  </si>
  <si>
    <t>Manicura+pedicura tradicional</t>
  </si>
  <si>
    <t>Carolina Ayala</t>
  </si>
  <si>
    <t>Maria Jose Rosero</t>
  </si>
  <si>
    <t>pedicura tradi +mani perma</t>
  </si>
  <si>
    <t>Fabiola</t>
  </si>
  <si>
    <t>Manicura Tradicional</t>
  </si>
  <si>
    <t>fernanda velasquez</t>
  </si>
  <si>
    <t>Maria de los Angeles Monar</t>
  </si>
  <si>
    <t>tradicional +pedicura permanente</t>
  </si>
  <si>
    <t>Emilia  imacela</t>
  </si>
  <si>
    <t>Evelyn Garcia</t>
  </si>
  <si>
    <t>manicura y pedicura tradic aceite</t>
  </si>
  <si>
    <t>buldigel</t>
  </si>
  <si>
    <t>Victoria Roman</t>
  </si>
  <si>
    <t>Erika Encarnacion</t>
  </si>
  <si>
    <t>pedicure  semipermanente</t>
  </si>
  <si>
    <t>Estefania Herrera</t>
  </si>
  <si>
    <t>buld gel</t>
  </si>
  <si>
    <t>pedicura manicura permanente</t>
  </si>
  <si>
    <t>Monica Pazmiño</t>
  </si>
  <si>
    <t>pedicura tradicional+ bozo</t>
  </si>
  <si>
    <t>Jessica Bilbao</t>
  </si>
  <si>
    <t>manicura tradicional+retro</t>
  </si>
  <si>
    <t>Depilación+henna+bozo</t>
  </si>
  <si>
    <t>Manicura permanente + blooming</t>
  </si>
  <si>
    <t>Manicura permanente+ cejas</t>
  </si>
  <si>
    <t>Liliana Cabrera</t>
  </si>
  <si>
    <t>Manicura y pedicura permanente</t>
  </si>
  <si>
    <t>Geovanna Jimenez</t>
  </si>
  <si>
    <t>Katherin Mendez</t>
  </si>
  <si>
    <t>Depilaciòn de Cejas</t>
  </si>
  <si>
    <t>Andrea Echeverria</t>
  </si>
  <si>
    <t>Monica</t>
  </si>
  <si>
    <t>arreglo uña</t>
  </si>
  <si>
    <t>Mariana Ishmein</t>
  </si>
  <si>
    <t xml:space="preserve">retiro sof gel </t>
  </si>
  <si>
    <t>3 velas</t>
  </si>
  <si>
    <t>Abigail Herdoiza</t>
  </si>
  <si>
    <t>bulder gel</t>
  </si>
  <si>
    <t>Karen  Velasquez</t>
  </si>
  <si>
    <t>Mayra Chicango</t>
  </si>
  <si>
    <t>Pablo Tipan Sanchez</t>
  </si>
  <si>
    <t>Franzua Arteaga</t>
  </si>
  <si>
    <t>base rubber+efecto+semipies</t>
  </si>
  <si>
    <t>Maria Dolores Castillo</t>
  </si>
  <si>
    <t xml:space="preserve"> bullgel +pedicure tradicional</t>
  </si>
  <si>
    <t>Valentina</t>
  </si>
  <si>
    <t>Paula  Reyes</t>
  </si>
  <si>
    <t>Esperanza Armijos</t>
  </si>
  <si>
    <t>María Belén Perez Ramón</t>
  </si>
  <si>
    <t>Lucí</t>
  </si>
  <si>
    <t>De Una</t>
  </si>
  <si>
    <t>Janeth Barrionuevo</t>
  </si>
  <si>
    <t>Poleth</t>
  </si>
  <si>
    <t>Pablo Tipan</t>
  </si>
  <si>
    <t>Lifting</t>
  </si>
  <si>
    <t>Valentina Montealegre</t>
  </si>
  <si>
    <t>Retiro</t>
  </si>
  <si>
    <t>Manicura permanente + efectos</t>
  </si>
  <si>
    <t>Eliana Moya</t>
  </si>
  <si>
    <t>Aceite de cutìcula</t>
  </si>
  <si>
    <t>Carolina Vallejo</t>
  </si>
  <si>
    <t>Natalia Bonifaz</t>
  </si>
  <si>
    <t>rubber</t>
  </si>
  <si>
    <t>Karla Rivas</t>
  </si>
  <si>
    <t>Joselyn Rivas</t>
  </si>
  <si>
    <t>manicura tradicional, pedicura tradicional</t>
  </si>
  <si>
    <t xml:space="preserve">Luci </t>
  </si>
  <si>
    <t>Erika Merizalde</t>
  </si>
  <si>
    <t>permanente+2 uñas polygel+5 uñas curadas</t>
  </si>
  <si>
    <t>Luc</t>
  </si>
  <si>
    <t>tradicional+3 uñas arreglo</t>
  </si>
  <si>
    <t>vela buho</t>
  </si>
  <si>
    <t xml:space="preserve"> Abigail Herdoiza</t>
  </si>
  <si>
    <t xml:space="preserve">manicura tradicional </t>
  </si>
  <si>
    <t>Cristina Espin</t>
  </si>
  <si>
    <t>María Castillo</t>
  </si>
  <si>
    <t>uñas polygel</t>
  </si>
  <si>
    <t>de una</t>
  </si>
  <si>
    <t>bolso</t>
  </si>
  <si>
    <t>María Fernanda Reyes</t>
  </si>
  <si>
    <t>permanente + ojo de gato</t>
  </si>
  <si>
    <t>Gabriela Paredes</t>
  </si>
  <si>
    <t>uñas soft gel + lazo</t>
  </si>
  <si>
    <t>Mayte Falconi</t>
  </si>
  <si>
    <t>Melany Simisterra</t>
  </si>
  <si>
    <t>Permanente</t>
  </si>
  <si>
    <t>debito</t>
  </si>
  <si>
    <t>Camile Nuñez</t>
  </si>
  <si>
    <t>ORTIZ ZAPATA SONIA LIZETH</t>
  </si>
  <si>
    <t>Maria de Angeles Monar</t>
  </si>
  <si>
    <t>Fanny Mencias</t>
  </si>
  <si>
    <t>Nathali Cabrera</t>
  </si>
  <si>
    <t>promocion tradicional manicura y pedicura</t>
  </si>
  <si>
    <t>Isabella  Llerena</t>
  </si>
  <si>
    <t>Carla Sandoval</t>
  </si>
  <si>
    <t>Paola Valencia</t>
  </si>
  <si>
    <t>dDiana Burbano</t>
  </si>
  <si>
    <t>veronica Chiliquinga</t>
  </si>
  <si>
    <t>Diana Burbano</t>
  </si>
  <si>
    <t>Linda Galis</t>
  </si>
  <si>
    <t xml:space="preserve"> relleno de polygel +lazos</t>
  </si>
  <si>
    <t>Sofía Armijos</t>
  </si>
  <si>
    <t>Lucia Auz</t>
  </si>
  <si>
    <t>Jennifer Ramos</t>
  </si>
  <si>
    <t>pedicura tradicional y manicura permanente</t>
  </si>
  <si>
    <t>Carito Gavilanes</t>
  </si>
  <si>
    <t>Manicura permanente+ojo de gato</t>
  </si>
  <si>
    <t>Pamela Acosta</t>
  </si>
  <si>
    <t>Leticia  Sanchez</t>
  </si>
  <si>
    <t>manicura traddicional+pedicura tradicional</t>
  </si>
  <si>
    <t>Mary</t>
  </si>
  <si>
    <t>pedicura permanente + gel de uñas</t>
  </si>
  <si>
    <t>Pulina Ferri</t>
  </si>
  <si>
    <t>Maria Chicaiza</t>
  </si>
  <si>
    <t xml:space="preserve">venta de una cartera de ELA </t>
  </si>
  <si>
    <t>Carolina Mena</t>
  </si>
  <si>
    <t>Veronica Achi</t>
  </si>
  <si>
    <t>pega de pestañas</t>
  </si>
  <si>
    <t>Melissa Tpia</t>
  </si>
  <si>
    <t>combo manicura y pedicura tradicional</t>
  </si>
  <si>
    <t>un par de zapatos deprtivo Gues</t>
  </si>
  <si>
    <t>Carmen Lugo</t>
  </si>
  <si>
    <t>Erika Povedo</t>
  </si>
  <si>
    <t>depilaciòn cejas</t>
  </si>
  <si>
    <t>Estefania Espinosa</t>
  </si>
  <si>
    <t>manicura permanente + ojo de gato + 1 efecto espejo</t>
  </si>
  <si>
    <t>Pedicura tradicional y manicura tradicional</t>
  </si>
  <si>
    <t>Salome Campaña</t>
  </si>
  <si>
    <t>Depliación de cejas + henna</t>
  </si>
  <si>
    <t>Monica Izurieta</t>
  </si>
  <si>
    <t>Maritza Izurieta</t>
  </si>
  <si>
    <t>Liz Benavidez</t>
  </si>
  <si>
    <t>rubber +pedicura tradicional</t>
  </si>
  <si>
    <t>rubber master nails</t>
  </si>
  <si>
    <t>rubber + ojo de gato</t>
  </si>
  <si>
    <t>mary</t>
  </si>
  <si>
    <t>Doris Almeida</t>
  </si>
  <si>
    <t>permanente+pedicura permanente</t>
  </si>
  <si>
    <t>Marco Cabezas</t>
  </si>
  <si>
    <t>depilacion  de cejas + henna</t>
  </si>
  <si>
    <t>Melami Martinez</t>
  </si>
  <si>
    <t>Amelia Merino</t>
  </si>
  <si>
    <t>Alexandra Abandiano</t>
  </si>
  <si>
    <t>depilación de cejas con hilo</t>
  </si>
  <si>
    <t>Tatiana Stradaioli</t>
  </si>
  <si>
    <t>Sonia Morales</t>
  </si>
  <si>
    <t>Uñas solf gel</t>
  </si>
  <si>
    <t>María Monar</t>
  </si>
  <si>
    <t>Manicura tradicional + pedicura permanente</t>
  </si>
  <si>
    <t>Mishell Sarmiento</t>
  </si>
  <si>
    <t>Tatiana Mesa</t>
  </si>
  <si>
    <t>pintado de uñas</t>
  </si>
  <si>
    <t>Mauricio Barragan</t>
  </si>
  <si>
    <t>manicure de hombre</t>
  </si>
  <si>
    <t>Stphanie Quevedo</t>
  </si>
  <si>
    <t>epilacion cejas</t>
  </si>
  <si>
    <t>Julia Chontera</t>
  </si>
  <si>
    <t>pedicura tradicional +manicura permanente</t>
  </si>
  <si>
    <t>uci</t>
  </si>
  <si>
    <t>Lieselotte Hassler</t>
  </si>
  <si>
    <t>rubber + ped tradicional+lifting+depilacion cejas</t>
  </si>
  <si>
    <t>Vlentina Vargas</t>
  </si>
  <si>
    <t>anillos</t>
  </si>
  <si>
    <t>Maria Elena Diaz</t>
  </si>
  <si>
    <t>Cielo Naranjo</t>
  </si>
  <si>
    <t>manicura tradicional +deoilacion de cejas</t>
  </si>
  <si>
    <t>Priscila Merino</t>
  </si>
  <si>
    <t>depilacion henna +lifting pestañas</t>
  </si>
  <si>
    <t>rubber y efecto terciopelado</t>
  </si>
  <si>
    <t xml:space="preserve">retiro esmalte </t>
  </si>
  <si>
    <t>pedicura y manicura</t>
  </si>
  <si>
    <t>efecitvo</t>
  </si>
  <si>
    <t>Aisha Pesantes</t>
  </si>
  <si>
    <t>linda Gais</t>
  </si>
  <si>
    <t>relleno polygel+1 extencion</t>
  </si>
  <si>
    <t>EFECTIVO</t>
  </si>
  <si>
    <t>Fernanda Jara</t>
  </si>
  <si>
    <t>rubber + acrilico</t>
  </si>
  <si>
    <t>Linda Gais</t>
  </si>
  <si>
    <t>Alexandra Abadiano</t>
  </si>
  <si>
    <t>Adriana Yugsi</t>
  </si>
  <si>
    <t>Susana Suarez</t>
  </si>
  <si>
    <t>Manicura permanente + manicura tradicional</t>
  </si>
  <si>
    <t>Transferencia B. Guayaquil</t>
  </si>
  <si>
    <t>Manicura permanente +cejas</t>
  </si>
  <si>
    <t>extensión de uña poligel</t>
  </si>
  <si>
    <t>Gabriela Añazco</t>
  </si>
  <si>
    <t>Lifting de pestañas+ lifting de cejas+ manicura tradicional promición</t>
  </si>
  <si>
    <t>Carolina Cifuentes</t>
  </si>
  <si>
    <t>depilación de cejas con cera</t>
  </si>
  <si>
    <t>Lorena Moncayo</t>
  </si>
  <si>
    <t>lifting de pestañas+ lifting de cejas con henna</t>
  </si>
  <si>
    <t>Valeria Villota</t>
  </si>
  <si>
    <t>Manicura permanente + efecto</t>
  </si>
  <si>
    <t>Estela Vargas</t>
  </si>
  <si>
    <t>Lilian Cruz</t>
  </si>
  <si>
    <t>rubber+3uñas gel+ojo de gato+flores</t>
  </si>
  <si>
    <t>Santiago Galindo</t>
  </si>
  <si>
    <t>tradicional hombre</t>
  </si>
  <si>
    <t>manicura tradicional+pedicura tradicional</t>
  </si>
  <si>
    <t>Emperatriz Añasco</t>
  </si>
  <si>
    <t>LUCI</t>
  </si>
  <si>
    <t>Ana Maria Coronel</t>
  </si>
  <si>
    <t>depilacion hilo</t>
  </si>
  <si>
    <t>aplicó promoción del día de la madre, pagó el 10 de mayo el valor de $7</t>
  </si>
  <si>
    <t>2 depilación de cejas con cera + vigote+ manicura semipermanente</t>
  </si>
  <si>
    <t>María José Cruz</t>
  </si>
  <si>
    <t>Melany Sinisterra</t>
  </si>
  <si>
    <t>Mónica Hernández</t>
  </si>
  <si>
    <t>Javier de Luz</t>
  </si>
  <si>
    <t>Pablo</t>
  </si>
  <si>
    <t>manicura tradicional +depilación de cejas (2)</t>
  </si>
  <si>
    <t>Isabella Mesena</t>
  </si>
  <si>
    <t>Monica Gallardo</t>
  </si>
  <si>
    <t>Rubber + pedicura tradicional</t>
  </si>
  <si>
    <t>pedicura limpieza+lifting de pestañas+máscara de pestañas</t>
  </si>
  <si>
    <t>Silvia Pacheco /Monica Jaramillo</t>
  </si>
  <si>
    <t>Manicura tradicional + pedicura permanente+ manicura semipermanente</t>
  </si>
  <si>
    <t>Nathaly Bonifaz</t>
  </si>
  <si>
    <t>rubber + reparación de uña+ ojo de gato</t>
  </si>
  <si>
    <t>Abi Moya</t>
  </si>
  <si>
    <t>CARTERA GUESS</t>
  </si>
  <si>
    <t>luci</t>
  </si>
  <si>
    <t>Luz   Tapia Serrano</t>
  </si>
  <si>
    <t>Valentina Charpentier</t>
  </si>
  <si>
    <t>acrilico+ojo de gato</t>
  </si>
  <si>
    <t>Bethy Montero</t>
  </si>
  <si>
    <t>Isabella Pinargote</t>
  </si>
  <si>
    <t>Aceite para crecer y alargar sus pestañas</t>
  </si>
  <si>
    <t>manicura permanente+reparacion+ojo de gato</t>
  </si>
  <si>
    <t>Edith Maricela Montaluisa</t>
  </si>
  <si>
    <t>Maria Fern Armendariz</t>
  </si>
  <si>
    <t>Maria Luisa Jimenez</t>
  </si>
  <si>
    <t>extencion 2 uñas +ojo de gato</t>
  </si>
  <si>
    <t>Fanny Palma</t>
  </si>
  <si>
    <t>Elvia Cabrera</t>
  </si>
  <si>
    <t>depilacion de pierna  completa + axila</t>
  </si>
  <si>
    <t>Gabriela Cuasapaz</t>
  </si>
  <si>
    <t>manicure rubber</t>
  </si>
  <si>
    <t>pedicura semipermanente</t>
  </si>
  <si>
    <t>Carla  Barreno</t>
  </si>
  <si>
    <t>manicura rubber</t>
  </si>
  <si>
    <t>Doris  Almeida</t>
  </si>
  <si>
    <t>manicura  permanente +pedicura permanente</t>
  </si>
  <si>
    <t>Erika Poveda</t>
  </si>
  <si>
    <t>Diana Proño Erazo</t>
  </si>
  <si>
    <t>Amanda Palacios</t>
  </si>
  <si>
    <t>Mishell Buñay</t>
  </si>
  <si>
    <t>permanente</t>
  </si>
  <si>
    <t xml:space="preserve"> Maria Jose Vasquez Calderon</t>
  </si>
  <si>
    <t>lifting de pestañas</t>
  </si>
  <si>
    <t>Milena Cecilia Mideros Benavides</t>
  </si>
  <si>
    <t>Rafael Calispa</t>
  </si>
  <si>
    <t>Milton Aguas Flores</t>
  </si>
  <si>
    <t>rubber+gato+cejas+lifting</t>
  </si>
  <si>
    <t>Karen Quiroz</t>
  </si>
  <si>
    <t>Gabriela  Castellanos</t>
  </si>
  <si>
    <t>permanente +pedicura tradicional</t>
  </si>
  <si>
    <t>Lucia Quiroz</t>
  </si>
  <si>
    <t>Alba  Trujillo</t>
  </si>
  <si>
    <t xml:space="preserve"> Paula Burbano</t>
  </si>
  <si>
    <t>Alba Acuña</t>
  </si>
  <si>
    <t>Ruth Denise Sylva Charvet</t>
  </si>
  <si>
    <t>Genesis Chavez</t>
  </si>
  <si>
    <t>Paulina Espin</t>
  </si>
  <si>
    <t>Andres Jarrin +Gabriela Reyes</t>
  </si>
  <si>
    <t>2 depilacion cejas +2 bigote</t>
  </si>
  <si>
    <t>Erika Silva</t>
  </si>
  <si>
    <t>manicura + pedicura tradicional</t>
  </si>
  <si>
    <t>Tatiana Andrea Stradaioli</t>
  </si>
  <si>
    <t>Genesis  Chavez</t>
  </si>
  <si>
    <t>pedicura   permanente</t>
  </si>
  <si>
    <t>Andres Sanchez</t>
  </si>
  <si>
    <t>Valentina Altamirano</t>
  </si>
  <si>
    <t>POLYGEL+OJO DE GATO</t>
  </si>
  <si>
    <t>lUCI</t>
  </si>
  <si>
    <t>DEUNA</t>
  </si>
  <si>
    <t>Silvia   Iturralde</t>
  </si>
  <si>
    <t>RUBBER +OJO DE GATO</t>
  </si>
  <si>
    <t>Polo Simisterra</t>
  </si>
  <si>
    <t>Melany   Simisterra</t>
  </si>
  <si>
    <t>Pedicure permanente+ manicura permanente</t>
  </si>
  <si>
    <t>Carla Suasnabas</t>
  </si>
  <si>
    <t>Manicura permanente+ ojo de gato</t>
  </si>
  <si>
    <t>depilaciòn cejas y bozo</t>
  </si>
  <si>
    <t>María Rodriguez</t>
  </si>
  <si>
    <t>Pedicure tradicional+ manicura permanente+efectos+ zapatillas</t>
  </si>
  <si>
    <t>2.50</t>
  </si>
  <si>
    <t>Mabelin Gissela Gudiño Berrones</t>
  </si>
  <si>
    <t>Soft gel + piedras</t>
  </si>
  <si>
    <t>Luis Castañeda ,.Julissa Zambrano</t>
  </si>
  <si>
    <t>pestañas punto a punto</t>
  </si>
  <si>
    <t>Laura Pazmiño</t>
  </si>
  <si>
    <t>Edith Montaluisa</t>
  </si>
  <si>
    <t>2 velas pequeñas</t>
  </si>
  <si>
    <t>Paul Cherres</t>
  </si>
  <si>
    <t>Maria Eugenia Molina</t>
  </si>
  <si>
    <t>Ana Sanchez</t>
  </si>
  <si>
    <t>manicura y pedi perma +ojo de gato</t>
  </si>
  <si>
    <t>Daniela Guerrero</t>
  </si>
  <si>
    <t>permanente y ojo de gato</t>
  </si>
  <si>
    <t>manicura y ojo de gato</t>
  </si>
  <si>
    <t>tranferencia</t>
  </si>
  <si>
    <t>Jonny   Daniel  Torres</t>
  </si>
  <si>
    <t>sofgel</t>
  </si>
  <si>
    <t>Leslie Cristina Lopez Jimenez</t>
  </si>
  <si>
    <t>sof gel + cejas con henna</t>
  </si>
  <si>
    <t>aceite de pestaña</t>
  </si>
  <si>
    <t>reparaciòn uña</t>
  </si>
  <si>
    <t>Pablo Suarez</t>
  </si>
  <si>
    <t>Builder gel</t>
  </si>
  <si>
    <t>Lucy</t>
  </si>
  <si>
    <t>2 dijes</t>
  </si>
  <si>
    <t xml:space="preserve">Abuelita Andre </t>
  </si>
  <si>
    <t xml:space="preserve">Josselyn rivera </t>
  </si>
  <si>
    <t>Sharon Ayala</t>
  </si>
  <si>
    <t>2 impresiones uña</t>
  </si>
  <si>
    <t>Milton Aguas</t>
  </si>
  <si>
    <t>Tania Chiriboga</t>
  </si>
  <si>
    <t>Andrea  Cajas</t>
  </si>
  <si>
    <t>manicura Rubber</t>
  </si>
  <si>
    <t>Alegria Baez</t>
  </si>
  <si>
    <t>pedicura tradicional limpieza</t>
  </si>
  <si>
    <t>Fernanda  Jara</t>
  </si>
  <si>
    <t xml:space="preserve"> sof gel + ojo de gato</t>
  </si>
  <si>
    <t>Lucila Malataxi</t>
  </si>
  <si>
    <t>Maria Sol</t>
  </si>
  <si>
    <t>Vanessa Alejandra Silva</t>
  </si>
  <si>
    <t>depilacion</t>
  </si>
  <si>
    <t>Micaela Salinas</t>
  </si>
  <si>
    <t>Wagner Oña</t>
  </si>
  <si>
    <t>Lucía Quiroz</t>
  </si>
  <si>
    <t xml:space="preserve">Marìa Monar </t>
  </si>
  <si>
    <t>Manicura semipermanente + ojo de gato</t>
  </si>
  <si>
    <t>Marìa Belen Carpio</t>
  </si>
  <si>
    <t>Joselin</t>
  </si>
  <si>
    <t>reparación de 2 uñas</t>
  </si>
  <si>
    <t>Manicura semipermanente + ojo de gato+ reparación de 1 uña</t>
  </si>
  <si>
    <t>Depilación + henna+ bigote</t>
  </si>
  <si>
    <t>Verónica Bolaños</t>
  </si>
  <si>
    <t>2 permanente 2 ojo de gato 2 uñas</t>
  </si>
  <si>
    <t>virginia  Cevallos</t>
  </si>
  <si>
    <t>Ariana Salazar</t>
  </si>
  <si>
    <t>pedicura y manicura permanente</t>
  </si>
  <si>
    <t>pedi trad +manic perm+efecto aurora</t>
  </si>
  <si>
    <t xml:space="preserve"> Betty Vergara</t>
  </si>
  <si>
    <t>Mariana Ishneim</t>
  </si>
  <si>
    <t>Natalia  Bonifaz</t>
  </si>
  <si>
    <t>Isabella Llerena</t>
  </si>
  <si>
    <t>Pula Reyes</t>
  </si>
  <si>
    <t>Alejandro</t>
  </si>
  <si>
    <t>Silvia  Iturralde</t>
  </si>
  <si>
    <t>Paulina  Espin</t>
  </si>
  <si>
    <t>Nubia Guamanzara</t>
  </si>
  <si>
    <t>manicura  permanente</t>
  </si>
  <si>
    <t>Carmen Ordoñez</t>
  </si>
  <si>
    <t>Depilación de axilas y medio brazo</t>
  </si>
  <si>
    <t>Raul Caicedo</t>
  </si>
  <si>
    <t>Ruber</t>
  </si>
  <si>
    <t>Andrea Cajas</t>
  </si>
  <si>
    <t>Orsolya Nagy</t>
  </si>
  <si>
    <t>Depilación + henna</t>
  </si>
  <si>
    <t>Valentina Altamirano/ Silvia Iturralde</t>
  </si>
  <si>
    <t>Sofgel</t>
  </si>
  <si>
    <t>Silvia Iturralde</t>
  </si>
  <si>
    <t>Depilaciónde cejas, bigote, media pierna, laminado de cejas</t>
  </si>
  <si>
    <t>reparaciòn de uñas</t>
  </si>
  <si>
    <t>Arianna Ortiz</t>
  </si>
  <si>
    <t>Maria Sol Reascos</t>
  </si>
  <si>
    <t>pedicura limpieza</t>
  </si>
  <si>
    <t>Nombre</t>
  </si>
  <si>
    <t>Cédula</t>
  </si>
  <si>
    <t>angelita.silviaro@gmail.com</t>
  </si>
  <si>
    <t>nyleveagb@yahoo.es</t>
  </si>
  <si>
    <t>cruzap.micaela@gmail.com</t>
  </si>
  <si>
    <t>mgrea96@gmail.com</t>
  </si>
  <si>
    <t>jan.ce46@hotmail.com</t>
  </si>
  <si>
    <t>uvcalahorrano@hotmail.com</t>
  </si>
  <si>
    <t>maverom_25@hotmail.com</t>
  </si>
  <si>
    <t>ximene.orbe@hotmail.es</t>
  </si>
  <si>
    <t>dieli1788@gmail.com</t>
  </si>
  <si>
    <t>jessima96@hotmail.com</t>
  </si>
  <si>
    <t>sofia.gavilanes27@gmail.com</t>
  </si>
  <si>
    <t>werazo29@hotmail.com</t>
  </si>
  <si>
    <t>garnicamabe@gmail.com</t>
  </si>
  <si>
    <t>adonaypallo.@hotmail.com</t>
  </si>
  <si>
    <t>yaguagallo@gmail.com</t>
  </si>
  <si>
    <t>alexandra.valladares@gmail.com</t>
  </si>
  <si>
    <t>snaranjo@hotmail.com</t>
  </si>
  <si>
    <t>muchelle-puga@hotmail.com</t>
  </si>
  <si>
    <t>andreae.pardo@gmail.com</t>
  </si>
  <si>
    <t>vivi.narvaez8@gmail.com</t>
  </si>
  <si>
    <t>mickyponce18@hotmail.com</t>
  </si>
  <si>
    <t>luishsandoval88@gmail.com</t>
  </si>
  <si>
    <t>tatiana.meza1973@gmail.com</t>
  </si>
  <si>
    <t>mafer-reyes@hotmail.es</t>
  </si>
  <si>
    <t>fpacota18@hotmail.com</t>
  </si>
  <si>
    <t>werazo29@hotmail-c0m</t>
  </si>
  <si>
    <t>adriana.yugsi@gmail.com</t>
  </si>
  <si>
    <t>crispe@gmail.com</t>
  </si>
  <si>
    <t>facturas@hedge.com.ec</t>
  </si>
  <si>
    <t>nickyponce18@hotmail.com</t>
  </si>
  <si>
    <t>jessmanzano1985@hotmail.com</t>
  </si>
  <si>
    <t xml:space="preserve">adonaypallo@hotmail.com </t>
  </si>
  <si>
    <t>angelita.silviar@gmail.com</t>
  </si>
  <si>
    <t>tgaibor1@hotmail.com</t>
  </si>
  <si>
    <t>giss-1016@hotmail.com</t>
  </si>
  <si>
    <t>glunanarvaez@gmail.com</t>
  </si>
  <si>
    <t>nchllOrbe@gmail.com</t>
  </si>
  <si>
    <t>sofiaruizg21@gmail.com</t>
  </si>
  <si>
    <t>adrian_ibarra4@yahoo.com</t>
  </si>
  <si>
    <t>monihervi@gmail.com</t>
  </si>
  <si>
    <t>car-ale-br@hotmail.com</t>
  </si>
  <si>
    <t>andreae.pardoch@gmail.com</t>
  </si>
  <si>
    <t>dra.keniaarredondo@gmail.com</t>
  </si>
  <si>
    <t>anabelzambrano91@gmail.com</t>
  </si>
  <si>
    <t>majorosero@gmail.com</t>
  </si>
  <si>
    <t>valeriaguirre2000@hotmail.com</t>
  </si>
  <si>
    <t>paola1985.amv@gmail.com</t>
  </si>
  <si>
    <t>vanecls2810@gmail.com</t>
  </si>
  <si>
    <t>lolo20251980@otloor.com</t>
  </si>
  <si>
    <t>michelassol@hotmail.com</t>
  </si>
  <si>
    <t>andreanuques@hotmail.com</t>
  </si>
  <si>
    <t>camilie.nunez3@gmail.com</t>
  </si>
  <si>
    <t>abg.mendoza@gmail.com</t>
  </si>
  <si>
    <t>bioenergiacerebral@hotmail.com</t>
  </si>
  <si>
    <t>veroalexa2gmail.com</t>
  </si>
  <si>
    <t>iboneflores@hotmail.com</t>
  </si>
  <si>
    <t>criss_ldu@hotmail.com</t>
  </si>
  <si>
    <t>stefimil89@hotmail.com</t>
  </si>
  <si>
    <t>crspe_a@hotmail.com</t>
  </si>
  <si>
    <t>veronica,chm2503@hotmail,com</t>
  </si>
  <si>
    <t>emilia251997@hotmail.com</t>
  </si>
  <si>
    <t>ximeteran@hotmail.com</t>
  </si>
  <si>
    <t>maga558@hotmail.com</t>
  </si>
  <si>
    <t>alexandradelrociosanchez@gmail.com</t>
  </si>
  <si>
    <t>cinthyaguerragallegos@hotmail.com</t>
  </si>
  <si>
    <t>danimure22@gmail.com</t>
  </si>
  <si>
    <t>karo16</t>
  </si>
  <si>
    <t>pilarserranos@yahoo.com</t>
  </si>
  <si>
    <t>rmleticiasanchezv@yahoo.com</t>
  </si>
  <si>
    <t>dome_ros_24@hotmail.com</t>
  </si>
  <si>
    <t>valeaguirre2000@hotmail.com</t>
  </si>
  <si>
    <t>helragba@yahoo.com</t>
  </si>
  <si>
    <t>andyrenacaba@hotmail.com</t>
  </si>
  <si>
    <t>sandypoma777@hotmail.com</t>
  </si>
  <si>
    <t>gordonc.andrea@gmail.com</t>
  </si>
  <si>
    <t>margarita.corrales@hotmail.com</t>
  </si>
  <si>
    <t>gamimior@gamail</t>
  </si>
  <si>
    <t>gatteins007@hotmail.com</t>
  </si>
  <si>
    <t>sole_lm@hotmail.com</t>
  </si>
  <si>
    <t>monivivancovi@gmail.com</t>
  </si>
  <si>
    <t>estefynarva_@hotmail.com</t>
  </si>
  <si>
    <t>sacosta.flor@gmail.com</t>
  </si>
  <si>
    <t>marita.castillo@gmail.com</t>
  </si>
  <si>
    <t>kikibelen@gmail.com</t>
  </si>
  <si>
    <t>angelita.siviaro@gmail.com</t>
  </si>
  <si>
    <t>kro16-87@hotmail.com</t>
  </si>
  <si>
    <t>mell0630@hotmail.com</t>
  </si>
  <si>
    <t>melaniejajame@gmail.com</t>
  </si>
  <si>
    <t>verolunita@yahoo.com</t>
  </si>
  <si>
    <t>dielei1788@gmail.com</t>
  </si>
  <si>
    <t>patty.ale88@hotmail.com</t>
  </si>
  <si>
    <t>egbduque@gmail.com</t>
  </si>
  <si>
    <t>SAMMY@HOTMAIL.ES</t>
  </si>
  <si>
    <t>danialejandra998@gmail.com</t>
  </si>
  <si>
    <t>helraqba@yahoo.com</t>
  </si>
  <si>
    <t>soniaortiz</t>
  </si>
  <si>
    <t>viajes</t>
  </si>
  <si>
    <t>aanavarretey@hotmail.com</t>
  </si>
  <si>
    <t>charitocobo.@gmail.com</t>
  </si>
  <si>
    <t>angelita,silviaro@gmail.com</t>
  </si>
  <si>
    <t>stefanyfer90@gmail.com</t>
  </si>
  <si>
    <t>vir_74@hotmail.com</t>
  </si>
  <si>
    <t>majoroseroe1@gmail.com</t>
  </si>
  <si>
    <t>nyleveag@yahoo.ec</t>
  </si>
  <si>
    <t>vickyroman_7@hotmail.com</t>
  </si>
  <si>
    <t>stephanie_herrera_@hotmail.com</t>
  </si>
  <si>
    <t>mppa7mino@gmail.com</t>
  </si>
  <si>
    <t>abigailmaldonado@hotmail.com</t>
  </si>
  <si>
    <t>paola1985_amu@gmail.com</t>
  </si>
  <si>
    <t>jessbilbao94@gmail.com</t>
  </si>
  <si>
    <t>mlojanov@gmail.com</t>
  </si>
  <si>
    <t>dianaecm@gmail.com</t>
  </si>
  <si>
    <t>jimenezgeovanna@hotmail.com</t>
  </si>
  <si>
    <t>angelita.silviaro@gemail ,com</t>
  </si>
  <si>
    <t>mariana_2192@hotmail,com</t>
  </si>
  <si>
    <t>abbiejeje@gmail.com</t>
  </si>
  <si>
    <t>karen777eliza@hotmail.com</t>
  </si>
  <si>
    <t>mayita98@hotmail.es</t>
  </si>
  <si>
    <t>franchi694@gmail.com</t>
  </si>
  <si>
    <t>marita_castillo@gmail,com</t>
  </si>
  <si>
    <t>kro16_87@hotmail.com</t>
  </si>
  <si>
    <t>paureyes0306@gmail.com</t>
  </si>
  <si>
    <t>mayicienta@hotmail.com</t>
  </si>
  <si>
    <t>tipansanchez.pn@gmail.com</t>
  </si>
  <si>
    <t>carolinavallejo.ac@gmail.com</t>
  </si>
  <si>
    <t>nbonifazm@outcook.com</t>
  </si>
  <si>
    <t>karla.2012006@gmail.com</t>
  </si>
  <si>
    <t>jourivas01oulook.es</t>
  </si>
  <si>
    <t>ejimerizalde@hotmail.com</t>
  </si>
  <si>
    <t>sacosta.flor@gmail,com</t>
  </si>
  <si>
    <t>crissespin@gmail.com</t>
  </si>
  <si>
    <t>mafer-reyes@hotmail.ec</t>
  </si>
  <si>
    <t>karina_vizuete@hotmail.com</t>
  </si>
  <si>
    <t>camilie,nuñez3@gmail,com</t>
  </si>
  <si>
    <t>soniaortiz_lz@yahoo.com</t>
  </si>
  <si>
    <t>jatteiens007@hotmal.com</t>
  </si>
  <si>
    <t>angeles.monar@yahoo.com</t>
  </si>
  <si>
    <t>ffany_mencias@hotmail.com</t>
  </si>
  <si>
    <t>nathalicabrera@gmail.com</t>
  </si>
  <si>
    <t>isabellallerena151@gmail.com</t>
  </si>
  <si>
    <t>carla.sandoval92@gmail.com</t>
  </si>
  <si>
    <t>paola_valencia19@hotmail.com</t>
  </si>
  <si>
    <t>dianakburbano@outlook.com</t>
  </si>
  <si>
    <t>verjo79@hotmail.com</t>
  </si>
  <si>
    <t>lindagrp@hotmail.com</t>
  </si>
  <si>
    <t>cpoveda77@gmail.com</t>
  </si>
  <si>
    <t>ionbandh@gmail.com</t>
  </si>
  <si>
    <t>jrv_1618@hotmail.com</t>
  </si>
  <si>
    <t>pamela.acosta.pazmino@gmail.com</t>
  </si>
  <si>
    <t>leticiasanchezv@yahoo.com</t>
  </si>
  <si>
    <t>paulinaferri@gmail.com</t>
  </si>
  <si>
    <t>carolinamena85@hotmail.com</t>
  </si>
  <si>
    <t>veronicaachi17@outlook.es</t>
  </si>
  <si>
    <t>mello6302@hotmail.com</t>
  </si>
  <si>
    <t>carlospovedam@yahoo.com</t>
  </si>
  <si>
    <t>stefi.espinosa@hotmail.com</t>
  </si>
  <si>
    <t>katemel_1989@hotmail.es</t>
  </si>
  <si>
    <t>salomesantin@gmail.com</t>
  </si>
  <si>
    <t>monicapizurietav@gmail.com</t>
  </si>
  <si>
    <t>maritza_izurieta@hotmail.com</t>
  </si>
  <si>
    <t>madrastruchis@gmail.com</t>
  </si>
  <si>
    <t>doris.almeida.o@gmail.com</t>
  </si>
  <si>
    <t>cabezas.marco@hotmail.com</t>
  </si>
  <si>
    <t>alexandra.abandiano@gmail.com</t>
  </si>
  <si>
    <t>diel1788@gmail.com</t>
  </si>
  <si>
    <t>tstradaioli@gmail.com</t>
  </si>
  <si>
    <t>soniaelax@hotmail.com</t>
  </si>
  <si>
    <t>cristinaalex@hotmail.com</t>
  </si>
  <si>
    <t>soniaortiz_mz@yahoo.com</t>
  </si>
  <si>
    <t>kathykmsl@gmail.com</t>
  </si>
  <si>
    <t>squevedo94@outlook.es</t>
  </si>
  <si>
    <t>jd79ehg@hotmail.com</t>
  </si>
  <si>
    <t>lieselottehassler@hotmail.com</t>
  </si>
  <si>
    <t>priscilamerino84@hotmail.com</t>
  </si>
  <si>
    <t>lindagr@hotmail.com</t>
  </si>
  <si>
    <t>alexandra.abadiano@gmail.com</t>
  </si>
  <si>
    <t>susanasuarez@hotmail.com</t>
  </si>
  <si>
    <t>gagaad@gmail.com</t>
  </si>
  <si>
    <t>cd_cifuentes3@hotmail.com</t>
  </si>
  <si>
    <t>loremoncayo08@gmail.com</t>
  </si>
  <si>
    <t>valeria_guillota97@hotmail.com</t>
  </si>
  <si>
    <t>estelavargasi52@gmail.com</t>
  </si>
  <si>
    <t>lilytecruz@gmail.com</t>
  </si>
  <si>
    <t>ejmerizalde@hotmail.com</t>
  </si>
  <si>
    <t>sp.galindoh@gmail.com</t>
  </si>
  <si>
    <t>anitamarizmusicz@hotmail.com</t>
  </si>
  <si>
    <t>majitocruzt@gmail.com</t>
  </si>
  <si>
    <t>gallardo_moni@yahoo.es</t>
  </si>
  <si>
    <t>monigoteja123@gmail.com</t>
  </si>
  <si>
    <t>nbonifazm@oulook.com</t>
  </si>
  <si>
    <t>aishapesantez@gmail.com</t>
  </si>
  <si>
    <t>luzgtapia@gmail.com</t>
  </si>
  <si>
    <t>fany-mencias@hotmail.com</t>
  </si>
  <si>
    <t>valentinacharpentier33@gmail.com</t>
  </si>
  <si>
    <t>sandosmonterobetty@gmail.com</t>
  </si>
  <si>
    <t>edithmontaluisa@gemail.com</t>
  </si>
  <si>
    <t>feboarteacademia@gmail.com</t>
  </si>
  <si>
    <t>huasiquindi@hotmail.com</t>
  </si>
  <si>
    <t>ge.nozz@hotmail.com</t>
  </si>
  <si>
    <t>vicky_label2000@hotmail.com</t>
  </si>
  <si>
    <t>gabrielacuasapazp@gmail,com</t>
  </si>
  <si>
    <t>ericka-poveda.lugo@hotmail.com</t>
  </si>
  <si>
    <t>amanda.palacios16@gmail.com</t>
  </si>
  <si>
    <t>dianaecn@gmail.com</t>
  </si>
  <si>
    <t>kiakely@hotmail.com</t>
  </si>
  <si>
    <t>angelita.silviaro@ gma</t>
  </si>
  <si>
    <t>majovasquez@gmail.com</t>
  </si>
  <si>
    <t>karjacquel696@gmail.com</t>
  </si>
  <si>
    <t>milton_aguas@gmail.com</t>
  </si>
  <si>
    <t>keqsmuv@hotmail.com</t>
  </si>
  <si>
    <t>g.castellanos92@gmail.com</t>
  </si>
  <si>
    <t>lucia-qc@hotmail.com</t>
  </si>
  <si>
    <t>pauburbanoa@gmail.com</t>
  </si>
  <si>
    <t>albadelpilar@gmail.com</t>
  </si>
  <si>
    <t>esthelavargasi52@gmail.com</t>
  </si>
  <si>
    <t>latama2001@yohoo.es</t>
  </si>
  <si>
    <t xml:space="preserve"> josselynch199s@gmail.com</t>
  </si>
  <si>
    <t>paulyespin@hotmail.com</t>
  </si>
  <si>
    <t>ajarrin85@hotmail.com</t>
  </si>
  <si>
    <t>josselynch1995gmail.com</t>
  </si>
  <si>
    <t>andressanchez1923@gmail.com</t>
  </si>
  <si>
    <t>valentinaiturralde26@gmail.com</t>
  </si>
  <si>
    <t>silviaiturralde1977@gmail .com</t>
  </si>
  <si>
    <t>leo.Asorente@hotmail.com</t>
  </si>
  <si>
    <t>mabelgis065@gmail.com</t>
  </si>
  <si>
    <t>ic5988883@gmail.com</t>
  </si>
  <si>
    <t>laupada9@hotmail.com</t>
  </si>
  <si>
    <t>edithmontaluisa@gmail.com</t>
  </si>
  <si>
    <t>nbonifazm@outlook.com</t>
  </si>
  <si>
    <t>paul.cherres@gmail.com</t>
  </si>
  <si>
    <t>molinamaru@hotmail.com</t>
  </si>
  <si>
    <t>anar.sanchez@hotmail.com</t>
  </si>
  <si>
    <t>daniguerreiosanchez@hotmail.es</t>
  </si>
  <si>
    <t>lesjacomemora@gmail.com</t>
  </si>
  <si>
    <t>lesslielopez2304@gmail.com</t>
  </si>
  <si>
    <t>glunnarvaez@gmail.com</t>
  </si>
  <si>
    <t>pablonicolas.06@hotmail.com</t>
  </si>
  <si>
    <t>josserivera2408@gmail.com</t>
  </si>
  <si>
    <t>sharon.ayala.98@outlook.com</t>
  </si>
  <si>
    <t>milton.aguas@gmai.com</t>
  </si>
  <si>
    <t>tania.chiribogah@gmail.com</t>
  </si>
  <si>
    <t>andrea_ccajas@yahoo.com</t>
  </si>
  <si>
    <t>nut.alegriabaez@gmail.com</t>
  </si>
  <si>
    <t>lcda.lucy@hotmail.com</t>
  </si>
  <si>
    <t>crissspin@gmail.com</t>
  </si>
  <si>
    <t>masolrl@gmail.com</t>
  </si>
  <si>
    <t>vanessa_silvaespin@hotmail.com</t>
  </si>
  <si>
    <t>micaelasalinasu@gmail.com</t>
  </si>
  <si>
    <t>lucia_qc2hotmail.com</t>
  </si>
  <si>
    <t>mbelencarpio@hotmail.com</t>
  </si>
  <si>
    <t>gcuerito@yahoo.com</t>
  </si>
  <si>
    <t>carolinamena85hotmail.com</t>
  </si>
  <si>
    <t>kro16-@hotmail.com</t>
  </si>
  <si>
    <t>arisalazara22@gmail.com</t>
  </si>
  <si>
    <t>keqsmuu@hotmail.com</t>
  </si>
  <si>
    <t>majoroseroe1_@gmail.com</t>
  </si>
  <si>
    <t>betty.vergaram@gmail.com</t>
  </si>
  <si>
    <t>mariana_2192@hotmail.com</t>
  </si>
  <si>
    <t>silviaiturralde1977@gmail.com</t>
  </si>
  <si>
    <t>archiguamanzara@gmail.com</t>
  </si>
  <si>
    <t>raul.proton@hotmail.com</t>
  </si>
  <si>
    <t>iamorsinagy</t>
  </si>
  <si>
    <t>lucia_qc@hotmail.com</t>
  </si>
  <si>
    <t>arianna101899@outlok.ec</t>
  </si>
  <si>
    <t>RUC</t>
  </si>
  <si>
    <t xml:space="preserve"> Razón Social</t>
  </si>
  <si>
    <t>Cantidad unidad</t>
  </si>
  <si>
    <t>001-004-000004454</t>
  </si>
  <si>
    <t xml:space="preserve">GUANTE </t>
  </si>
  <si>
    <t xml:space="preserve">SET DE PINCEL DE DECORACIN </t>
  </si>
  <si>
    <t xml:space="preserve">BROCHA PARA SACUDIR POLVO </t>
  </si>
  <si>
    <t xml:space="preserve">LABIAL LIQUIDO VOGUE RESIST </t>
  </si>
  <si>
    <t xml:space="preserve">PINZA </t>
  </si>
  <si>
    <t xml:space="preserve">PUNZON </t>
  </si>
  <si>
    <t xml:space="preserve">MOLDE </t>
  </si>
  <si>
    <t xml:space="preserve">LIMAS </t>
  </si>
  <si>
    <t xml:space="preserve">GUILLOTINA </t>
  </si>
  <si>
    <t xml:space="preserve">MOLDEADOR DE POLYGEL MASTERNAILS </t>
  </si>
  <si>
    <t xml:space="preserve">INCEL DE POLYGEL ADDICT </t>
  </si>
  <si>
    <t xml:space="preserve">DAPEN </t>
  </si>
  <si>
    <t xml:space="preserve">MONOMERO </t>
  </si>
  <si>
    <t>REMOVEDOR</t>
  </si>
  <si>
    <t xml:space="preserve">AIPRE Y EXTRABON </t>
  </si>
  <si>
    <t xml:space="preserve">TOP COAT SAPHIR </t>
  </si>
  <si>
    <t xml:space="preserve">SMALTE SAPHIR </t>
  </si>
  <si>
    <t xml:space="preserve">WIPE </t>
  </si>
  <si>
    <t xml:space="preserve">LAMPARA DE UÑAS GLAM NAILS </t>
  </si>
  <si>
    <t xml:space="preserve">UÑA </t>
  </si>
  <si>
    <t xml:space="preserve">UÑA X500 ADDICT </t>
  </si>
  <si>
    <t xml:space="preserve">TIPS DUAL SISTEM </t>
  </si>
  <si>
    <t xml:space="preserve">POLVO </t>
  </si>
  <si>
    <t xml:space="preserve">EFECTO </t>
  </si>
  <si>
    <t xml:space="preserve">SPAIDER </t>
  </si>
  <si>
    <t xml:space="preserve">PAINTING </t>
  </si>
  <si>
    <t xml:space="preserve">ESCRACHA </t>
  </si>
  <si>
    <t xml:space="preserve">SANITIZER </t>
  </si>
  <si>
    <t xml:space="preserve">GEL </t>
  </si>
  <si>
    <t xml:space="preserve">POLVOS </t>
  </si>
  <si>
    <t xml:space="preserve">ESMALTE OJO DE GATO ADDICT </t>
  </si>
  <si>
    <t xml:space="preserve">COVER BEIGE ADDICT 1/2OZ </t>
  </si>
  <si>
    <t xml:space="preserve">PINCEL 8 KOLINSKY </t>
  </si>
  <si>
    <t xml:space="preserve">GLITTER </t>
  </si>
  <si>
    <t xml:space="preserve">EFECTO DE UÑAS </t>
  </si>
  <si>
    <t>001-001-000009322</t>
  </si>
  <si>
    <t>Separadores de dedos</t>
  </si>
  <si>
    <t xml:space="preserve">FUNDA 1755 MEDIANA </t>
  </si>
  <si>
    <t xml:space="preserve">PULIDOR 4 PASOS </t>
  </si>
  <si>
    <t>Manicura</t>
  </si>
  <si>
    <t xml:space="preserve">EMPUJA CUTICULA METALICO </t>
  </si>
  <si>
    <t>Manicura / Pedicura</t>
  </si>
  <si>
    <t xml:space="preserve">FRESA AZUL UNAS </t>
  </si>
  <si>
    <t xml:space="preserve">PINCEL </t>
  </si>
  <si>
    <t xml:space="preserve">ANILLO </t>
  </si>
  <si>
    <t xml:space="preserve">ALICATE </t>
  </si>
  <si>
    <t>IMAN DE ESMALTE GATO</t>
  </si>
  <si>
    <t xml:space="preserve">IMAN DE ESMALTE GATO </t>
  </si>
  <si>
    <t>corta unas glan pequeño</t>
  </si>
  <si>
    <t>corta unas glan grande</t>
  </si>
  <si>
    <t xml:space="preserve">TOP COAT ADDIENT </t>
  </si>
  <si>
    <t xml:space="preserve">ESMALTE RODHER </t>
  </si>
  <si>
    <t>REMOVEDOR ACRILICO</t>
  </si>
  <si>
    <t xml:space="preserve">BASE RUBER </t>
  </si>
  <si>
    <t>01-001-000009324</t>
  </si>
  <si>
    <t xml:space="preserve">ESMALTE PERMANENTE </t>
  </si>
  <si>
    <t>DISPENSADOR ACETONA</t>
  </si>
  <si>
    <t xml:space="preserve">ACEIETE RECINO </t>
  </si>
  <si>
    <t xml:space="preserve">TIJERA </t>
  </si>
  <si>
    <t xml:space="preserve">lavero de unas </t>
  </si>
  <si>
    <t>Mostrador/blush</t>
  </si>
  <si>
    <t xml:space="preserve">PALO DE NARAJO </t>
  </si>
  <si>
    <t xml:space="preserve">BROCHA </t>
  </si>
  <si>
    <t>DICIEMBRE</t>
  </si>
  <si>
    <t>001-003-001368780</t>
  </si>
  <si>
    <t xml:space="preserve">OS ALQUILER MENSUAL POS INGENICO EX 6000 </t>
  </si>
  <si>
    <t xml:space="preserve">SERVICIO DE CONEXION MENSUAL POS </t>
  </si>
  <si>
    <t xml:space="preserve">SERV DE COMUNICACION MENSUAL POS ANDROID SIN IMPRESORA </t>
  </si>
  <si>
    <t xml:space="preserve">PROTECCION MENSUAL POS ANDROID SIN IMPRESORA </t>
  </si>
  <si>
    <t>001-003-001390011</t>
  </si>
  <si>
    <t>001-001-000009962</t>
  </si>
  <si>
    <t xml:space="preserve">dremer electric dril </t>
  </si>
  <si>
    <t xml:space="preserve">REMOVEDOR DE ACRILICO </t>
  </si>
  <si>
    <t xml:space="preserve">PAINTIN GEL </t>
  </si>
  <si>
    <t xml:space="preserve">PRAY PARA SECADO DE UNAS </t>
  </si>
  <si>
    <t xml:space="preserve">FRESAS </t>
  </si>
  <si>
    <t xml:space="preserve">CHANCLETA DE PEDICUIR N </t>
  </si>
  <si>
    <t xml:space="preserve">REPUESTOS </t>
  </si>
  <si>
    <t xml:space="preserve">TOP COAT GN </t>
  </si>
  <si>
    <t xml:space="preserve">BLOOMING GEL </t>
  </si>
  <si>
    <t xml:space="preserve">NABAJA </t>
  </si>
  <si>
    <t xml:space="preserve">ESMALTE OJO DE GATO </t>
  </si>
  <si>
    <t>002-001-001122534</t>
  </si>
  <si>
    <t>Firma electrónica</t>
  </si>
  <si>
    <t>001-100-000002204</t>
  </si>
  <si>
    <t xml:space="preserve">HABLADORES A6 MADERA INCLINADO </t>
  </si>
  <si>
    <t>001-001-000010009</t>
  </si>
  <si>
    <t xml:space="preserve">ORGANIZADOR </t>
  </si>
  <si>
    <t xml:space="preserve">pinza </t>
  </si>
  <si>
    <t>004-002-000019049</t>
  </si>
  <si>
    <t>Cena de navidad</t>
  </si>
  <si>
    <t>001-001-000010387</t>
  </si>
  <si>
    <t xml:space="preserve">PINZA DEPILAR MERHEJE </t>
  </si>
  <si>
    <t>TINKLE / depiladoras</t>
  </si>
  <si>
    <t xml:space="preserve">CEPILLO </t>
  </si>
  <si>
    <t xml:space="preserve">EXTREBON </t>
  </si>
  <si>
    <t>ENERO</t>
  </si>
  <si>
    <t>001-020-002704430</t>
  </si>
  <si>
    <t xml:space="preserve">Comisiones </t>
  </si>
  <si>
    <t>001-019-005463439</t>
  </si>
  <si>
    <t>001-171-020805357</t>
  </si>
  <si>
    <t xml:space="preserve">COSTO POR SERVICIO FINANCIERO </t>
  </si>
  <si>
    <t>001-014-008339423</t>
  </si>
  <si>
    <t>003-010-000004958</t>
  </si>
  <si>
    <t xml:space="preserve">ARMADOR FLEX JUVENIL DORADO </t>
  </si>
  <si>
    <t>Mano porta anillos</t>
  </si>
  <si>
    <t>007-107-000124570</t>
  </si>
  <si>
    <t xml:space="preserve">CANASTILLA RATAN 1 BEI </t>
  </si>
  <si>
    <t xml:space="preserve">GANIZADOR ACRILICO BOGA </t>
  </si>
  <si>
    <t>001-101-000007077</t>
  </si>
  <si>
    <t xml:space="preserve">anillos </t>
  </si>
  <si>
    <t>041-903-000126030</t>
  </si>
  <si>
    <t xml:space="preserve">ESCALERA T3 2 PELDANOS BLANCA ALUM </t>
  </si>
  <si>
    <t xml:space="preserve">SUPERLON 2MM C/M P/EMBALAJES </t>
  </si>
  <si>
    <t xml:space="preserve">ORGANIZADOR DE MAQUILLAJE PS BAMBU </t>
  </si>
  <si>
    <t xml:space="preserve">DESINFECTANTE OLIMPIA VAINILLA 1.8L </t>
  </si>
  <si>
    <t xml:space="preserve">CAJA PARA PANUELOS 26X13XH8CM </t>
  </si>
  <si>
    <t xml:space="preserve">PORTA ESCOBA COMMAND </t>
  </si>
  <si>
    <t xml:space="preserve">ORG. D/CAJONES 7PZS </t>
  </si>
  <si>
    <t>025-210-000001415</t>
  </si>
  <si>
    <t xml:space="preserve">SACAPUNTA ESCOLAR 1 SERVICIO PLASTICO TRANSPARENTE GIGANTE 20127240 </t>
  </si>
  <si>
    <t xml:space="preserve">PAPEL PERIODICO 45GRS </t>
  </si>
  <si>
    <t xml:space="preserve">CINTA ADHESIVA EMBALAJE 48MMX36.57M TRANSPARENTE FE-700 550409-551920 </t>
  </si>
  <si>
    <t xml:space="preserve">CINTA ADHESIVA 18MMX22.75M TRANSPARENTE DT-22 551935 </t>
  </si>
  <si>
    <t xml:space="preserve">REGLA PLASTICA 15CM EG00112 </t>
  </si>
  <si>
    <t xml:space="preserve">PEGA ESPECIAL CON ESCARCHA 035GRS PLATA GLITTER 2912/202.0 </t>
  </si>
  <si>
    <t xml:space="preserve">PEGA EN BARRA 9GRS E7 </t>
  </si>
  <si>
    <t xml:space="preserve">CALCULADORA 12 DIGITOS ESCRITORIO GRIS EM130 100159607 </t>
  </si>
  <si>
    <t>BORRADOR LAPIZ BLANCO PZ- 20 REF. 06140203</t>
  </si>
  <si>
    <t xml:space="preserve">SET OFICINA CLIPS/MANECILLAS/PUSH PINS/BANDAS E EZ20703 </t>
  </si>
  <si>
    <t xml:space="preserve">BANDERITA 45MMX12MM 125 HJS FLECHA NEON </t>
  </si>
  <si>
    <t xml:space="preserve">NOTAS QUITA Y PON 3X2+3X3+3X5PLG 3COLORES NEON BLISTERX150HJ 21258 </t>
  </si>
  <si>
    <t xml:space="preserve">RCHIVADOR ACORDEON 13 DIV A4 COLORES E5557 </t>
  </si>
  <si>
    <t>002-102-000009783</t>
  </si>
  <si>
    <t xml:space="preserve">JUGO DEL VALLE NARANJA 3LT </t>
  </si>
  <si>
    <t>001-100-000016345</t>
  </si>
  <si>
    <t xml:space="preserve">esponja </t>
  </si>
  <si>
    <t>001-003-001443483</t>
  </si>
  <si>
    <t xml:space="preserve">POS ALQUILER MENSUAL POS INGENICO EX 6000 </t>
  </si>
  <si>
    <t>087-101-000160802</t>
  </si>
  <si>
    <t>Lavadora de muebles + garantía</t>
  </si>
  <si>
    <t>001-001-000010711</t>
  </si>
  <si>
    <t>Mascarillas</t>
  </si>
  <si>
    <t xml:space="preserve">PEGA ADORO DE UÑAS </t>
  </si>
  <si>
    <t xml:space="preserve"> 037-908-000347336</t>
  </si>
  <si>
    <t>Basurero pequeño</t>
  </si>
  <si>
    <t>Riel de cortina</t>
  </si>
  <si>
    <t>FEBRERO</t>
  </si>
  <si>
    <t>001-020-002724700</t>
  </si>
  <si>
    <t>001-019-005492736</t>
  </si>
  <si>
    <t>001-014-008372615</t>
  </si>
  <si>
    <t>001-003-001496832</t>
  </si>
  <si>
    <t>001-003-020793506</t>
  </si>
  <si>
    <t xml:space="preserve">LIQUIDACION COMERCIO </t>
  </si>
  <si>
    <t>001-001-000010898</t>
  </si>
  <si>
    <t xml:space="preserve">spainer gel uñas </t>
  </si>
  <si>
    <t xml:space="preserve">Manicura </t>
  </si>
  <si>
    <t xml:space="preserve">PIGMENTO </t>
  </si>
  <si>
    <t>002-200-000000069</t>
  </si>
  <si>
    <t xml:space="preserve">CUOTA DE ADMINISTRACION Y MENTENIMIENTO FEB. VGARDEN </t>
  </si>
  <si>
    <t>002-200-000000068</t>
  </si>
  <si>
    <t xml:space="preserve">CUOTA DE ADMINISTRACION Y MANTENIMIENTO VGARDEN ENERO </t>
  </si>
  <si>
    <t>001-002-000000082</t>
  </si>
  <si>
    <t xml:space="preserve">ARRIENDO MENSUAL </t>
  </si>
  <si>
    <t>001-002-000000081</t>
  </si>
  <si>
    <t>021-004-000023999</t>
  </si>
  <si>
    <t xml:space="preserve">THUYA GOMA DUO PARA PESTAÑAS 14ML </t>
  </si>
  <si>
    <t>Pestañas</t>
  </si>
  <si>
    <t>026-003-000044323</t>
  </si>
  <si>
    <t xml:space="preserve">DOLL CERA DEPILATORI </t>
  </si>
  <si>
    <t>Depilación</t>
  </si>
  <si>
    <t>001-004-000007320</t>
  </si>
  <si>
    <t xml:space="preserve">RIZADOR </t>
  </si>
  <si>
    <t xml:space="preserve">ALICATE COQUETA'S </t>
  </si>
  <si>
    <t xml:space="preserve">ALICATE VICKY NAIL </t>
  </si>
  <si>
    <t xml:space="preserve">PAQ LIMA </t>
  </si>
  <si>
    <t>001-001-000011020</t>
  </si>
  <si>
    <t xml:space="preserve">PARAFINA D </t>
  </si>
  <si>
    <t xml:space="preserve">EXFOLIANTE </t>
  </si>
  <si>
    <t xml:space="preserve">RIMEL VOGUE VOLUMEN </t>
  </si>
  <si>
    <t>LAMPARA gel</t>
  </si>
  <si>
    <t xml:space="preserve">OLLA DE PARAFINA DI </t>
  </si>
  <si>
    <t xml:space="preserve">MASCARILLA </t>
  </si>
  <si>
    <t>MARZO</t>
  </si>
  <si>
    <t>001-014-008466835</t>
  </si>
  <si>
    <t>002-200-000000093</t>
  </si>
  <si>
    <t xml:space="preserve">TROS SRVICIOS ADMINISTRACION V GARDEN </t>
  </si>
  <si>
    <t>002-200-000000077</t>
  </si>
  <si>
    <t xml:space="preserve">CUOTA ADMINISTRACION Y MANTENIMIENTO MARZO V GARDEN </t>
  </si>
  <si>
    <t>001-019-005552984</t>
  </si>
  <si>
    <t>001-020-002785941</t>
  </si>
  <si>
    <t>001-002-000000089</t>
  </si>
  <si>
    <t>001-003-001548160</t>
  </si>
  <si>
    <t>001-060-000003818</t>
  </si>
  <si>
    <t xml:space="preserve">GUANTES NITRILO NEGRO TALLA MEDIUM C/1000 UDS </t>
  </si>
  <si>
    <t>041-902-000107918</t>
  </si>
  <si>
    <t xml:space="preserve">TAPETE/ENTRADA EXTERIOR COCO 45X75 CM </t>
  </si>
  <si>
    <t xml:space="preserve">ALFOMBRA D/BANIO VENTOSA 43X70CM COLORES </t>
  </si>
  <si>
    <t>001-014-008573190</t>
  </si>
  <si>
    <t>002-200-000000128</t>
  </si>
  <si>
    <t>Gastos administrativos plaza</t>
  </si>
  <si>
    <t>002-200-000000115</t>
  </si>
  <si>
    <t>CUOTA DE ADMINISTRACION Y MANTENIMIENTO ABRIL VGARDEN</t>
  </si>
  <si>
    <t>001-100-000017892</t>
  </si>
  <si>
    <t xml:space="preserve">tinte de pestañas </t>
  </si>
  <si>
    <t>ESMALTE PERMANENTE MASTER</t>
  </si>
  <si>
    <t>ESMALTE PERMANENTE SAPHIR</t>
  </si>
  <si>
    <t xml:space="preserve">TINTE TYA </t>
  </si>
  <si>
    <t>001-001-000011456</t>
  </si>
  <si>
    <t xml:space="preserve">ALCOHOL GALON </t>
  </si>
  <si>
    <t>001-003-001626378</t>
  </si>
  <si>
    <t>001-002-000000106</t>
  </si>
  <si>
    <t>001-019-005603553</t>
  </si>
  <si>
    <t>001-020-002819556</t>
  </si>
  <si>
    <t>001-001-000011734</t>
  </si>
  <si>
    <t xml:space="preserve">LIMA SPONS </t>
  </si>
  <si>
    <t xml:space="preserve">WIPES DE UÑAS </t>
  </si>
  <si>
    <t>PRIMER MASTER</t>
  </si>
  <si>
    <t>001-100-000018568</t>
  </si>
  <si>
    <t xml:space="preserve">QUITA ESMALTE GALON </t>
  </si>
  <si>
    <t xml:space="preserve">SPRAY PARA SECADO DE UÑAS </t>
  </si>
  <si>
    <t xml:space="preserve">NAIL PREP MIA SECRET PEQUEÑO </t>
  </si>
  <si>
    <t xml:space="preserve">PRIMER </t>
  </si>
  <si>
    <t>001-100-000018829</t>
  </si>
  <si>
    <t xml:space="preserve">DESINFECTANTE </t>
  </si>
  <si>
    <t xml:space="preserve">bigudie azul </t>
  </si>
  <si>
    <t>001-100-000018943</t>
  </si>
  <si>
    <t>LAMPARA</t>
  </si>
  <si>
    <t>008-003-000008659</t>
  </si>
  <si>
    <t xml:space="preserve">ESTERILIZADOR EN SECO 8 LITROS </t>
  </si>
  <si>
    <t>001-019-005656529</t>
  </si>
  <si>
    <t xml:space="preserve">BANCO DINERS CLUB DEL ECUADOR S.A </t>
  </si>
  <si>
    <t>001-020-002860527</t>
  </si>
  <si>
    <t>002-200-000000142</t>
  </si>
  <si>
    <t xml:space="preserve">AAA AUDITORES Y CONSULTORES TRIDISUL CIA.LTDA </t>
  </si>
  <si>
    <t xml:space="preserve">OTROS SERVICIOS ADMINISTRACION V GARDEN </t>
  </si>
  <si>
    <t>002-200-000000155</t>
  </si>
  <si>
    <t xml:space="preserve">CUOTA DE ADMINISTRACION Y MANTENIMIENTO VGARDEN MAYO </t>
  </si>
  <si>
    <t>001-003-001652617</t>
  </si>
  <si>
    <t>DATAFAST S A</t>
  </si>
  <si>
    <t>001-002-000000124</t>
  </si>
  <si>
    <t xml:space="preserve">ASOCIACION DE CUENTAS EN PARTICIPACION LOS LEÑOS </t>
  </si>
  <si>
    <t xml:space="preserve">RRIENDO MENSUAL </t>
  </si>
  <si>
    <t>001-001-000011991</t>
  </si>
  <si>
    <t>CEDILLO TIGRE CHRISTIAN PAUL</t>
  </si>
  <si>
    <t>001-100-000019219</t>
  </si>
  <si>
    <t xml:space="preserve">CEDILLO CEDILLO GLADYS VIVIANA </t>
  </si>
  <si>
    <t xml:space="preserve">SEPARADOR DE DEDOS </t>
  </si>
  <si>
    <t xml:space="preserve">funda exg lujo </t>
  </si>
  <si>
    <t xml:space="preserve">top coa coqueta </t>
  </si>
  <si>
    <t xml:space="preserve">MICRO CEPILLO FUNDA </t>
  </si>
  <si>
    <t>001-004-000091487</t>
  </si>
  <si>
    <t>NUNEZ VELOZ BYRON GEOVANNY</t>
  </si>
  <si>
    <t xml:space="preserve">SETX6 RIMEL KARITE 666244 ROSEMARY </t>
  </si>
  <si>
    <t xml:space="preserve">PROSA RIMEL MAXI VOLUMEN </t>
  </si>
  <si>
    <t xml:space="preserve">PROSA RIMEL MICRO FIBRAS </t>
  </si>
  <si>
    <t xml:space="preserve">PROSA ACEITE 4EN1 PESTAÑAS 15ML </t>
  </si>
  <si>
    <t>001-001-000012083</t>
  </si>
  <si>
    <t xml:space="preserve">CEDILLO TIGRE CHRISTIAN PAUL </t>
  </si>
  <si>
    <t xml:space="preserve">aceite de cuticula opi </t>
  </si>
  <si>
    <t>001-004-000008534</t>
  </si>
  <si>
    <t xml:space="preserve">GONZALEZ FIGUEROA MIGUEL ALEJANDRO </t>
  </si>
  <si>
    <t xml:space="preserve">VELA HIDRATANTE </t>
  </si>
  <si>
    <t>001-100-000019598</t>
  </si>
  <si>
    <t xml:space="preserve">acetona pura </t>
  </si>
  <si>
    <t xml:space="preserve">servitoallas </t>
  </si>
  <si>
    <t xml:space="preserve">BOMBAS EFERVECENTES </t>
  </si>
  <si>
    <t>REPUESTOS PEDICURE</t>
  </si>
  <si>
    <t xml:space="preserve">MASCARILLAS </t>
  </si>
  <si>
    <t>001-100-000028334</t>
  </si>
  <si>
    <t>CEDILLO CEDILLO JENIFFER ALEXANDRA</t>
  </si>
  <si>
    <t xml:space="preserve">ESMALTE VOGUE EN GEL </t>
  </si>
  <si>
    <t>BROCHA</t>
  </si>
  <si>
    <t>001-014-016161973</t>
  </si>
  <si>
    <t>001-002-000000140</t>
  </si>
  <si>
    <t>001-001-000012309</t>
  </si>
  <si>
    <t xml:space="preserve">PARCHES DE PESTAÑAS X 100 </t>
  </si>
  <si>
    <t xml:space="preserve">PESTAÑAS AMY BEAUTY </t>
  </si>
  <si>
    <t xml:space="preserve">CONTORNO </t>
  </si>
  <si>
    <t>BASE RUBER MASTER</t>
  </si>
  <si>
    <t>002-200-000000188</t>
  </si>
  <si>
    <t>OTROS SERVICIOS ADMINISTRACION V GARDEN</t>
  </si>
  <si>
    <t>001-019-016136267</t>
  </si>
  <si>
    <t>001-003-001702757</t>
  </si>
  <si>
    <t>001-001-000012390</t>
  </si>
  <si>
    <t xml:space="preserve">talco texturizador </t>
  </si>
  <si>
    <t xml:space="preserve">FUNDA 1756 MINI </t>
  </si>
  <si>
    <t xml:space="preserve">BASE COAT </t>
  </si>
  <si>
    <t>001-020-000009069</t>
  </si>
  <si>
    <t>IMPORTACIONES MEDICALSOLUTIONS CIA. LTDA.</t>
  </si>
  <si>
    <t xml:space="preserve">MASCARILLA QUIRURGI C/ELASTICO TALLA ESTANDAR C/2000 UD </t>
  </si>
  <si>
    <t xml:space="preserve">GUANTES DE NITRILO COLOR VIOLETA AZUL TALLA M </t>
  </si>
  <si>
    <t>006-002-000093749</t>
  </si>
  <si>
    <t xml:space="preserve">GUSQUI GUAMAN JENNY GABRIELA </t>
  </si>
  <si>
    <t xml:space="preserve">BIOAQUA MASCARILLA BQY12449 GREEN TEA </t>
  </si>
  <si>
    <t xml:space="preserve">SADOER CREMA DE MANOS SD18076 BLUEBERRY </t>
  </si>
  <si>
    <t>139-510-000020511</t>
  </si>
  <si>
    <t>FARMACIAS Y COMISARIATOS DE MEDICINAS S.A FARCOMED</t>
  </si>
  <si>
    <t xml:space="preserve">PETALOS DESMAQUILLANTE 80X2 910287 </t>
  </si>
  <si>
    <t>001-001-000012612</t>
  </si>
  <si>
    <t>Microcepillo</t>
  </si>
  <si>
    <t>top coa missu</t>
  </si>
  <si>
    <t>Disolvente cutex</t>
  </si>
  <si>
    <t>001-002-000073987</t>
  </si>
  <si>
    <t>TORMENTA HU IMPORT CIA.LTDA</t>
  </si>
  <si>
    <t>Calentador de agua</t>
  </si>
  <si>
    <t>Masajeador negro</t>
  </si>
  <si>
    <t>001-100-000028751</t>
  </si>
  <si>
    <t>Vela hidratante</t>
  </si>
  <si>
    <t>139-510-000020726</t>
  </si>
  <si>
    <t>Crema depiladora</t>
  </si>
  <si>
    <t>Papel higiènico</t>
  </si>
  <si>
    <t>sueldos</t>
  </si>
  <si>
    <t>comisiones</t>
  </si>
  <si>
    <t>retenciones</t>
  </si>
  <si>
    <t>Retención</t>
  </si>
  <si>
    <t>Base</t>
  </si>
  <si>
    <t>Impuesto</t>
  </si>
  <si>
    <t>%</t>
  </si>
  <si>
    <t>Valor</t>
  </si>
  <si>
    <t xml:space="preserve">001-019-013304776 </t>
  </si>
  <si>
    <t>IVA</t>
  </si>
  <si>
    <t>Renta</t>
  </si>
  <si>
    <t>001-020-006791477</t>
  </si>
  <si>
    <t xml:space="preserve">001-019-013340814 </t>
  </si>
  <si>
    <t xml:space="preserve">001-020-006849233 </t>
  </si>
  <si>
    <t xml:space="preserve">001-019-013366569 </t>
  </si>
  <si>
    <t xml:space="preserve">001-014-015346175 </t>
  </si>
  <si>
    <t xml:space="preserve">001-014-015379602 </t>
  </si>
  <si>
    <t xml:space="preserve">001-020-006866156 </t>
  </si>
  <si>
    <t xml:space="preserve">001-019-013402694 </t>
  </si>
  <si>
    <t>001-020-006895682</t>
  </si>
  <si>
    <t xml:space="preserve">001-014-015415234 </t>
  </si>
  <si>
    <t xml:space="preserve">001-019-013435598 </t>
  </si>
  <si>
    <t xml:space="preserve">001-019-013465285 </t>
  </si>
  <si>
    <t xml:space="preserve">001-020-006912961 </t>
  </si>
  <si>
    <t xml:space="preserve">001-014-015462119 </t>
  </si>
  <si>
    <t>001-019-013531980</t>
  </si>
  <si>
    <t>001-014-015522797</t>
  </si>
  <si>
    <t>001-002-019450981</t>
  </si>
  <si>
    <t>001-019-013566861</t>
  </si>
  <si>
    <t>001-020-006984470</t>
  </si>
  <si>
    <t>001-020-007019537</t>
  </si>
  <si>
    <t>001-019-013593147</t>
  </si>
  <si>
    <t>001-014-015620871</t>
  </si>
  <si>
    <t>001-019-013621129</t>
  </si>
  <si>
    <t>001-020-007028575</t>
  </si>
  <si>
    <t>001-014-000040477</t>
  </si>
  <si>
    <t>001-019-013662712</t>
  </si>
  <si>
    <t>001-020-007069203</t>
  </si>
  <si>
    <t>001-019-013693533</t>
  </si>
  <si>
    <t>001-020-007116389</t>
  </si>
  <si>
    <t>001-019-013723230</t>
  </si>
  <si>
    <t>001-019-013768302</t>
  </si>
  <si>
    <t>001-019-013790787</t>
  </si>
  <si>
    <t>001-020-007157903</t>
  </si>
  <si>
    <t>001-019-013812511</t>
  </si>
  <si>
    <t>001-020-007191968</t>
  </si>
  <si>
    <t>001-020-007214418</t>
  </si>
  <si>
    <t>001-019-013861793</t>
  </si>
  <si>
    <t>001-019-013904205</t>
  </si>
  <si>
    <t>001-020-007234883</t>
  </si>
  <si>
    <t>001-019-013917224</t>
  </si>
  <si>
    <t>001-014-015954530</t>
  </si>
  <si>
    <t>001-014-016091168</t>
  </si>
  <si>
    <t>001-019-016061678</t>
  </si>
  <si>
    <t>001-019-016164982</t>
  </si>
  <si>
    <t>001-014-016206700</t>
  </si>
  <si>
    <t>001-019-013995154</t>
  </si>
  <si>
    <t>001-019-016237029</t>
  </si>
  <si>
    <t>001-020-016238691</t>
  </si>
  <si>
    <t>001-019-016262868</t>
  </si>
  <si>
    <t>001-020-016248678</t>
  </si>
  <si>
    <t>001-019-016291723</t>
  </si>
  <si>
    <t>001-019-016320003</t>
  </si>
  <si>
    <t>001-020-016264316</t>
  </si>
  <si>
    <t>001-019-016348495</t>
  </si>
  <si>
    <t>001-019-016364364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</si>
</sst>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 &quot;$&quot;* #,##0.00_ ;_ &quot;$&quot;* \-#,##0.00_ ;_ &quot;$&quot;* &quot;-&quot;??_ ;_ @_ "/>
    <numFmt numFmtId="164" formatCode="\$#,##0.00"/>
    <numFmt numFmtId="165" formatCode="yyyy\-mm\-dd"/>
    <numFmt numFmtId="166" formatCode="_-&quot;$&quot;* #,##0.00_-;\-&quot;$&quot;* #,##0.00_-;_-&quot;$&quot;* &quot;-&quot;??_-;_-@_-"/>
  </numFmts>
  <fonts count="23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1"/>
      <color rgb="FFFFFFFF"/>
      <name val="Segoe UI"/>
    </font>
    <font>
      <sz val="11"/>
      <color rgb="FF000000"/>
      <name val="Segoe U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u/>
      <sz val="12"/>
      <color theme="10"/>
      <name val="Segoe UI"/>
      <family val="2"/>
    </font>
    <font>
      <u/>
      <sz val="12"/>
      <color theme="9"/>
      <name val="Segoe UI"/>
      <family val="2"/>
    </font>
    <font>
      <u/>
      <sz val="12"/>
      <color rgb="FF33CCCC"/>
      <name val="Segoe UI"/>
      <family val="2"/>
    </font>
    <font>
      <b/>
      <sz val="12"/>
      <color rgb="FFFFFFFF"/>
      <name val="Segoe UI"/>
      <family val="2"/>
    </font>
    <font>
      <sz val="12"/>
      <color theme="1"/>
      <name val="Segoe UI"/>
      <family val="2"/>
    </font>
    <font>
      <sz val="12"/>
      <color rgb="FF000000"/>
      <name val="Segoe UI"/>
      <family val="2"/>
    </font>
    <font>
      <sz val="12"/>
      <color theme="9"/>
      <name val="Segoe UI"/>
      <family val="2"/>
    </font>
    <font>
      <sz val="12"/>
      <color rgb="FFFF0000"/>
      <name val="Segoe UI"/>
      <family val="2"/>
    </font>
    <font>
      <b/>
      <sz val="12"/>
      <color theme="1"/>
      <name val="Calibri"/>
      <family val="2"/>
      <scheme val="minor"/>
    </font>
    <font>
      <sz val="8"/>
      <color theme="1"/>
      <name val="Helvetica"/>
      <family val="2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sz val="11"/>
      <color rgb="FF000000"/>
      <name val="Helvetica"/>
      <family val="2"/>
    </font>
    <font>
      <sz val="11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4A3B32"/>
        <bgColor rgb="FF4A3B32"/>
      </patternFill>
    </fill>
    <fill>
      <patternFill patternType="solid">
        <fgColor rgb="FFD4A59A"/>
        <bgColor rgb="FFD4A59A"/>
      </patternFill>
    </fill>
    <fill>
      <patternFill patternType="solid">
        <fgColor rgb="FFFDF8F7"/>
        <bgColor rgb="FFFDF8F7"/>
      </patternFill>
    </fill>
    <fill>
      <patternFill patternType="solid">
        <fgColor theme="3" tint="0.59999389629810485"/>
        <bgColor rgb="FFD4A59A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0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9" borderId="4" xfId="2" applyFont="1" applyFill="1" applyBorder="1"/>
    <xf numFmtId="0" fontId="9" fillId="0" borderId="4" xfId="2" applyFont="1" applyFill="1" applyBorder="1"/>
    <xf numFmtId="0" fontId="9" fillId="6" borderId="2" xfId="2" applyFont="1" applyFill="1" applyBorder="1"/>
    <xf numFmtId="0" fontId="9" fillId="6" borderId="4" xfId="2" applyFont="1" applyFill="1" applyBorder="1"/>
    <xf numFmtId="0" fontId="9" fillId="0" borderId="4" xfId="2" applyFont="1" applyBorder="1"/>
    <xf numFmtId="0" fontId="9" fillId="12" borderId="4" xfId="2" applyFont="1" applyFill="1" applyBorder="1"/>
    <xf numFmtId="0" fontId="9" fillId="13" borderId="4" xfId="2" applyFont="1" applyFill="1" applyBorder="1"/>
    <xf numFmtId="0" fontId="9" fillId="6" borderId="8" xfId="2" applyFont="1" applyFill="1" applyBorder="1"/>
    <xf numFmtId="0" fontId="9" fillId="6" borderId="4" xfId="2" applyFont="1" applyFill="1" applyBorder="1" applyAlignment="1">
      <alignment horizontal="center"/>
    </xf>
    <xf numFmtId="0" fontId="9" fillId="16" borderId="4" xfId="2" applyFont="1" applyFill="1" applyBorder="1"/>
    <xf numFmtId="0" fontId="9" fillId="0" borderId="8" xfId="2" applyFont="1" applyFill="1" applyBorder="1"/>
    <xf numFmtId="0" fontId="9" fillId="17" borderId="4" xfId="2" applyFont="1" applyFill="1" applyBorder="1"/>
    <xf numFmtId="0" fontId="9" fillId="18" borderId="4" xfId="2" applyFont="1" applyFill="1" applyBorder="1"/>
    <xf numFmtId="0" fontId="9" fillId="19" borderId="4" xfId="2" applyFont="1" applyFill="1" applyBorder="1"/>
    <xf numFmtId="0" fontId="9" fillId="20" borderId="4" xfId="2" applyFont="1" applyFill="1" applyBorder="1"/>
    <xf numFmtId="0" fontId="9" fillId="14" borderId="4" xfId="2" applyFont="1" applyFill="1" applyBorder="1"/>
    <xf numFmtId="0" fontId="10" fillId="14" borderId="4" xfId="2" applyFont="1" applyFill="1" applyBorder="1"/>
    <xf numFmtId="0" fontId="9" fillId="0" borderId="0" xfId="2" applyFont="1"/>
    <xf numFmtId="0" fontId="11" fillId="0" borderId="0" xfId="0" applyFont="1"/>
    <xf numFmtId="0" fontId="13" fillId="0" borderId="0" xfId="0" applyFont="1"/>
    <xf numFmtId="0" fontId="12" fillId="3" borderId="1" xfId="0" applyFont="1" applyFill="1" applyBorder="1" applyAlignment="1">
      <alignment horizontal="center" vertical="center"/>
    </xf>
    <xf numFmtId="0" fontId="13" fillId="6" borderId="2" xfId="0" applyFont="1" applyFill="1" applyBorder="1"/>
    <xf numFmtId="0" fontId="14" fillId="0" borderId="1" xfId="0" applyFont="1" applyBorder="1" applyAlignment="1">
      <alignment horizontal="left" vertical="center"/>
    </xf>
    <xf numFmtId="0" fontId="13" fillId="6" borderId="4" xfId="0" applyFont="1" applyFill="1" applyBorder="1"/>
    <xf numFmtId="0" fontId="13" fillId="7" borderId="4" xfId="0" applyFont="1" applyFill="1" applyBorder="1"/>
    <xf numFmtId="0" fontId="13" fillId="9" borderId="2" xfId="0" applyFont="1" applyFill="1" applyBorder="1"/>
    <xf numFmtId="0" fontId="13" fillId="9" borderId="4" xfId="0" applyFont="1" applyFill="1" applyBorder="1"/>
    <xf numFmtId="0" fontId="13" fillId="0" borderId="4" xfId="0" applyFont="1" applyBorder="1"/>
    <xf numFmtId="0" fontId="13" fillId="10" borderId="2" xfId="0" applyFont="1" applyFill="1" applyBorder="1"/>
    <xf numFmtId="0" fontId="13" fillId="10" borderId="4" xfId="0" applyFont="1" applyFill="1" applyBorder="1"/>
    <xf numFmtId="1" fontId="13" fillId="9" borderId="4" xfId="1" applyNumberFormat="1" applyFont="1" applyFill="1" applyBorder="1"/>
    <xf numFmtId="0" fontId="14" fillId="8" borderId="6" xfId="0" applyFont="1" applyFill="1" applyBorder="1"/>
    <xf numFmtId="0" fontId="14" fillId="8" borderId="4" xfId="0" applyFont="1" applyFill="1" applyBorder="1"/>
    <xf numFmtId="0" fontId="14" fillId="8" borderId="7" xfId="0" applyFont="1" applyFill="1" applyBorder="1"/>
    <xf numFmtId="0" fontId="14" fillId="8" borderId="2" xfId="0" applyFont="1" applyFill="1" applyBorder="1"/>
    <xf numFmtId="0" fontId="14" fillId="11" borderId="6" xfId="0" applyFont="1" applyFill="1" applyBorder="1"/>
    <xf numFmtId="0" fontId="14" fillId="11" borderId="4" xfId="0" applyFont="1" applyFill="1" applyBorder="1"/>
    <xf numFmtId="0" fontId="14" fillId="11" borderId="7" xfId="0" applyFont="1" applyFill="1" applyBorder="1"/>
    <xf numFmtId="0" fontId="14" fillId="11" borderId="2" xfId="0" applyFont="1" applyFill="1" applyBorder="1"/>
    <xf numFmtId="0" fontId="13" fillId="12" borderId="4" xfId="0" applyFont="1" applyFill="1" applyBorder="1"/>
    <xf numFmtId="0" fontId="13" fillId="13" borderId="4" xfId="0" applyFont="1" applyFill="1" applyBorder="1"/>
    <xf numFmtId="0" fontId="13" fillId="14" borderId="4" xfId="0" applyFont="1" applyFill="1" applyBorder="1"/>
    <xf numFmtId="0" fontId="13" fillId="9" borderId="0" xfId="0" applyFont="1" applyFill="1"/>
    <xf numFmtId="0" fontId="13" fillId="6" borderId="0" xfId="0" applyFont="1" applyFill="1"/>
    <xf numFmtId="0" fontId="13" fillId="6" borderId="8" xfId="0" applyFont="1" applyFill="1" applyBorder="1"/>
    <xf numFmtId="0" fontId="13" fillId="15" borderId="4" xfId="0" applyFont="1" applyFill="1" applyBorder="1"/>
    <xf numFmtId="0" fontId="13" fillId="15" borderId="8" xfId="0" applyFont="1" applyFill="1" applyBorder="1"/>
    <xf numFmtId="0" fontId="13" fillId="16" borderId="4" xfId="0" applyFont="1" applyFill="1" applyBorder="1"/>
    <xf numFmtId="0" fontId="13" fillId="0" borderId="8" xfId="0" applyFont="1" applyBorder="1"/>
    <xf numFmtId="0" fontId="13" fillId="17" borderId="4" xfId="0" applyFont="1" applyFill="1" applyBorder="1"/>
    <xf numFmtId="0" fontId="13" fillId="18" borderId="4" xfId="0" applyFont="1" applyFill="1" applyBorder="1"/>
    <xf numFmtId="0" fontId="13" fillId="19" borderId="4" xfId="0" applyFont="1" applyFill="1" applyBorder="1"/>
    <xf numFmtId="0" fontId="13" fillId="20" borderId="4" xfId="0" applyFont="1" applyFill="1" applyBorder="1"/>
    <xf numFmtId="0" fontId="15" fillId="14" borderId="4" xfId="0" applyFont="1" applyFill="1" applyBorder="1"/>
    <xf numFmtId="0" fontId="13" fillId="6" borderId="10" xfId="0" applyFont="1" applyFill="1" applyBorder="1"/>
    <xf numFmtId="0" fontId="13" fillId="6" borderId="11" xfId="0" applyFont="1" applyFill="1" applyBorder="1"/>
    <xf numFmtId="0" fontId="13" fillId="0" borderId="11" xfId="0" applyFont="1" applyBorder="1"/>
    <xf numFmtId="0" fontId="16" fillId="0" borderId="0" xfId="0" applyFont="1"/>
    <xf numFmtId="0" fontId="12" fillId="5" borderId="1" xfId="0" applyFont="1" applyFill="1" applyBorder="1" applyAlignment="1">
      <alignment horizontal="center" vertical="center"/>
    </xf>
    <xf numFmtId="0" fontId="13" fillId="6" borderId="3" xfId="0" applyFont="1" applyFill="1" applyBorder="1"/>
    <xf numFmtId="14" fontId="13" fillId="6" borderId="2" xfId="0" applyNumberFormat="1" applyFont="1" applyFill="1" applyBorder="1"/>
    <xf numFmtId="44" fontId="13" fillId="0" borderId="2" xfId="1" applyFont="1" applyFill="1" applyBorder="1"/>
    <xf numFmtId="44" fontId="13" fillId="6" borderId="2" xfId="1" applyFont="1" applyFill="1" applyBorder="1"/>
    <xf numFmtId="0" fontId="13" fillId="6" borderId="5" xfId="0" applyFont="1" applyFill="1" applyBorder="1"/>
    <xf numFmtId="14" fontId="13" fillId="6" borderId="4" xfId="0" applyNumberFormat="1" applyFont="1" applyFill="1" applyBorder="1"/>
    <xf numFmtId="44" fontId="13" fillId="0" borderId="4" xfId="1" applyFont="1" applyFill="1" applyBorder="1"/>
    <xf numFmtId="0" fontId="13" fillId="7" borderId="5" xfId="0" applyFont="1" applyFill="1" applyBorder="1"/>
    <xf numFmtId="14" fontId="13" fillId="7" borderId="4" xfId="0" applyNumberFormat="1" applyFont="1" applyFill="1" applyBorder="1"/>
    <xf numFmtId="44" fontId="13" fillId="7" borderId="4" xfId="1" applyFont="1" applyFill="1" applyBorder="1"/>
    <xf numFmtId="166" fontId="14" fillId="8" borderId="6" xfId="0" applyNumberFormat="1" applyFont="1" applyFill="1" applyBorder="1"/>
    <xf numFmtId="166" fontId="14" fillId="8" borderId="7" xfId="0" applyNumberFormat="1" applyFont="1" applyFill="1" applyBorder="1"/>
    <xf numFmtId="0" fontId="13" fillId="9" borderId="3" xfId="0" applyFont="1" applyFill="1" applyBorder="1"/>
    <xf numFmtId="14" fontId="13" fillId="9" borderId="2" xfId="0" applyNumberFormat="1" applyFont="1" applyFill="1" applyBorder="1"/>
    <xf numFmtId="44" fontId="13" fillId="9" borderId="2" xfId="1" applyFont="1" applyFill="1" applyBorder="1"/>
    <xf numFmtId="44" fontId="13" fillId="6" borderId="4" xfId="1" applyFont="1" applyFill="1" applyBorder="1"/>
    <xf numFmtId="44" fontId="13" fillId="9" borderId="4" xfId="1" applyFont="1" applyFill="1" applyBorder="1"/>
    <xf numFmtId="0" fontId="13" fillId="9" borderId="5" xfId="0" applyFont="1" applyFill="1" applyBorder="1"/>
    <xf numFmtId="14" fontId="13" fillId="9" borderId="4" xfId="0" applyNumberFormat="1" applyFont="1" applyFill="1" applyBorder="1"/>
    <xf numFmtId="1" fontId="13" fillId="9" borderId="4" xfId="1" applyNumberFormat="1" applyFont="1" applyFill="1" applyBorder="1" applyAlignment="1">
      <alignment horizontal="right"/>
    </xf>
    <xf numFmtId="2" fontId="13" fillId="9" borderId="4" xfId="1" applyNumberFormat="1" applyFont="1" applyFill="1" applyBorder="1"/>
    <xf numFmtId="166" fontId="14" fillId="11" borderId="6" xfId="0" applyNumberFormat="1" applyFont="1" applyFill="1" applyBorder="1"/>
    <xf numFmtId="166" fontId="14" fillId="11" borderId="7" xfId="0" applyNumberFormat="1" applyFont="1" applyFill="1" applyBorder="1"/>
    <xf numFmtId="14" fontId="13" fillId="12" borderId="4" xfId="0" applyNumberFormat="1" applyFont="1" applyFill="1" applyBorder="1"/>
    <xf numFmtId="44" fontId="13" fillId="12" borderId="4" xfId="1" applyFont="1" applyFill="1" applyBorder="1"/>
    <xf numFmtId="0" fontId="13" fillId="6" borderId="4" xfId="1" applyNumberFormat="1" applyFont="1" applyFill="1" applyBorder="1"/>
    <xf numFmtId="0" fontId="13" fillId="12" borderId="4" xfId="1" applyNumberFormat="1" applyFont="1" applyFill="1" applyBorder="1"/>
    <xf numFmtId="14" fontId="13" fillId="13" borderId="4" xfId="0" applyNumberFormat="1" applyFont="1" applyFill="1" applyBorder="1"/>
    <xf numFmtId="44" fontId="13" fillId="13" borderId="4" xfId="1" applyFont="1" applyFill="1" applyBorder="1"/>
    <xf numFmtId="0" fontId="13" fillId="13" borderId="4" xfId="1" applyNumberFormat="1" applyFont="1" applyFill="1" applyBorder="1"/>
    <xf numFmtId="44" fontId="13" fillId="14" borderId="4" xfId="1" applyFont="1" applyFill="1" applyBorder="1"/>
    <xf numFmtId="1" fontId="13" fillId="6" borderId="4" xfId="0" applyNumberFormat="1" applyFont="1" applyFill="1" applyBorder="1"/>
    <xf numFmtId="1" fontId="13" fillId="6" borderId="4" xfId="1" applyNumberFormat="1" applyFont="1" applyFill="1" applyBorder="1"/>
    <xf numFmtId="44" fontId="13" fillId="9" borderId="0" xfId="1" applyFont="1" applyFill="1"/>
    <xf numFmtId="0" fontId="13" fillId="6" borderId="9" xfId="0" applyFont="1" applyFill="1" applyBorder="1"/>
    <xf numFmtId="14" fontId="13" fillId="6" borderId="8" xfId="0" applyNumberFormat="1" applyFont="1" applyFill="1" applyBorder="1"/>
    <xf numFmtId="44" fontId="13" fillId="6" borderId="8" xfId="1" applyFont="1" applyFill="1" applyBorder="1"/>
    <xf numFmtId="1" fontId="13" fillId="6" borderId="8" xfId="1" applyNumberFormat="1" applyFont="1" applyFill="1" applyBorder="1"/>
    <xf numFmtId="14" fontId="13" fillId="15" borderId="4" xfId="0" applyNumberFormat="1" applyFont="1" applyFill="1" applyBorder="1"/>
    <xf numFmtId="44" fontId="13" fillId="15" borderId="4" xfId="1" applyFont="1" applyFill="1" applyBorder="1"/>
    <xf numFmtId="14" fontId="13" fillId="15" borderId="8" xfId="0" applyNumberFormat="1" applyFont="1" applyFill="1" applyBorder="1"/>
    <xf numFmtId="44" fontId="13" fillId="15" borderId="8" xfId="1" applyFont="1" applyFill="1" applyBorder="1"/>
    <xf numFmtId="0" fontId="13" fillId="15" borderId="5" xfId="0" applyFont="1" applyFill="1" applyBorder="1"/>
    <xf numFmtId="1" fontId="13" fillId="15" borderId="4" xfId="1" applyNumberFormat="1" applyFont="1" applyFill="1" applyBorder="1"/>
    <xf numFmtId="0" fontId="13" fillId="9" borderId="8" xfId="0" applyFont="1" applyFill="1" applyBorder="1"/>
    <xf numFmtId="14" fontId="13" fillId="9" borderId="8" xfId="0" applyNumberFormat="1" applyFont="1" applyFill="1" applyBorder="1"/>
    <xf numFmtId="1" fontId="13" fillId="9" borderId="0" xfId="1" applyNumberFormat="1" applyFont="1" applyFill="1"/>
    <xf numFmtId="0" fontId="13" fillId="16" borderId="5" xfId="0" applyFont="1" applyFill="1" applyBorder="1"/>
    <xf numFmtId="14" fontId="13" fillId="16" borderId="4" xfId="0" applyNumberFormat="1" applyFont="1" applyFill="1" applyBorder="1"/>
    <xf numFmtId="44" fontId="13" fillId="16" borderId="4" xfId="1" applyFont="1" applyFill="1" applyBorder="1"/>
    <xf numFmtId="1" fontId="13" fillId="16" borderId="4" xfId="0" applyNumberFormat="1" applyFont="1" applyFill="1" applyBorder="1"/>
    <xf numFmtId="1" fontId="13" fillId="16" borderId="4" xfId="1" applyNumberFormat="1" applyFont="1" applyFill="1" applyBorder="1"/>
    <xf numFmtId="14" fontId="13" fillId="0" borderId="4" xfId="0" applyNumberFormat="1" applyFont="1" applyBorder="1"/>
    <xf numFmtId="0" fontId="13" fillId="0" borderId="5" xfId="0" applyFont="1" applyBorder="1"/>
    <xf numFmtId="1" fontId="13" fillId="0" borderId="4" xfId="1" applyNumberFormat="1" applyFont="1" applyFill="1" applyBorder="1"/>
    <xf numFmtId="0" fontId="13" fillId="0" borderId="9" xfId="0" applyFont="1" applyBorder="1"/>
    <xf numFmtId="14" fontId="13" fillId="0" borderId="8" xfId="0" applyNumberFormat="1" applyFont="1" applyBorder="1"/>
    <xf numFmtId="44" fontId="13" fillId="0" borderId="8" xfId="1" applyFont="1" applyFill="1" applyBorder="1"/>
    <xf numFmtId="1" fontId="13" fillId="0" borderId="8" xfId="1" applyNumberFormat="1" applyFont="1" applyFill="1" applyBorder="1"/>
    <xf numFmtId="14" fontId="13" fillId="17" borderId="4" xfId="0" applyNumberFormat="1" applyFont="1" applyFill="1" applyBorder="1"/>
    <xf numFmtId="44" fontId="13" fillId="17" borderId="4" xfId="1" applyFont="1" applyFill="1" applyBorder="1"/>
    <xf numFmtId="1" fontId="13" fillId="17" borderId="4" xfId="1" applyNumberFormat="1" applyFont="1" applyFill="1" applyBorder="1"/>
    <xf numFmtId="166" fontId="13" fillId="6" borderId="4" xfId="1" applyNumberFormat="1" applyFont="1" applyFill="1" applyBorder="1"/>
    <xf numFmtId="0" fontId="13" fillId="18" borderId="5" xfId="0" applyFont="1" applyFill="1" applyBorder="1"/>
    <xf numFmtId="14" fontId="13" fillId="18" borderId="4" xfId="0" applyNumberFormat="1" applyFont="1" applyFill="1" applyBorder="1"/>
    <xf numFmtId="166" fontId="13" fillId="18" borderId="4" xfId="1" applyNumberFormat="1" applyFont="1" applyFill="1" applyBorder="1"/>
    <xf numFmtId="1" fontId="13" fillId="18" borderId="4" xfId="0" applyNumberFormat="1" applyFont="1" applyFill="1" applyBorder="1"/>
    <xf numFmtId="0" fontId="13" fillId="19" borderId="5" xfId="0" applyFont="1" applyFill="1" applyBorder="1"/>
    <xf numFmtId="14" fontId="13" fillId="19" borderId="4" xfId="0" applyNumberFormat="1" applyFont="1" applyFill="1" applyBorder="1"/>
    <xf numFmtId="166" fontId="13" fillId="19" borderId="4" xfId="1" applyNumberFormat="1" applyFont="1" applyFill="1" applyBorder="1"/>
    <xf numFmtId="1" fontId="13" fillId="19" borderId="4" xfId="1" applyNumberFormat="1" applyFont="1" applyFill="1" applyBorder="1"/>
    <xf numFmtId="14" fontId="13" fillId="20" borderId="4" xfId="0" applyNumberFormat="1" applyFont="1" applyFill="1" applyBorder="1"/>
    <xf numFmtId="0" fontId="13" fillId="20" borderId="5" xfId="0" applyFont="1" applyFill="1" applyBorder="1"/>
    <xf numFmtId="166" fontId="13" fillId="20" borderId="4" xfId="1" applyNumberFormat="1" applyFont="1" applyFill="1" applyBorder="1"/>
    <xf numFmtId="1" fontId="13" fillId="20" borderId="4" xfId="0" applyNumberFormat="1" applyFont="1" applyFill="1" applyBorder="1"/>
    <xf numFmtId="1" fontId="13" fillId="20" borderId="4" xfId="1" applyNumberFormat="1" applyFont="1" applyFill="1" applyBorder="1"/>
    <xf numFmtId="0" fontId="13" fillId="14" borderId="5" xfId="0" applyFont="1" applyFill="1" applyBorder="1"/>
    <xf numFmtId="14" fontId="13" fillId="14" borderId="4" xfId="0" applyNumberFormat="1" applyFont="1" applyFill="1" applyBorder="1"/>
    <xf numFmtId="166" fontId="13" fillId="14" borderId="4" xfId="1" applyNumberFormat="1" applyFont="1" applyFill="1" applyBorder="1"/>
    <xf numFmtId="1" fontId="13" fillId="14" borderId="4" xfId="0" applyNumberFormat="1" applyFont="1" applyFill="1" applyBorder="1"/>
    <xf numFmtId="0" fontId="15" fillId="14" borderId="5" xfId="0" applyFont="1" applyFill="1" applyBorder="1"/>
    <xf numFmtId="14" fontId="15" fillId="14" borderId="4" xfId="0" applyNumberFormat="1" applyFont="1" applyFill="1" applyBorder="1"/>
    <xf numFmtId="166" fontId="15" fillId="14" borderId="4" xfId="1" applyNumberFormat="1" applyFont="1" applyFill="1" applyBorder="1"/>
    <xf numFmtId="1" fontId="15" fillId="14" borderId="4" xfId="1" applyNumberFormat="1" applyFont="1" applyFill="1" applyBorder="1"/>
    <xf numFmtId="1" fontId="13" fillId="14" borderId="4" xfId="1" applyNumberFormat="1" applyFont="1" applyFill="1" applyBorder="1"/>
    <xf numFmtId="14" fontId="13" fillId="6" borderId="4" xfId="1" applyNumberFormat="1" applyFont="1" applyFill="1" applyBorder="1"/>
    <xf numFmtId="0" fontId="13" fillId="6" borderId="4" xfId="0" applyFont="1" applyFill="1" applyBorder="1" applyAlignment="1">
      <alignment horizontal="center"/>
    </xf>
    <xf numFmtId="44" fontId="13" fillId="0" borderId="4" xfId="1" applyFont="1" applyBorder="1"/>
    <xf numFmtId="14" fontId="13" fillId="0" borderId="0" xfId="0" applyNumberFormat="1" applyFont="1"/>
    <xf numFmtId="44" fontId="13" fillId="6" borderId="11" xfId="1" applyFont="1" applyFill="1" applyBorder="1"/>
    <xf numFmtId="44" fontId="13" fillId="0" borderId="0" xfId="1" applyFont="1"/>
    <xf numFmtId="44" fontId="13" fillId="14" borderId="0" xfId="1" applyFont="1" applyFill="1"/>
    <xf numFmtId="14" fontId="14" fillId="0" borderId="0" xfId="0" applyNumberFormat="1" applyFont="1"/>
    <xf numFmtId="0" fontId="0" fillId="6" borderId="0" xfId="0" applyFill="1"/>
    <xf numFmtId="44" fontId="0" fillId="6" borderId="13" xfId="1" applyFont="1" applyFill="1" applyBorder="1" applyAlignment="1"/>
    <xf numFmtId="44" fontId="0" fillId="6" borderId="15" xfId="1" applyFont="1" applyFill="1" applyBorder="1" applyAlignment="1"/>
    <xf numFmtId="44" fontId="0" fillId="6" borderId="0" xfId="1" applyFont="1" applyFill="1" applyBorder="1" applyAlignment="1"/>
    <xf numFmtId="44" fontId="0" fillId="6" borderId="16" xfId="1" applyFont="1" applyFill="1" applyBorder="1" applyAlignment="1"/>
    <xf numFmtId="44" fontId="0" fillId="6" borderId="7" xfId="1" applyFont="1" applyFill="1" applyBorder="1" applyAlignment="1"/>
    <xf numFmtId="44" fontId="0" fillId="6" borderId="12" xfId="1" applyFont="1" applyFill="1" applyBorder="1" applyAlignment="1"/>
    <xf numFmtId="44" fontId="0" fillId="6" borderId="17" xfId="1" applyFont="1" applyFill="1" applyBorder="1" applyAlignment="1"/>
    <xf numFmtId="44" fontId="0" fillId="6" borderId="6" xfId="1" applyFont="1" applyFill="1" applyBorder="1" applyAlignment="1"/>
    <xf numFmtId="44" fontId="0" fillId="6" borderId="0" xfId="1" applyFont="1" applyFill="1" applyAlignment="1"/>
    <xf numFmtId="0" fontId="0" fillId="0" borderId="0" xfId="0" applyFont="1"/>
    <xf numFmtId="14" fontId="5" fillId="6" borderId="9" xfId="0" applyNumberFormat="1" applyFont="1" applyFill="1" applyBorder="1" applyAlignment="1">
      <alignment horizontal="center"/>
    </xf>
    <xf numFmtId="0" fontId="19" fillId="0" borderId="12" xfId="0" applyFont="1" applyBorder="1"/>
    <xf numFmtId="0" fontId="5" fillId="6" borderId="12" xfId="0" applyFont="1" applyFill="1" applyBorder="1" applyAlignment="1">
      <alignment horizontal="center"/>
    </xf>
    <xf numFmtId="44" fontId="5" fillId="6" borderId="12" xfId="1" applyFont="1" applyFill="1" applyBorder="1" applyAlignment="1">
      <alignment horizontal="center"/>
    </xf>
    <xf numFmtId="44" fontId="5" fillId="6" borderId="13" xfId="1" applyFont="1" applyFill="1" applyBorder="1" applyAlignment="1">
      <alignment horizontal="center"/>
    </xf>
    <xf numFmtId="0" fontId="8" fillId="4" borderId="1" xfId="0" applyFont="1" applyFill="1" applyBorder="1" applyAlignment="1">
      <alignment horizontal="left" vertical="center"/>
    </xf>
    <xf numFmtId="0" fontId="5" fillId="6" borderId="14" xfId="0" applyFont="1" applyFill="1" applyBorder="1" applyAlignment="1">
      <alignment horizontal="center"/>
    </xf>
    <xf numFmtId="0" fontId="0" fillId="6" borderId="0" xfId="0" applyFont="1" applyFill="1"/>
    <xf numFmtId="0" fontId="19" fillId="6" borderId="0" xfId="0" applyFont="1" applyFill="1"/>
    <xf numFmtId="0" fontId="5" fillId="6" borderId="0" xfId="0" applyFont="1" applyFill="1" applyAlignment="1">
      <alignment horizontal="center"/>
    </xf>
    <xf numFmtId="0" fontId="19" fillId="0" borderId="0" xfId="0" applyFont="1"/>
    <xf numFmtId="44" fontId="5" fillId="6" borderId="0" xfId="1" applyFont="1" applyFill="1" applyBorder="1" applyAlignment="1">
      <alignment horizontal="center"/>
    </xf>
    <xf numFmtId="44" fontId="5" fillId="6" borderId="15" xfId="1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/>
    </xf>
    <xf numFmtId="0" fontId="19" fillId="6" borderId="12" xfId="0" applyFont="1" applyFill="1" applyBorder="1"/>
    <xf numFmtId="3" fontId="19" fillId="6" borderId="12" xfId="0" applyNumberFormat="1" applyFont="1" applyFill="1" applyBorder="1"/>
    <xf numFmtId="44" fontId="19" fillId="6" borderId="12" xfId="1" applyFont="1" applyFill="1" applyBorder="1" applyAlignment="1"/>
    <xf numFmtId="0" fontId="19" fillId="6" borderId="0" xfId="0" applyFont="1" applyFill="1" applyAlignment="1">
      <alignment horizontal="center" vertical="center" wrapText="1"/>
    </xf>
    <xf numFmtId="0" fontId="0" fillId="6" borderId="0" xfId="0" applyFont="1" applyFill="1" applyAlignment="1">
      <alignment horizontal="center"/>
    </xf>
    <xf numFmtId="44" fontId="19" fillId="6" borderId="0" xfId="1" applyFont="1" applyFill="1" applyBorder="1" applyAlignment="1"/>
    <xf numFmtId="3" fontId="19" fillId="6" borderId="0" xfId="0" applyNumberFormat="1" applyFont="1" applyFill="1"/>
    <xf numFmtId="0" fontId="19" fillId="6" borderId="16" xfId="0" applyFont="1" applyFill="1" applyBorder="1" applyAlignment="1">
      <alignment horizontal="center" vertical="center" wrapText="1"/>
    </xf>
    <xf numFmtId="0" fontId="0" fillId="6" borderId="16" xfId="0" applyFont="1" applyFill="1" applyBorder="1" applyAlignment="1">
      <alignment horizontal="center"/>
    </xf>
    <xf numFmtId="0" fontId="19" fillId="6" borderId="16" xfId="0" applyFont="1" applyFill="1" applyBorder="1"/>
    <xf numFmtId="0" fontId="0" fillId="6" borderId="16" xfId="0" applyFont="1" applyFill="1" applyBorder="1"/>
    <xf numFmtId="0" fontId="19" fillId="6" borderId="12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/>
    </xf>
    <xf numFmtId="0" fontId="0" fillId="6" borderId="12" xfId="0" applyFont="1" applyFill="1" applyBorder="1"/>
    <xf numFmtId="0" fontId="19" fillId="6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0" fontId="0" fillId="6" borderId="16" xfId="0" applyFont="1" applyFill="1" applyBorder="1" applyAlignment="1">
      <alignment horizontal="center" vertical="center"/>
    </xf>
    <xf numFmtId="14" fontId="0" fillId="6" borderId="5" xfId="0" applyNumberFormat="1" applyFont="1" applyFill="1" applyBorder="1"/>
    <xf numFmtId="0" fontId="19" fillId="6" borderId="17" xfId="0" applyFont="1" applyFill="1" applyBorder="1"/>
    <xf numFmtId="0" fontId="0" fillId="6" borderId="17" xfId="0" applyFont="1" applyFill="1" applyBorder="1" applyAlignment="1">
      <alignment horizontal="center"/>
    </xf>
    <xf numFmtId="0" fontId="0" fillId="6" borderId="17" xfId="0" applyFont="1" applyFill="1" applyBorder="1"/>
    <xf numFmtId="14" fontId="0" fillId="6" borderId="5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14" fontId="0" fillId="6" borderId="14" xfId="0" applyNumberFormat="1" applyFont="1" applyFill="1" applyBorder="1"/>
    <xf numFmtId="14" fontId="0" fillId="6" borderId="9" xfId="0" applyNumberFormat="1" applyFont="1" applyFill="1" applyBorder="1"/>
    <xf numFmtId="0" fontId="0" fillId="6" borderId="14" xfId="0" applyFont="1" applyFill="1" applyBorder="1"/>
    <xf numFmtId="0" fontId="0" fillId="6" borderId="3" xfId="0" applyFont="1" applyFill="1" applyBorder="1"/>
    <xf numFmtId="0" fontId="19" fillId="0" borderId="16" xfId="0" applyFont="1" applyBorder="1"/>
    <xf numFmtId="3" fontId="19" fillId="0" borderId="0" xfId="0" applyNumberFormat="1" applyFont="1"/>
    <xf numFmtId="0" fontId="21" fillId="8" borderId="12" xfId="0" applyFont="1" applyFill="1" applyBorder="1"/>
    <xf numFmtId="166" fontId="22" fillId="8" borderId="12" xfId="0" applyNumberFormat="1" applyFont="1" applyFill="1" applyBorder="1"/>
    <xf numFmtId="0" fontId="21" fillId="8" borderId="0" xfId="0" applyFont="1" applyFill="1"/>
    <xf numFmtId="166" fontId="22" fillId="8" borderId="0" xfId="0" applyNumberFormat="1" applyFont="1" applyFill="1"/>
    <xf numFmtId="0" fontId="21" fillId="8" borderId="16" xfId="0" applyFont="1" applyFill="1" applyBorder="1"/>
    <xf numFmtId="166" fontId="22" fillId="8" borderId="16" xfId="0" applyNumberFormat="1" applyFont="1" applyFill="1" applyBorder="1"/>
    <xf numFmtId="14" fontId="0" fillId="6" borderId="0" xfId="0" applyNumberFormat="1" applyFont="1" applyFill="1"/>
    <xf numFmtId="14" fontId="0" fillId="6" borderId="3" xfId="0" applyNumberFormat="1" applyFont="1" applyFill="1" applyBorder="1"/>
    <xf numFmtId="0" fontId="19" fillId="0" borderId="17" xfId="0" applyFont="1" applyBorder="1"/>
    <xf numFmtId="1" fontId="19" fillId="0" borderId="12" xfId="0" applyNumberFormat="1" applyFont="1" applyBorder="1"/>
    <xf numFmtId="1" fontId="19" fillId="0" borderId="17" xfId="0" applyNumberFormat="1" applyFont="1" applyBorder="1"/>
    <xf numFmtId="0" fontId="0" fillId="6" borderId="0" xfId="0" applyFont="1" applyFill="1" applyBorder="1"/>
    <xf numFmtId="0" fontId="19" fillId="6" borderId="0" xfId="0" applyFont="1" applyFill="1" applyBorder="1"/>
    <xf numFmtId="0" fontId="0" fillId="6" borderId="0" xfId="0" applyFont="1" applyFill="1" applyBorder="1" applyAlignment="1">
      <alignment horizontal="center"/>
    </xf>
    <xf numFmtId="0" fontId="19" fillId="0" borderId="0" xfId="0" applyFont="1" applyBorder="1"/>
    <xf numFmtId="0" fontId="21" fillId="8" borderId="0" xfId="0" applyFont="1" applyFill="1" applyBorder="1"/>
    <xf numFmtId="166" fontId="22" fillId="8" borderId="0" xfId="0" applyNumberFormat="1" applyFont="1" applyFill="1" applyBorder="1"/>
    <xf numFmtId="1" fontId="19" fillId="0" borderId="0" xfId="0" applyNumberFormat="1" applyFont="1"/>
    <xf numFmtId="166" fontId="22" fillId="8" borderId="17" xfId="0" applyNumberFormat="1" applyFont="1" applyFill="1" applyBorder="1"/>
    <xf numFmtId="1" fontId="19" fillId="0" borderId="16" xfId="0" applyNumberFormat="1" applyFont="1" applyBorder="1"/>
    <xf numFmtId="0" fontId="17" fillId="22" borderId="0" xfId="0" applyFont="1" applyFill="1" applyAlignment="1">
      <alignment horizontal="center"/>
    </xf>
    <xf numFmtId="44" fontId="17" fillId="22" borderId="0" xfId="1" applyFont="1" applyFill="1" applyAlignment="1">
      <alignment horizontal="center"/>
    </xf>
    <xf numFmtId="44" fontId="0" fillId="6" borderId="19" xfId="1" applyFont="1" applyFill="1" applyBorder="1"/>
    <xf numFmtId="0" fontId="0" fillId="6" borderId="19" xfId="0" applyFill="1" applyBorder="1"/>
    <xf numFmtId="44" fontId="0" fillId="6" borderId="20" xfId="1" applyFont="1" applyFill="1" applyBorder="1"/>
    <xf numFmtId="44" fontId="0" fillId="6" borderId="22" xfId="1" applyFont="1" applyFill="1" applyBorder="1"/>
    <xf numFmtId="0" fontId="0" fillId="6" borderId="22" xfId="0" applyFill="1" applyBorder="1"/>
    <xf numFmtId="44" fontId="0" fillId="6" borderId="23" xfId="1" applyFont="1" applyFill="1" applyBorder="1"/>
    <xf numFmtId="14" fontId="0" fillId="6" borderId="27" xfId="0" applyNumberForma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4" fontId="0" fillId="6" borderId="29" xfId="0" applyNumberForma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44" fontId="0" fillId="6" borderId="0" xfId="1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2" fillId="2" borderId="0" xfId="0" applyFont="1" applyFill="1" applyAlignment="1">
      <alignment horizontal="center" vertical="center"/>
    </xf>
    <xf numFmtId="0" fontId="13" fillId="0" borderId="0" xfId="0" applyFont="1"/>
    <xf numFmtId="14" fontId="5" fillId="21" borderId="5" xfId="0" applyNumberFormat="1" applyFont="1" applyFill="1" applyBorder="1" applyAlignment="1">
      <alignment horizontal="center" vertical="center"/>
    </xf>
    <xf numFmtId="14" fontId="5" fillId="21" borderId="17" xfId="0" applyNumberFormat="1" applyFont="1" applyFill="1" applyBorder="1" applyAlignment="1">
      <alignment horizontal="center" vertical="center"/>
    </xf>
    <xf numFmtId="14" fontId="5" fillId="21" borderId="6" xfId="0" applyNumberFormat="1" applyFont="1" applyFill="1" applyBorder="1" applyAlignment="1">
      <alignment horizontal="center" vertical="center"/>
    </xf>
    <xf numFmtId="16" fontId="0" fillId="6" borderId="9" xfId="0" applyNumberFormat="1" applyFont="1" applyFill="1" applyBorder="1" applyAlignment="1">
      <alignment horizontal="center" vertical="center"/>
    </xf>
    <xf numFmtId="16" fontId="0" fillId="6" borderId="14" xfId="0" applyNumberFormat="1" applyFont="1" applyFill="1" applyBorder="1" applyAlignment="1">
      <alignment horizontal="center" vertical="center"/>
    </xf>
    <xf numFmtId="16" fontId="0" fillId="6" borderId="3" xfId="0" applyNumberFormat="1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9" fillId="6" borderId="16" xfId="0" applyFont="1" applyFill="1" applyBorder="1" applyAlignment="1">
      <alignment horizontal="center" vertical="center"/>
    </xf>
    <xf numFmtId="14" fontId="0" fillId="6" borderId="9" xfId="0" applyNumberFormat="1" applyFont="1" applyFill="1" applyBorder="1" applyAlignment="1">
      <alignment horizontal="center" vertical="center"/>
    </xf>
    <xf numFmtId="14" fontId="0" fillId="6" borderId="14" xfId="0" applyNumberFormat="1" applyFont="1" applyFill="1" applyBorder="1" applyAlignment="1">
      <alignment horizontal="center" vertical="center"/>
    </xf>
    <xf numFmtId="14" fontId="0" fillId="6" borderId="3" xfId="0" applyNumberFormat="1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6" borderId="16" xfId="0" applyFont="1" applyFill="1" applyBorder="1" applyAlignment="1">
      <alignment horizontal="center" vertical="center" wrapText="1"/>
    </xf>
    <xf numFmtId="14" fontId="0" fillId="6" borderId="9" xfId="0" applyNumberFormat="1" applyFont="1" applyFill="1" applyBorder="1" applyAlignment="1">
      <alignment horizontal="center" vertical="center" wrapText="1"/>
    </xf>
    <xf numFmtId="14" fontId="0" fillId="6" borderId="14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14" fontId="0" fillId="21" borderId="5" xfId="0" applyNumberFormat="1" applyFont="1" applyFill="1" applyBorder="1" applyAlignment="1">
      <alignment horizontal="center" vertical="center"/>
    </xf>
    <xf numFmtId="14" fontId="0" fillId="21" borderId="17" xfId="0" applyNumberFormat="1" applyFont="1" applyFill="1" applyBorder="1" applyAlignment="1">
      <alignment horizontal="center" vertical="center"/>
    </xf>
    <xf numFmtId="14" fontId="0" fillId="21" borderId="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Font="1"/>
    <xf numFmtId="0" fontId="0" fillId="6" borderId="14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6" borderId="16" xfId="0" applyFont="1" applyFill="1" applyBorder="1" applyAlignment="1">
      <alignment horizontal="center" vertical="center"/>
    </xf>
    <xf numFmtId="14" fontId="0" fillId="6" borderId="27" xfId="0" applyNumberFormat="1" applyFill="1" applyBorder="1" applyAlignment="1">
      <alignment horizontal="center" vertical="center"/>
    </xf>
    <xf numFmtId="14" fontId="0" fillId="6" borderId="29" xfId="0" applyNumberForma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4" fontId="17" fillId="22" borderId="24" xfId="0" applyNumberFormat="1" applyFont="1" applyFill="1" applyBorder="1" applyAlignment="1">
      <alignment horizontal="center" vertical="center"/>
    </xf>
    <xf numFmtId="14" fontId="17" fillId="22" borderId="25" xfId="0" applyNumberFormat="1" applyFont="1" applyFill="1" applyBorder="1" applyAlignment="1">
      <alignment horizontal="center" vertical="center"/>
    </xf>
    <xf numFmtId="14" fontId="17" fillId="22" borderId="26" xfId="0" applyNumberFormat="1" applyFont="1" applyFill="1" applyBorder="1" applyAlignment="1">
      <alignment horizontal="center" vertical="center"/>
    </xf>
    <xf numFmtId="14" fontId="0" fillId="6" borderId="18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dielei1788@gmail.com" TargetMode="External"/><Relationship Id="rId299" Type="http://schemas.openxmlformats.org/officeDocument/2006/relationships/hyperlink" Target="mailto:keqsmuv@hotmail.com" TargetMode="External"/><Relationship Id="rId21" Type="http://schemas.openxmlformats.org/officeDocument/2006/relationships/hyperlink" Target="mailto:garnicamabe@gmail.com" TargetMode="External"/><Relationship Id="rId63" Type="http://schemas.openxmlformats.org/officeDocument/2006/relationships/hyperlink" Target="mailto:monihervi@gmail.com" TargetMode="External"/><Relationship Id="rId159" Type="http://schemas.openxmlformats.org/officeDocument/2006/relationships/hyperlink" Target="mailto:tipansanchez.pn@gmail.com" TargetMode="External"/><Relationship Id="rId324" Type="http://schemas.openxmlformats.org/officeDocument/2006/relationships/hyperlink" Target="mailto:nbonifazm@outlook.com" TargetMode="External"/><Relationship Id="rId366" Type="http://schemas.openxmlformats.org/officeDocument/2006/relationships/hyperlink" Target="mailto:vir_74@hotmail.com" TargetMode="External"/><Relationship Id="rId170" Type="http://schemas.openxmlformats.org/officeDocument/2006/relationships/hyperlink" Target="mailto:abbiejeje@gmail.com" TargetMode="External"/><Relationship Id="rId226" Type="http://schemas.openxmlformats.org/officeDocument/2006/relationships/hyperlink" Target="mailto:diel1788@gmail.com" TargetMode="External"/><Relationship Id="rId268" Type="http://schemas.openxmlformats.org/officeDocument/2006/relationships/hyperlink" Target="mailto:aishapesantez@gmail.com" TargetMode="External"/><Relationship Id="rId32" Type="http://schemas.openxmlformats.org/officeDocument/2006/relationships/hyperlink" Target="mailto:snaranjo@hotmail.com" TargetMode="External"/><Relationship Id="rId74" Type="http://schemas.openxmlformats.org/officeDocument/2006/relationships/hyperlink" Target="mailto:lolo20251980@otloor.com" TargetMode="External"/><Relationship Id="rId128" Type="http://schemas.openxmlformats.org/officeDocument/2006/relationships/hyperlink" Target="mailto:aanavarretey@hotmail.com" TargetMode="External"/><Relationship Id="rId335" Type="http://schemas.openxmlformats.org/officeDocument/2006/relationships/hyperlink" Target="mailto:lesslielopez2304@gmail.com" TargetMode="External"/><Relationship Id="rId377" Type="http://schemas.openxmlformats.org/officeDocument/2006/relationships/hyperlink" Target="mailto:paureyes0306@gmail.com" TargetMode="External"/><Relationship Id="rId5" Type="http://schemas.openxmlformats.org/officeDocument/2006/relationships/hyperlink" Target="mailto:jan.ce46@hotmail.com" TargetMode="External"/><Relationship Id="rId181" Type="http://schemas.openxmlformats.org/officeDocument/2006/relationships/hyperlink" Target="mailto:carla.sandoval92@gmail.com" TargetMode="External"/><Relationship Id="rId237" Type="http://schemas.openxmlformats.org/officeDocument/2006/relationships/hyperlink" Target="mailto:jd79ehg@hotmail.com" TargetMode="External"/><Relationship Id="rId279" Type="http://schemas.openxmlformats.org/officeDocument/2006/relationships/hyperlink" Target="mailto:ge.nozz@hotmail.com" TargetMode="External"/><Relationship Id="rId43" Type="http://schemas.openxmlformats.org/officeDocument/2006/relationships/hyperlink" Target="mailto:fpacota18@hotmail.com" TargetMode="External"/><Relationship Id="rId139" Type="http://schemas.openxmlformats.org/officeDocument/2006/relationships/hyperlink" Target="mailto:paola1985_amu@gmail.com" TargetMode="External"/><Relationship Id="rId290" Type="http://schemas.openxmlformats.org/officeDocument/2006/relationships/hyperlink" Target="mailto:kiakely@hotmail.com" TargetMode="External"/><Relationship Id="rId304" Type="http://schemas.openxmlformats.org/officeDocument/2006/relationships/hyperlink" Target="mailto:esthelavargasi52@gmail.com" TargetMode="External"/><Relationship Id="rId346" Type="http://schemas.openxmlformats.org/officeDocument/2006/relationships/hyperlink" Target="mailto:milton.aguas@gmai.com" TargetMode="External"/><Relationship Id="rId388" Type="http://schemas.openxmlformats.org/officeDocument/2006/relationships/hyperlink" Target="mailto:lucia_qc@hotmail.com" TargetMode="External"/><Relationship Id="rId85" Type="http://schemas.openxmlformats.org/officeDocument/2006/relationships/hyperlink" Target="mailto:stefimil89@hotmail.com" TargetMode="External"/><Relationship Id="rId150" Type="http://schemas.openxmlformats.org/officeDocument/2006/relationships/hyperlink" Target="mailto:mariana_2192@hotmail,com" TargetMode="External"/><Relationship Id="rId192" Type="http://schemas.openxmlformats.org/officeDocument/2006/relationships/hyperlink" Target="mailto:jrv_1618@hotmail.com" TargetMode="External"/><Relationship Id="rId206" Type="http://schemas.openxmlformats.org/officeDocument/2006/relationships/hyperlink" Target="mailto:carlospovedam@yahoo.com" TargetMode="External"/><Relationship Id="rId248" Type="http://schemas.openxmlformats.org/officeDocument/2006/relationships/hyperlink" Target="mailto:susanasuarez@hotmail.com" TargetMode="External"/><Relationship Id="rId12" Type="http://schemas.openxmlformats.org/officeDocument/2006/relationships/hyperlink" Target="mailto:nyleveagb@yahoo.es" TargetMode="External"/><Relationship Id="rId108" Type="http://schemas.openxmlformats.org/officeDocument/2006/relationships/hyperlink" Target="mailto:sacosta.flor@gmail.com" TargetMode="External"/><Relationship Id="rId315" Type="http://schemas.openxmlformats.org/officeDocument/2006/relationships/hyperlink" Target="mailto:andreae.pardo@gmail.com" TargetMode="External"/><Relationship Id="rId357" Type="http://schemas.openxmlformats.org/officeDocument/2006/relationships/hyperlink" Target="mailto:micaelasalinasu@gmail.com" TargetMode="External"/><Relationship Id="rId54" Type="http://schemas.openxmlformats.org/officeDocument/2006/relationships/hyperlink" Target="mailto:tgaibor1@hotmail.com" TargetMode="External"/><Relationship Id="rId96" Type="http://schemas.openxmlformats.org/officeDocument/2006/relationships/hyperlink" Target="mailto:maga558@hotmail.com" TargetMode="External"/><Relationship Id="rId161" Type="http://schemas.openxmlformats.org/officeDocument/2006/relationships/hyperlink" Target="mailto:tipansanchez.pn@gmail.com" TargetMode="External"/><Relationship Id="rId217" Type="http://schemas.openxmlformats.org/officeDocument/2006/relationships/hyperlink" Target="mailto:maritza_izurieta@hotmail.com" TargetMode="External"/><Relationship Id="rId259" Type="http://schemas.openxmlformats.org/officeDocument/2006/relationships/hyperlink" Target="mailto:monigoteja123@gmail.com" TargetMode="External"/><Relationship Id="rId23" Type="http://schemas.openxmlformats.org/officeDocument/2006/relationships/hyperlink" Target="mailto:angelita.silviaro@gmail.com" TargetMode="External"/><Relationship Id="rId119" Type="http://schemas.openxmlformats.org/officeDocument/2006/relationships/hyperlink" Target="mailto:patty.ale88@hotmail.com" TargetMode="External"/><Relationship Id="rId270" Type="http://schemas.openxmlformats.org/officeDocument/2006/relationships/hyperlink" Target="mailto:gagaad@gmail.com" TargetMode="External"/><Relationship Id="rId326" Type="http://schemas.openxmlformats.org/officeDocument/2006/relationships/hyperlink" Target="mailto:anar.sanchez@hotmail.com" TargetMode="External"/><Relationship Id="rId65" Type="http://schemas.openxmlformats.org/officeDocument/2006/relationships/hyperlink" Target="mailto:majorosero@gmail.com" TargetMode="External"/><Relationship Id="rId130" Type="http://schemas.openxmlformats.org/officeDocument/2006/relationships/hyperlink" Target="mailto:stefanyfer90@gmail.com" TargetMode="External"/><Relationship Id="rId368" Type="http://schemas.openxmlformats.org/officeDocument/2006/relationships/hyperlink" Target="mailto:keqsmuu@hotmail.com" TargetMode="External"/><Relationship Id="rId172" Type="http://schemas.openxmlformats.org/officeDocument/2006/relationships/hyperlink" Target="mailto:crissespin@gmail.com" TargetMode="External"/><Relationship Id="rId228" Type="http://schemas.openxmlformats.org/officeDocument/2006/relationships/hyperlink" Target="mailto:diel1788@gmail.com" TargetMode="External"/><Relationship Id="rId281" Type="http://schemas.openxmlformats.org/officeDocument/2006/relationships/hyperlink" Target="mailto:gabrielacuasapazp@gmail,com" TargetMode="External"/><Relationship Id="rId337" Type="http://schemas.openxmlformats.org/officeDocument/2006/relationships/hyperlink" Target="mailto:pablonicolas.06@hotmail.com" TargetMode="External"/><Relationship Id="rId34" Type="http://schemas.openxmlformats.org/officeDocument/2006/relationships/hyperlink" Target="mailto:muchelle-puga@hotmail.com" TargetMode="External"/><Relationship Id="rId76" Type="http://schemas.openxmlformats.org/officeDocument/2006/relationships/hyperlink" Target="mailto:andreanuques@hotmail.com" TargetMode="External"/><Relationship Id="rId141" Type="http://schemas.openxmlformats.org/officeDocument/2006/relationships/hyperlink" Target="mailto:andreae.pardoch@gmail.com" TargetMode="External"/><Relationship Id="rId379" Type="http://schemas.openxmlformats.org/officeDocument/2006/relationships/hyperlink" Target="mailto:silviaiturralde1977@gmail.com" TargetMode="External"/><Relationship Id="rId7" Type="http://schemas.openxmlformats.org/officeDocument/2006/relationships/hyperlink" Target="mailto:jan.ce46@hotmail.com" TargetMode="External"/><Relationship Id="rId183" Type="http://schemas.openxmlformats.org/officeDocument/2006/relationships/hyperlink" Target="mailto:angelita.silviaro@gmail.com" TargetMode="External"/><Relationship Id="rId239" Type="http://schemas.openxmlformats.org/officeDocument/2006/relationships/hyperlink" Target="mailto:priscilamerino84@hotmail.com" TargetMode="External"/><Relationship Id="rId390" Type="http://schemas.openxmlformats.org/officeDocument/2006/relationships/hyperlink" Target="mailto:arianna101899@outlok.ec" TargetMode="External"/><Relationship Id="rId250" Type="http://schemas.openxmlformats.org/officeDocument/2006/relationships/hyperlink" Target="mailto:gagaad@gmail.com" TargetMode="External"/><Relationship Id="rId292" Type="http://schemas.openxmlformats.org/officeDocument/2006/relationships/hyperlink" Target="mailto:carolinavallejo.ac@gmail.com" TargetMode="External"/><Relationship Id="rId306" Type="http://schemas.openxmlformats.org/officeDocument/2006/relationships/hyperlink" Target="mailto:paulyespin@hotmail.com" TargetMode="External"/><Relationship Id="rId45" Type="http://schemas.openxmlformats.org/officeDocument/2006/relationships/hyperlink" Target="mailto:crispe@gmail.com" TargetMode="External"/><Relationship Id="rId87" Type="http://schemas.openxmlformats.org/officeDocument/2006/relationships/hyperlink" Target="mailto:emilia251997@hotmail.com" TargetMode="External"/><Relationship Id="rId110" Type="http://schemas.openxmlformats.org/officeDocument/2006/relationships/hyperlink" Target="mailto:kikibelen@gmail.com" TargetMode="External"/><Relationship Id="rId348" Type="http://schemas.openxmlformats.org/officeDocument/2006/relationships/hyperlink" Target="mailto:tania.chiribogah@gmail.com" TargetMode="External"/><Relationship Id="rId152" Type="http://schemas.openxmlformats.org/officeDocument/2006/relationships/hyperlink" Target="mailto:karen777eliza@hotmail.com" TargetMode="External"/><Relationship Id="rId194" Type="http://schemas.openxmlformats.org/officeDocument/2006/relationships/hyperlink" Target="mailto:kro16_87@hotmail.com" TargetMode="External"/><Relationship Id="rId208" Type="http://schemas.openxmlformats.org/officeDocument/2006/relationships/hyperlink" Target="mailto:anabelzambrano91@gmail.com" TargetMode="External"/><Relationship Id="rId261" Type="http://schemas.openxmlformats.org/officeDocument/2006/relationships/hyperlink" Target="mailto:majitocruzt@gmail.com" TargetMode="External"/><Relationship Id="rId14" Type="http://schemas.openxmlformats.org/officeDocument/2006/relationships/hyperlink" Target="mailto:maverom_25@hotmail.com" TargetMode="External"/><Relationship Id="rId56" Type="http://schemas.openxmlformats.org/officeDocument/2006/relationships/hyperlink" Target="mailto:tgaibor1@hotmail.com" TargetMode="External"/><Relationship Id="rId317" Type="http://schemas.openxmlformats.org/officeDocument/2006/relationships/hyperlink" Target="mailto:verolunita@yahoo.com" TargetMode="External"/><Relationship Id="rId359" Type="http://schemas.openxmlformats.org/officeDocument/2006/relationships/hyperlink" Target="mailto:mbelencarpio@hotmail.com" TargetMode="External"/><Relationship Id="rId98" Type="http://schemas.openxmlformats.org/officeDocument/2006/relationships/hyperlink" Target="mailto:mickyponce18@hotmail.com" TargetMode="External"/><Relationship Id="rId121" Type="http://schemas.openxmlformats.org/officeDocument/2006/relationships/hyperlink" Target="mailto:car-ale-br@hotmail.com" TargetMode="External"/><Relationship Id="rId163" Type="http://schemas.openxmlformats.org/officeDocument/2006/relationships/hyperlink" Target="mailto:mayicienta@hotmail.com" TargetMode="External"/><Relationship Id="rId219" Type="http://schemas.openxmlformats.org/officeDocument/2006/relationships/hyperlink" Target="mailto:nbonifazm@outcook.com" TargetMode="External"/><Relationship Id="rId370" Type="http://schemas.openxmlformats.org/officeDocument/2006/relationships/hyperlink" Target="mailto:betty.vergaram@gmail.com" TargetMode="External"/><Relationship Id="rId230" Type="http://schemas.openxmlformats.org/officeDocument/2006/relationships/hyperlink" Target="mailto:soniaelax@hotmail.com" TargetMode="External"/><Relationship Id="rId25" Type="http://schemas.openxmlformats.org/officeDocument/2006/relationships/hyperlink" Target="mailto:werazo29@hotmail-c0m" TargetMode="External"/><Relationship Id="rId67" Type="http://schemas.openxmlformats.org/officeDocument/2006/relationships/hyperlink" Target="mailto:valeriaguirre2000@hotmail.com" TargetMode="External"/><Relationship Id="rId272" Type="http://schemas.openxmlformats.org/officeDocument/2006/relationships/hyperlink" Target="mailto:adriana.yugsi@gmail.com" TargetMode="External"/><Relationship Id="rId328" Type="http://schemas.openxmlformats.org/officeDocument/2006/relationships/hyperlink" Target="mailto:anar.sanchez@hotmail.com" TargetMode="External"/><Relationship Id="rId132" Type="http://schemas.openxmlformats.org/officeDocument/2006/relationships/hyperlink" Target="mailto:majoroseroe1@gmail.com" TargetMode="External"/><Relationship Id="rId174" Type="http://schemas.openxmlformats.org/officeDocument/2006/relationships/hyperlink" Target="mailto:mafer-reyes@hotmail.ec" TargetMode="External"/><Relationship Id="rId381" Type="http://schemas.openxmlformats.org/officeDocument/2006/relationships/hyperlink" Target="mailto:archiguamanzara@gmail.com" TargetMode="External"/><Relationship Id="rId241" Type="http://schemas.openxmlformats.org/officeDocument/2006/relationships/hyperlink" Target="mailto:kro16-87@hotmail.com" TargetMode="External"/><Relationship Id="rId36" Type="http://schemas.openxmlformats.org/officeDocument/2006/relationships/hyperlink" Target="mailto:vivi.narvaez8@gmail.com" TargetMode="External"/><Relationship Id="rId283" Type="http://schemas.openxmlformats.org/officeDocument/2006/relationships/hyperlink" Target="mailto:doris.almeida.o@gmail.com" TargetMode="External"/><Relationship Id="rId339" Type="http://schemas.openxmlformats.org/officeDocument/2006/relationships/hyperlink" Target="mailto:josserivera2408@gmail.com" TargetMode="External"/><Relationship Id="rId78" Type="http://schemas.openxmlformats.org/officeDocument/2006/relationships/hyperlink" Target="mailto:camilie.nunez3@gmail.com" TargetMode="External"/><Relationship Id="rId101" Type="http://schemas.openxmlformats.org/officeDocument/2006/relationships/hyperlink" Target="mailto:sandypoma777@hotmail.com" TargetMode="External"/><Relationship Id="rId143" Type="http://schemas.openxmlformats.org/officeDocument/2006/relationships/hyperlink" Target="mailto:andreae.pardoch@gmail.com" TargetMode="External"/><Relationship Id="rId185" Type="http://schemas.openxmlformats.org/officeDocument/2006/relationships/hyperlink" Target="mailto:verjo79@hotmail.com" TargetMode="External"/><Relationship Id="rId350" Type="http://schemas.openxmlformats.org/officeDocument/2006/relationships/hyperlink" Target="mailto:nut.alegriabaez@gmail.com" TargetMode="External"/><Relationship Id="rId9" Type="http://schemas.openxmlformats.org/officeDocument/2006/relationships/hyperlink" Target="mailto:uvcalahorrano@hotmail.com" TargetMode="External"/><Relationship Id="rId210" Type="http://schemas.openxmlformats.org/officeDocument/2006/relationships/hyperlink" Target="mailto:anabelzambrano91@gmail.com" TargetMode="External"/><Relationship Id="rId392" Type="http://schemas.openxmlformats.org/officeDocument/2006/relationships/hyperlink" Target="mailto:alexandra.abandiano@gmail.com" TargetMode="External"/><Relationship Id="rId252" Type="http://schemas.openxmlformats.org/officeDocument/2006/relationships/hyperlink" Target="mailto:loremoncayo08@gmail.com" TargetMode="External"/><Relationship Id="rId294" Type="http://schemas.openxmlformats.org/officeDocument/2006/relationships/hyperlink" Target="mailto:majovasquez@gmail.com" TargetMode="External"/><Relationship Id="rId308" Type="http://schemas.openxmlformats.org/officeDocument/2006/relationships/hyperlink" Target="mailto:latama2001@yohoo.es" TargetMode="External"/><Relationship Id="rId47" Type="http://schemas.openxmlformats.org/officeDocument/2006/relationships/hyperlink" Target="mailto:crispe@gmail.com" TargetMode="External"/><Relationship Id="rId89" Type="http://schemas.openxmlformats.org/officeDocument/2006/relationships/hyperlink" Target="mailto:andreae.pardoch@gmail.com" TargetMode="External"/><Relationship Id="rId112" Type="http://schemas.openxmlformats.org/officeDocument/2006/relationships/hyperlink" Target="mailto:kro16-87@hotmail.com" TargetMode="External"/><Relationship Id="rId154" Type="http://schemas.openxmlformats.org/officeDocument/2006/relationships/hyperlink" Target="mailto:franchi694@gmail.com" TargetMode="External"/><Relationship Id="rId361" Type="http://schemas.openxmlformats.org/officeDocument/2006/relationships/hyperlink" Target="mailto:andreae.pardoch@gmail.com" TargetMode="External"/><Relationship Id="rId196" Type="http://schemas.openxmlformats.org/officeDocument/2006/relationships/hyperlink" Target="mailto:pamela.acosta.pazmino@gmail.com" TargetMode="External"/><Relationship Id="rId16" Type="http://schemas.openxmlformats.org/officeDocument/2006/relationships/hyperlink" Target="mailto:dieli1788@gmail.com" TargetMode="External"/><Relationship Id="rId221" Type="http://schemas.openxmlformats.org/officeDocument/2006/relationships/hyperlink" Target="mailto:angelita.silviaro@gmail.com" TargetMode="External"/><Relationship Id="rId242" Type="http://schemas.openxmlformats.org/officeDocument/2006/relationships/hyperlink" Target="mailto:paola_valencia19@hotmail.com" TargetMode="External"/><Relationship Id="rId263" Type="http://schemas.openxmlformats.org/officeDocument/2006/relationships/hyperlink" Target="mailto:sp.galindoh@gmail.com" TargetMode="External"/><Relationship Id="rId284" Type="http://schemas.openxmlformats.org/officeDocument/2006/relationships/hyperlink" Target="mailto:ericka-poveda.lugo@hotmail.com" TargetMode="External"/><Relationship Id="rId319" Type="http://schemas.openxmlformats.org/officeDocument/2006/relationships/hyperlink" Target="mailto:ic5988883@gmail.com" TargetMode="External"/><Relationship Id="rId37" Type="http://schemas.openxmlformats.org/officeDocument/2006/relationships/hyperlink" Target="mailto:vivi.narvaez8@gmail.com" TargetMode="External"/><Relationship Id="rId58" Type="http://schemas.openxmlformats.org/officeDocument/2006/relationships/hyperlink" Target="mailto:nchllOrbe@gmail.com" TargetMode="External"/><Relationship Id="rId79" Type="http://schemas.openxmlformats.org/officeDocument/2006/relationships/hyperlink" Target="mailto:abg.mendoza@gmail.com" TargetMode="External"/><Relationship Id="rId102" Type="http://schemas.openxmlformats.org/officeDocument/2006/relationships/hyperlink" Target="mailto:helragba@yahoo.com" TargetMode="External"/><Relationship Id="rId123" Type="http://schemas.openxmlformats.org/officeDocument/2006/relationships/hyperlink" Target="mailto:SAMMY@HOTMAIL.ES" TargetMode="External"/><Relationship Id="rId144" Type="http://schemas.openxmlformats.org/officeDocument/2006/relationships/hyperlink" Target="mailto:andreae.pardoch@gmail.com" TargetMode="External"/><Relationship Id="rId330" Type="http://schemas.openxmlformats.org/officeDocument/2006/relationships/hyperlink" Target="mailto:amanda.palacios16@gmail.com" TargetMode="External"/><Relationship Id="rId90" Type="http://schemas.openxmlformats.org/officeDocument/2006/relationships/hyperlink" Target="mailto:andreae.pardoch@gmail.com" TargetMode="External"/><Relationship Id="rId165" Type="http://schemas.openxmlformats.org/officeDocument/2006/relationships/hyperlink" Target="mailto:nbonifazm@outcook.com" TargetMode="External"/><Relationship Id="rId186" Type="http://schemas.openxmlformats.org/officeDocument/2006/relationships/hyperlink" Target="mailto:dianakburbano@outlook.com" TargetMode="External"/><Relationship Id="rId351" Type="http://schemas.openxmlformats.org/officeDocument/2006/relationships/hyperlink" Target="mailto:dianakburbano@outlook.com" TargetMode="External"/><Relationship Id="rId372" Type="http://schemas.openxmlformats.org/officeDocument/2006/relationships/hyperlink" Target="mailto:mariana_2192@hotmail.com" TargetMode="External"/><Relationship Id="rId393" Type="http://schemas.openxmlformats.org/officeDocument/2006/relationships/printerSettings" Target="../printerSettings/printerSettings1.bin"/><Relationship Id="rId211" Type="http://schemas.openxmlformats.org/officeDocument/2006/relationships/hyperlink" Target="mailto:stefi.espinosa@hotmail.com" TargetMode="External"/><Relationship Id="rId232" Type="http://schemas.openxmlformats.org/officeDocument/2006/relationships/hyperlink" Target="mailto:soniaortiz_mz@yahoo.com" TargetMode="External"/><Relationship Id="rId253" Type="http://schemas.openxmlformats.org/officeDocument/2006/relationships/hyperlink" Target="mailto:valeria_guillota97@hotmail.com" TargetMode="External"/><Relationship Id="rId274" Type="http://schemas.openxmlformats.org/officeDocument/2006/relationships/hyperlink" Target="mailto:sandosmonterobetty@gmail.com" TargetMode="External"/><Relationship Id="rId295" Type="http://schemas.openxmlformats.org/officeDocument/2006/relationships/hyperlink" Target="mailto:karjacquel696@gmail.com" TargetMode="External"/><Relationship Id="rId309" Type="http://schemas.openxmlformats.org/officeDocument/2006/relationships/hyperlink" Target="mailto:tstradaioli@gmail.com" TargetMode="External"/><Relationship Id="rId27" Type="http://schemas.openxmlformats.org/officeDocument/2006/relationships/hyperlink" Target="mailto:yaguagallo@gmail.com" TargetMode="External"/><Relationship Id="rId48" Type="http://schemas.openxmlformats.org/officeDocument/2006/relationships/hyperlink" Target="mailto:crispe@gmail.com" TargetMode="External"/><Relationship Id="rId69" Type="http://schemas.openxmlformats.org/officeDocument/2006/relationships/hyperlink" Target="mailto:vanecls2810@gmail.com" TargetMode="External"/><Relationship Id="rId113" Type="http://schemas.openxmlformats.org/officeDocument/2006/relationships/hyperlink" Target="mailto:mell0630@hotmail.com" TargetMode="External"/><Relationship Id="rId134" Type="http://schemas.openxmlformats.org/officeDocument/2006/relationships/hyperlink" Target="mailto:nyleveag@yahoo.ec" TargetMode="External"/><Relationship Id="rId320" Type="http://schemas.openxmlformats.org/officeDocument/2006/relationships/hyperlink" Target="mailto:laupada9@hotmail.com" TargetMode="External"/><Relationship Id="rId80" Type="http://schemas.openxmlformats.org/officeDocument/2006/relationships/hyperlink" Target="mailto:bioenergiacerebral@hotmail.com" TargetMode="External"/><Relationship Id="rId155" Type="http://schemas.openxmlformats.org/officeDocument/2006/relationships/hyperlink" Target="mailto:angelita.silviaro@gmail.com" TargetMode="External"/><Relationship Id="rId176" Type="http://schemas.openxmlformats.org/officeDocument/2006/relationships/hyperlink" Target="mailto:jatteiens007@hotmal.com" TargetMode="External"/><Relationship Id="rId197" Type="http://schemas.openxmlformats.org/officeDocument/2006/relationships/hyperlink" Target="mailto:leticiasanchezv@yahoo.com" TargetMode="External"/><Relationship Id="rId341" Type="http://schemas.openxmlformats.org/officeDocument/2006/relationships/hyperlink" Target="mailto:nyleveagb@yahoo.es" TargetMode="External"/><Relationship Id="rId362" Type="http://schemas.openxmlformats.org/officeDocument/2006/relationships/hyperlink" Target="mailto:gcuerito@yahoo.com" TargetMode="External"/><Relationship Id="rId383" Type="http://schemas.openxmlformats.org/officeDocument/2006/relationships/hyperlink" Target="mailto:raul.proton@hotmail.com" TargetMode="External"/><Relationship Id="rId201" Type="http://schemas.openxmlformats.org/officeDocument/2006/relationships/hyperlink" Target="mailto:veronicaachi17@outlook.es" TargetMode="External"/><Relationship Id="rId222" Type="http://schemas.openxmlformats.org/officeDocument/2006/relationships/hyperlink" Target="mailto:jrv_1618@hotmail.com" TargetMode="External"/><Relationship Id="rId243" Type="http://schemas.openxmlformats.org/officeDocument/2006/relationships/hyperlink" Target="mailto:lindagr@hotmail.com" TargetMode="External"/><Relationship Id="rId264" Type="http://schemas.openxmlformats.org/officeDocument/2006/relationships/hyperlink" Target="mailto:angelita.silviaro@gmail.com" TargetMode="External"/><Relationship Id="rId285" Type="http://schemas.openxmlformats.org/officeDocument/2006/relationships/hyperlink" Target="mailto:gatteins007@hotmail.com" TargetMode="External"/><Relationship Id="rId17" Type="http://schemas.openxmlformats.org/officeDocument/2006/relationships/hyperlink" Target="mailto:dieli1788@gmail.com" TargetMode="External"/><Relationship Id="rId38" Type="http://schemas.openxmlformats.org/officeDocument/2006/relationships/hyperlink" Target="mailto:mickyponce18@hotmail.com" TargetMode="External"/><Relationship Id="rId59" Type="http://schemas.openxmlformats.org/officeDocument/2006/relationships/hyperlink" Target="mailto:sofiaruizg21@gmail.com" TargetMode="External"/><Relationship Id="rId103" Type="http://schemas.openxmlformats.org/officeDocument/2006/relationships/hyperlink" Target="mailto:gamimior@gamail" TargetMode="External"/><Relationship Id="rId124" Type="http://schemas.openxmlformats.org/officeDocument/2006/relationships/hyperlink" Target="mailto:andreae.pardoch@gmail.com" TargetMode="External"/><Relationship Id="rId310" Type="http://schemas.openxmlformats.org/officeDocument/2006/relationships/hyperlink" Target="mailto:andressanchez1923@gmail.com" TargetMode="External"/><Relationship Id="rId70" Type="http://schemas.openxmlformats.org/officeDocument/2006/relationships/hyperlink" Target="mailto:vanecls2810@gmail.com" TargetMode="External"/><Relationship Id="rId91" Type="http://schemas.openxmlformats.org/officeDocument/2006/relationships/hyperlink" Target="mailto:andreae.pardoch@gmail.com" TargetMode="External"/><Relationship Id="rId145" Type="http://schemas.openxmlformats.org/officeDocument/2006/relationships/hyperlink" Target="mailto:dianaecm@gmail.com" TargetMode="External"/><Relationship Id="rId166" Type="http://schemas.openxmlformats.org/officeDocument/2006/relationships/hyperlink" Target="mailto:karla.2012006@gmail.com" TargetMode="External"/><Relationship Id="rId187" Type="http://schemas.openxmlformats.org/officeDocument/2006/relationships/hyperlink" Target="mailto:lindagrp@hotmail.com" TargetMode="External"/><Relationship Id="rId331" Type="http://schemas.openxmlformats.org/officeDocument/2006/relationships/hyperlink" Target="mailto:lesjacomemora@gmail.com" TargetMode="External"/><Relationship Id="rId352" Type="http://schemas.openxmlformats.org/officeDocument/2006/relationships/hyperlink" Target="mailto:lcda.lucy@hotmail.com" TargetMode="External"/><Relationship Id="rId373" Type="http://schemas.openxmlformats.org/officeDocument/2006/relationships/hyperlink" Target="mailto:angelita.silviaro@gmail.com" TargetMode="External"/><Relationship Id="rId1" Type="http://schemas.openxmlformats.org/officeDocument/2006/relationships/hyperlink" Target="mailto:nyleveagb@yahoo.es" TargetMode="External"/><Relationship Id="rId212" Type="http://schemas.openxmlformats.org/officeDocument/2006/relationships/hyperlink" Target="mailto:katemel_1989@hotmail.es" TargetMode="External"/><Relationship Id="rId233" Type="http://schemas.openxmlformats.org/officeDocument/2006/relationships/hyperlink" Target="mailto:angeles.monar@yahoo.com" TargetMode="External"/><Relationship Id="rId254" Type="http://schemas.openxmlformats.org/officeDocument/2006/relationships/hyperlink" Target="mailto:estelavargasi52@gmail.com" TargetMode="External"/><Relationship Id="rId28" Type="http://schemas.openxmlformats.org/officeDocument/2006/relationships/hyperlink" Target="mailto:yaguagallo@gmail.com" TargetMode="External"/><Relationship Id="rId49" Type="http://schemas.openxmlformats.org/officeDocument/2006/relationships/hyperlink" Target="mailto:nickyponce18@hotmail.com" TargetMode="External"/><Relationship Id="rId114" Type="http://schemas.openxmlformats.org/officeDocument/2006/relationships/hyperlink" Target="mailto:melaniejajame@gmail.com" TargetMode="External"/><Relationship Id="rId275" Type="http://schemas.openxmlformats.org/officeDocument/2006/relationships/hyperlink" Target="mailto:sandosmonterobetty@gmail.com" TargetMode="External"/><Relationship Id="rId296" Type="http://schemas.openxmlformats.org/officeDocument/2006/relationships/hyperlink" Target="mailto:milton_aguas@gmail.com" TargetMode="External"/><Relationship Id="rId300" Type="http://schemas.openxmlformats.org/officeDocument/2006/relationships/hyperlink" Target="mailto:g.castellanos92@gmail.com" TargetMode="External"/><Relationship Id="rId60" Type="http://schemas.openxmlformats.org/officeDocument/2006/relationships/hyperlink" Target="mailto:adrian_ibarra4@yahoo.com" TargetMode="External"/><Relationship Id="rId81" Type="http://schemas.openxmlformats.org/officeDocument/2006/relationships/hyperlink" Target="mailto:mgrea96@gmail.com" TargetMode="External"/><Relationship Id="rId135" Type="http://schemas.openxmlformats.org/officeDocument/2006/relationships/hyperlink" Target="mailto:vickyroman_7@hotmail.com" TargetMode="External"/><Relationship Id="rId156" Type="http://schemas.openxmlformats.org/officeDocument/2006/relationships/hyperlink" Target="mailto:marita_castillo@gmail,com" TargetMode="External"/><Relationship Id="rId177" Type="http://schemas.openxmlformats.org/officeDocument/2006/relationships/hyperlink" Target="mailto:angelita.silviaro@gmail.com" TargetMode="External"/><Relationship Id="rId198" Type="http://schemas.openxmlformats.org/officeDocument/2006/relationships/hyperlink" Target="mailto:leticiasanchezv@yahoo.com" TargetMode="External"/><Relationship Id="rId321" Type="http://schemas.openxmlformats.org/officeDocument/2006/relationships/hyperlink" Target="mailto:edithmontaluisa@gmail.com" TargetMode="External"/><Relationship Id="rId342" Type="http://schemas.openxmlformats.org/officeDocument/2006/relationships/hyperlink" Target="mailto:nyleveagb@yahoo.es" TargetMode="External"/><Relationship Id="rId363" Type="http://schemas.openxmlformats.org/officeDocument/2006/relationships/hyperlink" Target="mailto:gcuerito@yahoo.com" TargetMode="External"/><Relationship Id="rId384" Type="http://schemas.openxmlformats.org/officeDocument/2006/relationships/hyperlink" Target="mailto:silviaiturralde1977@gmail.com" TargetMode="External"/><Relationship Id="rId202" Type="http://schemas.openxmlformats.org/officeDocument/2006/relationships/hyperlink" Target="mailto:mello6302@hotmail.com" TargetMode="External"/><Relationship Id="rId223" Type="http://schemas.openxmlformats.org/officeDocument/2006/relationships/hyperlink" Target="mailto:doris.almeida.o@gmail.com" TargetMode="External"/><Relationship Id="rId244" Type="http://schemas.openxmlformats.org/officeDocument/2006/relationships/hyperlink" Target="mailto:lindagr@hotmail.com" TargetMode="External"/><Relationship Id="rId18" Type="http://schemas.openxmlformats.org/officeDocument/2006/relationships/hyperlink" Target="mailto:sofia.gavilanes27@gmail.com" TargetMode="External"/><Relationship Id="rId39" Type="http://schemas.openxmlformats.org/officeDocument/2006/relationships/hyperlink" Target="mailto:luishsandoval88@gmail.com" TargetMode="External"/><Relationship Id="rId265" Type="http://schemas.openxmlformats.org/officeDocument/2006/relationships/hyperlink" Target="mailto:paola_valencia19@hotmail.com" TargetMode="External"/><Relationship Id="rId286" Type="http://schemas.openxmlformats.org/officeDocument/2006/relationships/hyperlink" Target="mailto:amanda.palacios16@gmail.com" TargetMode="External"/><Relationship Id="rId50" Type="http://schemas.openxmlformats.org/officeDocument/2006/relationships/hyperlink" Target="mailto:jessmanzano1985@hotmail.com" TargetMode="External"/><Relationship Id="rId104" Type="http://schemas.openxmlformats.org/officeDocument/2006/relationships/hyperlink" Target="mailto:gatteins007@hotmail.com" TargetMode="External"/><Relationship Id="rId125" Type="http://schemas.openxmlformats.org/officeDocument/2006/relationships/hyperlink" Target="mailto:danialejandra998@gmail.com" TargetMode="External"/><Relationship Id="rId146" Type="http://schemas.openxmlformats.org/officeDocument/2006/relationships/hyperlink" Target="mailto:jimenezgeovanna@hotmail.com" TargetMode="External"/><Relationship Id="rId167" Type="http://schemas.openxmlformats.org/officeDocument/2006/relationships/hyperlink" Target="mailto:ejimerizalde@hotmail.com" TargetMode="External"/><Relationship Id="rId188" Type="http://schemas.openxmlformats.org/officeDocument/2006/relationships/hyperlink" Target="mailto:monihervi@gmail.com" TargetMode="External"/><Relationship Id="rId311" Type="http://schemas.openxmlformats.org/officeDocument/2006/relationships/hyperlink" Target="mailto:valentinaiturralde26@gmail.com" TargetMode="External"/><Relationship Id="rId332" Type="http://schemas.openxmlformats.org/officeDocument/2006/relationships/hyperlink" Target="mailto:lesslielopez2304@gmail.com" TargetMode="External"/><Relationship Id="rId353" Type="http://schemas.openxmlformats.org/officeDocument/2006/relationships/hyperlink" Target="mailto:crissspin@gmail.com" TargetMode="External"/><Relationship Id="rId374" Type="http://schemas.openxmlformats.org/officeDocument/2006/relationships/hyperlink" Target="mailto:nbonifazm@outlook.com" TargetMode="External"/><Relationship Id="rId71" Type="http://schemas.openxmlformats.org/officeDocument/2006/relationships/hyperlink" Target="mailto:adrian_ibarra4@yahoo.com" TargetMode="External"/><Relationship Id="rId92" Type="http://schemas.openxmlformats.org/officeDocument/2006/relationships/hyperlink" Target="mailto:adrian_ibarra4@yahoo.com" TargetMode="External"/><Relationship Id="rId213" Type="http://schemas.openxmlformats.org/officeDocument/2006/relationships/hyperlink" Target="mailto:salomesantin@gmail.com" TargetMode="External"/><Relationship Id="rId234" Type="http://schemas.openxmlformats.org/officeDocument/2006/relationships/hyperlink" Target="mailto:kathykmsl@gmail.com" TargetMode="External"/><Relationship Id="rId2" Type="http://schemas.openxmlformats.org/officeDocument/2006/relationships/hyperlink" Target="mailto:nyleveagb@yahoo.es" TargetMode="External"/><Relationship Id="rId29" Type="http://schemas.openxmlformats.org/officeDocument/2006/relationships/hyperlink" Target="mailto:alexandra.valladares@gmail.com" TargetMode="External"/><Relationship Id="rId255" Type="http://schemas.openxmlformats.org/officeDocument/2006/relationships/hyperlink" Target="mailto:lilytecruz@gmail.com" TargetMode="External"/><Relationship Id="rId276" Type="http://schemas.openxmlformats.org/officeDocument/2006/relationships/hyperlink" Target="mailto:edithmontaluisa@gemail.com" TargetMode="External"/><Relationship Id="rId297" Type="http://schemas.openxmlformats.org/officeDocument/2006/relationships/hyperlink" Target="mailto:milton_aguas@gmail.com" TargetMode="External"/><Relationship Id="rId40" Type="http://schemas.openxmlformats.org/officeDocument/2006/relationships/hyperlink" Target="mailto:tatiana.meza1973@gmail.com" TargetMode="External"/><Relationship Id="rId115" Type="http://schemas.openxmlformats.org/officeDocument/2006/relationships/hyperlink" Target="mailto:verolunita@yahoo.com" TargetMode="External"/><Relationship Id="rId136" Type="http://schemas.openxmlformats.org/officeDocument/2006/relationships/hyperlink" Target="mailto:stephanie_herrera_@hotmail.com" TargetMode="External"/><Relationship Id="rId157" Type="http://schemas.openxmlformats.org/officeDocument/2006/relationships/hyperlink" Target="mailto:mayicienta@hotmail.com" TargetMode="External"/><Relationship Id="rId178" Type="http://schemas.openxmlformats.org/officeDocument/2006/relationships/hyperlink" Target="mailto:ffany_mencias@hotmail.com" TargetMode="External"/><Relationship Id="rId301" Type="http://schemas.openxmlformats.org/officeDocument/2006/relationships/hyperlink" Target="mailto:lucia-qc@hotmail.com" TargetMode="External"/><Relationship Id="rId322" Type="http://schemas.openxmlformats.org/officeDocument/2006/relationships/hyperlink" Target="mailto:edithmontaluisa@gmail.com" TargetMode="External"/><Relationship Id="rId343" Type="http://schemas.openxmlformats.org/officeDocument/2006/relationships/hyperlink" Target="mailto:nyleveagb@yahoo.es" TargetMode="External"/><Relationship Id="rId364" Type="http://schemas.openxmlformats.org/officeDocument/2006/relationships/hyperlink" Target="mailto:laupada9@hotmail.com" TargetMode="External"/><Relationship Id="rId61" Type="http://schemas.openxmlformats.org/officeDocument/2006/relationships/hyperlink" Target="mailto:car-ale-br@hotmail.com" TargetMode="External"/><Relationship Id="rId82" Type="http://schemas.openxmlformats.org/officeDocument/2006/relationships/hyperlink" Target="mailto:andreae.pardoch@gmail.com" TargetMode="External"/><Relationship Id="rId199" Type="http://schemas.openxmlformats.org/officeDocument/2006/relationships/hyperlink" Target="mailto:paulinaferri@gmail.com" TargetMode="External"/><Relationship Id="rId203" Type="http://schemas.openxmlformats.org/officeDocument/2006/relationships/hyperlink" Target="mailto:carolinamena85@hotmail.com" TargetMode="External"/><Relationship Id="rId385" Type="http://schemas.openxmlformats.org/officeDocument/2006/relationships/hyperlink" Target="mailto:silviaiturralde1977@gmail.com" TargetMode="External"/><Relationship Id="rId19" Type="http://schemas.openxmlformats.org/officeDocument/2006/relationships/hyperlink" Target="mailto:werazo29@hotmail.com" TargetMode="External"/><Relationship Id="rId224" Type="http://schemas.openxmlformats.org/officeDocument/2006/relationships/hyperlink" Target="mailto:cabezas.marco@hotmail.com" TargetMode="External"/><Relationship Id="rId245" Type="http://schemas.openxmlformats.org/officeDocument/2006/relationships/hyperlink" Target="mailto:alexandra.abadiano@gmail.com" TargetMode="External"/><Relationship Id="rId266" Type="http://schemas.openxmlformats.org/officeDocument/2006/relationships/hyperlink" Target="mailto:anitamarizmusicz@hotmail.com" TargetMode="External"/><Relationship Id="rId287" Type="http://schemas.openxmlformats.org/officeDocument/2006/relationships/hyperlink" Target="mailto:dianaecn@gmail.com" TargetMode="External"/><Relationship Id="rId30" Type="http://schemas.openxmlformats.org/officeDocument/2006/relationships/hyperlink" Target="mailto:alexandra.valladares@gmail.com" TargetMode="External"/><Relationship Id="rId105" Type="http://schemas.openxmlformats.org/officeDocument/2006/relationships/hyperlink" Target="mailto:gatteins007@hotmail.com" TargetMode="External"/><Relationship Id="rId126" Type="http://schemas.openxmlformats.org/officeDocument/2006/relationships/hyperlink" Target="mailto:helraqba@yahoo.com" TargetMode="External"/><Relationship Id="rId147" Type="http://schemas.openxmlformats.org/officeDocument/2006/relationships/hyperlink" Target="mailto:adrian_ibarra4@yahoo.com" TargetMode="External"/><Relationship Id="rId168" Type="http://schemas.openxmlformats.org/officeDocument/2006/relationships/hyperlink" Target="mailto:sacosta.flor@gmail,com" TargetMode="External"/><Relationship Id="rId312" Type="http://schemas.openxmlformats.org/officeDocument/2006/relationships/hyperlink" Target="mailto:silviaiturralde1977@gmail%20.com" TargetMode="External"/><Relationship Id="rId333" Type="http://schemas.openxmlformats.org/officeDocument/2006/relationships/hyperlink" Target="mailto:glunnarvaez@gmail.com" TargetMode="External"/><Relationship Id="rId354" Type="http://schemas.openxmlformats.org/officeDocument/2006/relationships/hyperlink" Target="mailto:masolrl@gmail.com" TargetMode="External"/><Relationship Id="rId51" Type="http://schemas.openxmlformats.org/officeDocument/2006/relationships/hyperlink" Target="mailto:mgrea96@gmail.com" TargetMode="External"/><Relationship Id="rId72" Type="http://schemas.openxmlformats.org/officeDocument/2006/relationships/hyperlink" Target="mailto:angelita.silviaro@gmail.com" TargetMode="External"/><Relationship Id="rId93" Type="http://schemas.openxmlformats.org/officeDocument/2006/relationships/hyperlink" Target="mailto:ximeteran@hotmail.com" TargetMode="External"/><Relationship Id="rId189" Type="http://schemas.openxmlformats.org/officeDocument/2006/relationships/hyperlink" Target="mailto:cpoveda77@gmail.com" TargetMode="External"/><Relationship Id="rId375" Type="http://schemas.openxmlformats.org/officeDocument/2006/relationships/hyperlink" Target="mailto:isabellallerena151@gmail.com" TargetMode="External"/><Relationship Id="rId3" Type="http://schemas.openxmlformats.org/officeDocument/2006/relationships/hyperlink" Target="mailto:cruzap.micaela@gmail.com" TargetMode="External"/><Relationship Id="rId214" Type="http://schemas.openxmlformats.org/officeDocument/2006/relationships/hyperlink" Target="mailto:monicapizurietav@gmail.com" TargetMode="External"/><Relationship Id="rId235" Type="http://schemas.openxmlformats.org/officeDocument/2006/relationships/hyperlink" Target="mailto:tatiana.meza1973@gmail.com" TargetMode="External"/><Relationship Id="rId256" Type="http://schemas.openxmlformats.org/officeDocument/2006/relationships/hyperlink" Target="mailto:gallardo_moni@yahoo.es" TargetMode="External"/><Relationship Id="rId277" Type="http://schemas.openxmlformats.org/officeDocument/2006/relationships/hyperlink" Target="mailto:feboarteacademia@gmail.com" TargetMode="External"/><Relationship Id="rId298" Type="http://schemas.openxmlformats.org/officeDocument/2006/relationships/hyperlink" Target="mailto:keqsmuv@hotmail.com" TargetMode="External"/><Relationship Id="rId116" Type="http://schemas.openxmlformats.org/officeDocument/2006/relationships/hyperlink" Target="mailto:andreae.pardoch@gmail.com" TargetMode="External"/><Relationship Id="rId137" Type="http://schemas.openxmlformats.org/officeDocument/2006/relationships/hyperlink" Target="mailto:mppa7mino@gmail.com" TargetMode="External"/><Relationship Id="rId158" Type="http://schemas.openxmlformats.org/officeDocument/2006/relationships/hyperlink" Target="mailto:gordonc.andrea@gmail.com" TargetMode="External"/><Relationship Id="rId302" Type="http://schemas.openxmlformats.org/officeDocument/2006/relationships/hyperlink" Target="mailto:pauburbanoa@gmail.com" TargetMode="External"/><Relationship Id="rId323" Type="http://schemas.openxmlformats.org/officeDocument/2006/relationships/hyperlink" Target="mailto:nbonifazm@outlook.com" TargetMode="External"/><Relationship Id="rId344" Type="http://schemas.openxmlformats.org/officeDocument/2006/relationships/hyperlink" Target="mailto:nyleveagb@yahoo.es" TargetMode="External"/><Relationship Id="rId20" Type="http://schemas.openxmlformats.org/officeDocument/2006/relationships/hyperlink" Target="mailto:garnicamabe@gmail.com" TargetMode="External"/><Relationship Id="rId41" Type="http://schemas.openxmlformats.org/officeDocument/2006/relationships/hyperlink" Target="mailto:andreae.pardo@gmail.com" TargetMode="External"/><Relationship Id="rId62" Type="http://schemas.openxmlformats.org/officeDocument/2006/relationships/hyperlink" Target="mailto:andreae.pardoch@gmail.com" TargetMode="External"/><Relationship Id="rId83" Type="http://schemas.openxmlformats.org/officeDocument/2006/relationships/hyperlink" Target="mailto:iboneflores@hotmail.com" TargetMode="External"/><Relationship Id="rId179" Type="http://schemas.openxmlformats.org/officeDocument/2006/relationships/hyperlink" Target="mailto:nathalicabrera@gmail.com" TargetMode="External"/><Relationship Id="rId365" Type="http://schemas.openxmlformats.org/officeDocument/2006/relationships/hyperlink" Target="mailto:kro16-@hotmail.com" TargetMode="External"/><Relationship Id="rId386" Type="http://schemas.openxmlformats.org/officeDocument/2006/relationships/hyperlink" Target="mailto:doris.almeida.o@gmail.com" TargetMode="External"/><Relationship Id="rId190" Type="http://schemas.openxmlformats.org/officeDocument/2006/relationships/hyperlink" Target="mailto:cpoveda77@gmail.com" TargetMode="External"/><Relationship Id="rId204" Type="http://schemas.openxmlformats.org/officeDocument/2006/relationships/hyperlink" Target="mailto:carlospovedam@yahoo.com" TargetMode="External"/><Relationship Id="rId225" Type="http://schemas.openxmlformats.org/officeDocument/2006/relationships/hyperlink" Target="mailto:alexandra.abandiano@gmail.com" TargetMode="External"/><Relationship Id="rId246" Type="http://schemas.openxmlformats.org/officeDocument/2006/relationships/hyperlink" Target="mailto:andreae.pardoch@gmail.com" TargetMode="External"/><Relationship Id="rId267" Type="http://schemas.openxmlformats.org/officeDocument/2006/relationships/hyperlink" Target="mailto:aishapesantez@gmail.com" TargetMode="External"/><Relationship Id="rId288" Type="http://schemas.openxmlformats.org/officeDocument/2006/relationships/hyperlink" Target="mailto:dianaecn@gmail.com" TargetMode="External"/><Relationship Id="rId106" Type="http://schemas.openxmlformats.org/officeDocument/2006/relationships/hyperlink" Target="mailto:gatteins007@hotmail.com" TargetMode="External"/><Relationship Id="rId127" Type="http://schemas.openxmlformats.org/officeDocument/2006/relationships/hyperlink" Target="mailto:sacosta.flor@gmail.com" TargetMode="External"/><Relationship Id="rId313" Type="http://schemas.openxmlformats.org/officeDocument/2006/relationships/hyperlink" Target="mailto:leo.Asorente@hotmail.com" TargetMode="External"/><Relationship Id="rId10" Type="http://schemas.openxmlformats.org/officeDocument/2006/relationships/hyperlink" Target="mailto:uvcalahorrano@hotmail.com" TargetMode="External"/><Relationship Id="rId31" Type="http://schemas.openxmlformats.org/officeDocument/2006/relationships/hyperlink" Target="mailto:alexandra.valladares@gmail.com" TargetMode="External"/><Relationship Id="rId52" Type="http://schemas.openxmlformats.org/officeDocument/2006/relationships/hyperlink" Target="mailto:adonaypallo@hotmail.com" TargetMode="External"/><Relationship Id="rId73" Type="http://schemas.openxmlformats.org/officeDocument/2006/relationships/hyperlink" Target="mailto:angelita.silviaro@gmail.com" TargetMode="External"/><Relationship Id="rId94" Type="http://schemas.openxmlformats.org/officeDocument/2006/relationships/hyperlink" Target="mailto:criss_ldu@hotmail.com" TargetMode="External"/><Relationship Id="rId148" Type="http://schemas.openxmlformats.org/officeDocument/2006/relationships/hyperlink" Target="mailto:angelita.silviaro@gemail%20,com" TargetMode="External"/><Relationship Id="rId169" Type="http://schemas.openxmlformats.org/officeDocument/2006/relationships/hyperlink" Target="mailto:sacosta.flor@gmail,com" TargetMode="External"/><Relationship Id="rId334" Type="http://schemas.openxmlformats.org/officeDocument/2006/relationships/hyperlink" Target="mailto:glunnarvaez@gmail.com" TargetMode="External"/><Relationship Id="rId355" Type="http://schemas.openxmlformats.org/officeDocument/2006/relationships/hyperlink" Target="mailto:vanessa_silvaespin@hotmail.com" TargetMode="External"/><Relationship Id="rId376" Type="http://schemas.openxmlformats.org/officeDocument/2006/relationships/hyperlink" Target="mailto:paureyes0306@gmail.com" TargetMode="External"/><Relationship Id="rId4" Type="http://schemas.openxmlformats.org/officeDocument/2006/relationships/hyperlink" Target="mailto:mgrea96@gmail.com" TargetMode="External"/><Relationship Id="rId180" Type="http://schemas.openxmlformats.org/officeDocument/2006/relationships/hyperlink" Target="mailto:isabellallerena151@gmail.com" TargetMode="External"/><Relationship Id="rId215" Type="http://schemas.openxmlformats.org/officeDocument/2006/relationships/hyperlink" Target="mailto:monicapizurietav@gmail.com" TargetMode="External"/><Relationship Id="rId236" Type="http://schemas.openxmlformats.org/officeDocument/2006/relationships/hyperlink" Target="mailto:squevedo94@outlook.es" TargetMode="External"/><Relationship Id="rId257" Type="http://schemas.openxmlformats.org/officeDocument/2006/relationships/hyperlink" Target="mailto:gallardo_moni@yahoo.es" TargetMode="External"/><Relationship Id="rId278" Type="http://schemas.openxmlformats.org/officeDocument/2006/relationships/hyperlink" Target="mailto:huasiquindi@hotmail.com" TargetMode="External"/><Relationship Id="rId303" Type="http://schemas.openxmlformats.org/officeDocument/2006/relationships/hyperlink" Target="mailto:albadelpilar@gmail.com" TargetMode="External"/><Relationship Id="rId42" Type="http://schemas.openxmlformats.org/officeDocument/2006/relationships/hyperlink" Target="mailto:mafer-reyes@hotmail.es" TargetMode="External"/><Relationship Id="rId84" Type="http://schemas.openxmlformats.org/officeDocument/2006/relationships/hyperlink" Target="mailto:crspe_a@hotmail.com" TargetMode="External"/><Relationship Id="rId138" Type="http://schemas.openxmlformats.org/officeDocument/2006/relationships/hyperlink" Target="mailto:abigailmaldonado@hotmail.com" TargetMode="External"/><Relationship Id="rId345" Type="http://schemas.openxmlformats.org/officeDocument/2006/relationships/hyperlink" Target="mailto:nyleveagb@yahoo.es" TargetMode="External"/><Relationship Id="rId387" Type="http://schemas.openxmlformats.org/officeDocument/2006/relationships/hyperlink" Target="mailto:doris.almeida.o@gmail.com" TargetMode="External"/><Relationship Id="rId191" Type="http://schemas.openxmlformats.org/officeDocument/2006/relationships/hyperlink" Target="mailto:ionbandh@gmail.com" TargetMode="External"/><Relationship Id="rId205" Type="http://schemas.openxmlformats.org/officeDocument/2006/relationships/hyperlink" Target="mailto:carlospovedam@yahoo.com" TargetMode="External"/><Relationship Id="rId247" Type="http://schemas.openxmlformats.org/officeDocument/2006/relationships/hyperlink" Target="mailto:adriana.yugsi@gmail.com" TargetMode="External"/><Relationship Id="rId107" Type="http://schemas.openxmlformats.org/officeDocument/2006/relationships/hyperlink" Target="mailto:monivivancovi@gmail.com" TargetMode="External"/><Relationship Id="rId289" Type="http://schemas.openxmlformats.org/officeDocument/2006/relationships/hyperlink" Target="mailto:andreae.pardoch@gmail.com" TargetMode="External"/><Relationship Id="rId11" Type="http://schemas.openxmlformats.org/officeDocument/2006/relationships/hyperlink" Target="mailto:ximene.orbe@hotmail.es" TargetMode="External"/><Relationship Id="rId53" Type="http://schemas.openxmlformats.org/officeDocument/2006/relationships/hyperlink" Target="mailto:angelita.silviar@gmail.com" TargetMode="External"/><Relationship Id="rId149" Type="http://schemas.openxmlformats.org/officeDocument/2006/relationships/hyperlink" Target="mailto:mariana_2192@hotmail,com" TargetMode="External"/><Relationship Id="rId314" Type="http://schemas.openxmlformats.org/officeDocument/2006/relationships/hyperlink" Target="mailto:leo.Asorente@hotmail.com" TargetMode="External"/><Relationship Id="rId356" Type="http://schemas.openxmlformats.org/officeDocument/2006/relationships/hyperlink" Target="mailto:vanessa_silvaespin@hotmail.com" TargetMode="External"/><Relationship Id="rId95" Type="http://schemas.openxmlformats.org/officeDocument/2006/relationships/hyperlink" Target="mailto:andreae.pardoch@gmail.com" TargetMode="External"/><Relationship Id="rId160" Type="http://schemas.openxmlformats.org/officeDocument/2006/relationships/hyperlink" Target="mailto:tipansanchez.pn@gmail.com" TargetMode="External"/><Relationship Id="rId216" Type="http://schemas.openxmlformats.org/officeDocument/2006/relationships/hyperlink" Target="mailto:maritza_izurieta@hotmail.com" TargetMode="External"/><Relationship Id="rId258" Type="http://schemas.openxmlformats.org/officeDocument/2006/relationships/hyperlink" Target="mailto:nbonifazm@oulook.com" TargetMode="External"/><Relationship Id="rId22" Type="http://schemas.openxmlformats.org/officeDocument/2006/relationships/hyperlink" Target="mailto:adonaypallo.@hotmail.com" TargetMode="External"/><Relationship Id="rId64" Type="http://schemas.openxmlformats.org/officeDocument/2006/relationships/hyperlink" Target="mailto:dra.keniaarredondo@gmail.com" TargetMode="External"/><Relationship Id="rId118" Type="http://schemas.openxmlformats.org/officeDocument/2006/relationships/hyperlink" Target="mailto:dielei1788@gmail.com" TargetMode="External"/><Relationship Id="rId325" Type="http://schemas.openxmlformats.org/officeDocument/2006/relationships/hyperlink" Target="mailto:molinamaru@hotmail.com" TargetMode="External"/><Relationship Id="rId367" Type="http://schemas.openxmlformats.org/officeDocument/2006/relationships/hyperlink" Target="mailto:arisalazara22@gmail.com" TargetMode="External"/><Relationship Id="rId171" Type="http://schemas.openxmlformats.org/officeDocument/2006/relationships/hyperlink" Target="mailto:aanavarretey@hotmail.com" TargetMode="External"/><Relationship Id="rId227" Type="http://schemas.openxmlformats.org/officeDocument/2006/relationships/hyperlink" Target="mailto:diel1788@gmail.com" TargetMode="External"/><Relationship Id="rId269" Type="http://schemas.openxmlformats.org/officeDocument/2006/relationships/hyperlink" Target="mailto:luzgtapia@gmail.com" TargetMode="External"/><Relationship Id="rId33" Type="http://schemas.openxmlformats.org/officeDocument/2006/relationships/hyperlink" Target="mailto:snaranjo@hotmail.com" TargetMode="External"/><Relationship Id="rId129" Type="http://schemas.openxmlformats.org/officeDocument/2006/relationships/hyperlink" Target="mailto:charitocobo.@gmail.com" TargetMode="External"/><Relationship Id="rId280" Type="http://schemas.openxmlformats.org/officeDocument/2006/relationships/hyperlink" Target="mailto:vicky_label2000@hotmail.com" TargetMode="External"/><Relationship Id="rId336" Type="http://schemas.openxmlformats.org/officeDocument/2006/relationships/hyperlink" Target="mailto:valeaguirre2000@hotmail.com" TargetMode="External"/><Relationship Id="rId75" Type="http://schemas.openxmlformats.org/officeDocument/2006/relationships/hyperlink" Target="mailto:michelassol@hotmail.com" TargetMode="External"/><Relationship Id="rId140" Type="http://schemas.openxmlformats.org/officeDocument/2006/relationships/hyperlink" Target="mailto:jessbilbao94@gmail.com" TargetMode="External"/><Relationship Id="rId182" Type="http://schemas.openxmlformats.org/officeDocument/2006/relationships/hyperlink" Target="mailto:paola_valencia19@hotmail.com" TargetMode="External"/><Relationship Id="rId378" Type="http://schemas.openxmlformats.org/officeDocument/2006/relationships/hyperlink" Target="mailto:silviaiturralde1977@gmail.com" TargetMode="External"/><Relationship Id="rId6" Type="http://schemas.openxmlformats.org/officeDocument/2006/relationships/hyperlink" Target="mailto:jan.ce46@hotmail.com" TargetMode="External"/><Relationship Id="rId238" Type="http://schemas.openxmlformats.org/officeDocument/2006/relationships/hyperlink" Target="mailto:lieselottehassler@hotmail.com" TargetMode="External"/><Relationship Id="rId291" Type="http://schemas.openxmlformats.org/officeDocument/2006/relationships/hyperlink" Target="mailto:angelita.silviaro@%20gma" TargetMode="External"/><Relationship Id="rId305" Type="http://schemas.openxmlformats.org/officeDocument/2006/relationships/hyperlink" Target="mailto:latama2001@yohoo.es" TargetMode="External"/><Relationship Id="rId347" Type="http://schemas.openxmlformats.org/officeDocument/2006/relationships/hyperlink" Target="mailto:milton.aguas@gmai.com" TargetMode="External"/><Relationship Id="rId44" Type="http://schemas.openxmlformats.org/officeDocument/2006/relationships/hyperlink" Target="mailto:adriana.yugsi@gmail.com" TargetMode="External"/><Relationship Id="rId86" Type="http://schemas.openxmlformats.org/officeDocument/2006/relationships/hyperlink" Target="mailto:criss_ldu@hotmail.com" TargetMode="External"/><Relationship Id="rId151" Type="http://schemas.openxmlformats.org/officeDocument/2006/relationships/hyperlink" Target="mailto:abbiejeje@gmail.com" TargetMode="External"/><Relationship Id="rId389" Type="http://schemas.openxmlformats.org/officeDocument/2006/relationships/hyperlink" Target="mailto:lucia_qc@hotmail.com" TargetMode="External"/><Relationship Id="rId193" Type="http://schemas.openxmlformats.org/officeDocument/2006/relationships/hyperlink" Target="mailto:majoroseroe1@gmail.com" TargetMode="External"/><Relationship Id="rId207" Type="http://schemas.openxmlformats.org/officeDocument/2006/relationships/hyperlink" Target="mailto:carlospovedam@yahoo.com" TargetMode="External"/><Relationship Id="rId249" Type="http://schemas.openxmlformats.org/officeDocument/2006/relationships/hyperlink" Target="mailto:susanasuarez@hotmail.com" TargetMode="External"/><Relationship Id="rId13" Type="http://schemas.openxmlformats.org/officeDocument/2006/relationships/hyperlink" Target="mailto:nyleveagb@yahoo.es" TargetMode="External"/><Relationship Id="rId109" Type="http://schemas.openxmlformats.org/officeDocument/2006/relationships/hyperlink" Target="mailto:marita.castillo@gmail.com" TargetMode="External"/><Relationship Id="rId260" Type="http://schemas.openxmlformats.org/officeDocument/2006/relationships/hyperlink" Target="mailto:monigoteja123@gmail.com" TargetMode="External"/><Relationship Id="rId316" Type="http://schemas.openxmlformats.org/officeDocument/2006/relationships/hyperlink" Target="mailto:andreae.pardo@gmail.com" TargetMode="External"/><Relationship Id="rId55" Type="http://schemas.openxmlformats.org/officeDocument/2006/relationships/hyperlink" Target="mailto:giss-1016@hotmail.com" TargetMode="External"/><Relationship Id="rId97" Type="http://schemas.openxmlformats.org/officeDocument/2006/relationships/hyperlink" Target="mailto:alexandradelrociosanchez@gmail.com" TargetMode="External"/><Relationship Id="rId120" Type="http://schemas.openxmlformats.org/officeDocument/2006/relationships/hyperlink" Target="mailto:patty.ale88@hotmail.com" TargetMode="External"/><Relationship Id="rId358" Type="http://schemas.openxmlformats.org/officeDocument/2006/relationships/hyperlink" Target="mailto:nickyponce18@hotmail.com" TargetMode="External"/><Relationship Id="rId162" Type="http://schemas.openxmlformats.org/officeDocument/2006/relationships/hyperlink" Target="mailto:adrian_ibarra4@yahoo.com" TargetMode="External"/><Relationship Id="rId218" Type="http://schemas.openxmlformats.org/officeDocument/2006/relationships/hyperlink" Target="mailto:madrastruchis@gmail.com" TargetMode="External"/><Relationship Id="rId271" Type="http://schemas.openxmlformats.org/officeDocument/2006/relationships/hyperlink" Target="mailto:fany-mencias@hotmail.com" TargetMode="External"/><Relationship Id="rId24" Type="http://schemas.openxmlformats.org/officeDocument/2006/relationships/hyperlink" Target="mailto:angelita.silviaro@gmail.com" TargetMode="External"/><Relationship Id="rId66" Type="http://schemas.openxmlformats.org/officeDocument/2006/relationships/hyperlink" Target="mailto:anabelzambrano91@gmail.com" TargetMode="External"/><Relationship Id="rId131" Type="http://schemas.openxmlformats.org/officeDocument/2006/relationships/hyperlink" Target="mailto:vir_74@hotmail.com" TargetMode="External"/><Relationship Id="rId327" Type="http://schemas.openxmlformats.org/officeDocument/2006/relationships/hyperlink" Target="mailto:daniguerreiosanchez@hotmail.es" TargetMode="External"/><Relationship Id="rId369" Type="http://schemas.openxmlformats.org/officeDocument/2006/relationships/hyperlink" Target="mailto:majoroseroe1_@gmail.com" TargetMode="External"/><Relationship Id="rId173" Type="http://schemas.openxmlformats.org/officeDocument/2006/relationships/hyperlink" Target="mailto:mafer-reyes@hotmail.ec" TargetMode="External"/><Relationship Id="rId229" Type="http://schemas.openxmlformats.org/officeDocument/2006/relationships/hyperlink" Target="mailto:tstradaioli@gmail.com" TargetMode="External"/><Relationship Id="rId380" Type="http://schemas.openxmlformats.org/officeDocument/2006/relationships/hyperlink" Target="mailto:paulyespin@hotmail.com" TargetMode="External"/><Relationship Id="rId240" Type="http://schemas.openxmlformats.org/officeDocument/2006/relationships/hyperlink" Target="mailto:dianakburbano@outlook.com" TargetMode="External"/><Relationship Id="rId35" Type="http://schemas.openxmlformats.org/officeDocument/2006/relationships/hyperlink" Target="mailto:andreae.pardo@gmail.com" TargetMode="External"/><Relationship Id="rId77" Type="http://schemas.openxmlformats.org/officeDocument/2006/relationships/hyperlink" Target="mailto:werazo29@hotmail.com" TargetMode="External"/><Relationship Id="rId100" Type="http://schemas.openxmlformats.org/officeDocument/2006/relationships/hyperlink" Target="mailto:helragba@yahoo.com" TargetMode="External"/><Relationship Id="rId282" Type="http://schemas.openxmlformats.org/officeDocument/2006/relationships/hyperlink" Target="mailto:gabrielacuasapazp@gmail,com" TargetMode="External"/><Relationship Id="rId338" Type="http://schemas.openxmlformats.org/officeDocument/2006/relationships/hyperlink" Target="mailto:pablonicolas.06@hotmail.com" TargetMode="External"/><Relationship Id="rId8" Type="http://schemas.openxmlformats.org/officeDocument/2006/relationships/hyperlink" Target="mailto:jan.ce46@hotmail.com" TargetMode="External"/><Relationship Id="rId142" Type="http://schemas.openxmlformats.org/officeDocument/2006/relationships/hyperlink" Target="mailto:mlojanov@gmail.com" TargetMode="External"/><Relationship Id="rId184" Type="http://schemas.openxmlformats.org/officeDocument/2006/relationships/hyperlink" Target="mailto:dianakburbano@outlook.com" TargetMode="External"/><Relationship Id="rId391" Type="http://schemas.openxmlformats.org/officeDocument/2006/relationships/hyperlink" Target="mailto:masolrl@gmail.com" TargetMode="External"/><Relationship Id="rId251" Type="http://schemas.openxmlformats.org/officeDocument/2006/relationships/hyperlink" Target="mailto:cd_cifuentes3@hotmail.com" TargetMode="External"/><Relationship Id="rId46" Type="http://schemas.openxmlformats.org/officeDocument/2006/relationships/hyperlink" Target="mailto:facturas@hedge.com.ec" TargetMode="External"/><Relationship Id="rId293" Type="http://schemas.openxmlformats.org/officeDocument/2006/relationships/hyperlink" Target="mailto:carolinavallejo.ac@gmail.com" TargetMode="External"/><Relationship Id="rId307" Type="http://schemas.openxmlformats.org/officeDocument/2006/relationships/hyperlink" Target="mailto:ajarrin85@hotmail.com" TargetMode="External"/><Relationship Id="rId349" Type="http://schemas.openxmlformats.org/officeDocument/2006/relationships/hyperlink" Target="mailto:andrea_ccajas@yahoo.com" TargetMode="External"/><Relationship Id="rId88" Type="http://schemas.openxmlformats.org/officeDocument/2006/relationships/hyperlink" Target="mailto:adrian_ibarra4@yahoo.com" TargetMode="External"/><Relationship Id="rId111" Type="http://schemas.openxmlformats.org/officeDocument/2006/relationships/hyperlink" Target="mailto:angelita.siviaro@gmail.com" TargetMode="External"/><Relationship Id="rId153" Type="http://schemas.openxmlformats.org/officeDocument/2006/relationships/hyperlink" Target="mailto:mayita98@hotmail.es" TargetMode="External"/><Relationship Id="rId195" Type="http://schemas.openxmlformats.org/officeDocument/2006/relationships/hyperlink" Target="mailto:kro16_87@hotmail.com" TargetMode="External"/><Relationship Id="rId209" Type="http://schemas.openxmlformats.org/officeDocument/2006/relationships/hyperlink" Target="mailto:anabelzambrano91@gmail.com" TargetMode="External"/><Relationship Id="rId360" Type="http://schemas.openxmlformats.org/officeDocument/2006/relationships/hyperlink" Target="mailto:andreae.pardoch@gmail.com" TargetMode="External"/><Relationship Id="rId220" Type="http://schemas.openxmlformats.org/officeDocument/2006/relationships/hyperlink" Target="mailto:monihervi@gmail.com" TargetMode="External"/><Relationship Id="rId15" Type="http://schemas.openxmlformats.org/officeDocument/2006/relationships/hyperlink" Target="mailto:jessima96@hotmail.com" TargetMode="External"/><Relationship Id="rId57" Type="http://schemas.openxmlformats.org/officeDocument/2006/relationships/hyperlink" Target="mailto:glunanarvaez@gmail.com" TargetMode="External"/><Relationship Id="rId262" Type="http://schemas.openxmlformats.org/officeDocument/2006/relationships/hyperlink" Target="mailto:ejmerizalde@hotmail.com" TargetMode="External"/><Relationship Id="rId318" Type="http://schemas.openxmlformats.org/officeDocument/2006/relationships/hyperlink" Target="mailto:mabelgis065@gmail.com" TargetMode="External"/><Relationship Id="rId99" Type="http://schemas.openxmlformats.org/officeDocument/2006/relationships/hyperlink" Target="mailto:jessmanzano1985@hotmail.com" TargetMode="External"/><Relationship Id="rId122" Type="http://schemas.openxmlformats.org/officeDocument/2006/relationships/hyperlink" Target="mailto:egbduque@gmail.com" TargetMode="External"/><Relationship Id="rId164" Type="http://schemas.openxmlformats.org/officeDocument/2006/relationships/hyperlink" Target="mailto:carolinavallejo.ac@gmail.com" TargetMode="External"/><Relationship Id="rId371" Type="http://schemas.openxmlformats.org/officeDocument/2006/relationships/hyperlink" Target="mailto:mariana_2192@hotmail.com" TargetMode="External"/><Relationship Id="rId26" Type="http://schemas.openxmlformats.org/officeDocument/2006/relationships/hyperlink" Target="mailto:sofia.gavilanes27@gmail.com" TargetMode="External"/><Relationship Id="rId231" Type="http://schemas.openxmlformats.org/officeDocument/2006/relationships/hyperlink" Target="mailto:cristinaalex@hotmail.com" TargetMode="External"/><Relationship Id="rId273" Type="http://schemas.openxmlformats.org/officeDocument/2006/relationships/hyperlink" Target="mailto:valentinacharpentier33@gmail.com" TargetMode="External"/><Relationship Id="rId329" Type="http://schemas.openxmlformats.org/officeDocument/2006/relationships/hyperlink" Target="mailto:paul.cherres@gmail.com" TargetMode="External"/><Relationship Id="rId68" Type="http://schemas.openxmlformats.org/officeDocument/2006/relationships/hyperlink" Target="mailto:paola1985.amv@gmail.com" TargetMode="External"/><Relationship Id="rId133" Type="http://schemas.openxmlformats.org/officeDocument/2006/relationships/hyperlink" Target="mailto:luishsandoval88@gmail.com" TargetMode="External"/><Relationship Id="rId175" Type="http://schemas.openxmlformats.org/officeDocument/2006/relationships/hyperlink" Target="mailto:karina_vizuete@hotmail.com" TargetMode="External"/><Relationship Id="rId340" Type="http://schemas.openxmlformats.org/officeDocument/2006/relationships/hyperlink" Target="mailto:sharon.ayala.98@outlook.com" TargetMode="External"/><Relationship Id="rId200" Type="http://schemas.openxmlformats.org/officeDocument/2006/relationships/hyperlink" Target="mailto:carolinamena85@hotmail.com" TargetMode="External"/><Relationship Id="rId382" Type="http://schemas.openxmlformats.org/officeDocument/2006/relationships/hyperlink" Target="mailto:andrea_ccaja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B11" sqref="B11"/>
    </sheetView>
  </sheetViews>
  <sheetFormatPr baseColWidth="10" defaultColWidth="9.109375" defaultRowHeight="14.4" x14ac:dyDescent="0.3"/>
  <cols>
    <col min="1" max="1" width="33" customWidth="1"/>
    <col min="2" max="2" width="29" customWidth="1"/>
    <col min="3" max="3" width="15" customWidth="1"/>
    <col min="4" max="6" width="16" customWidth="1"/>
    <col min="7" max="7" width="22" customWidth="1"/>
    <col min="8" max="8" width="17" customWidth="1"/>
    <col min="9" max="10" width="16" customWidth="1"/>
  </cols>
  <sheetData>
    <row r="1" spans="1:10" ht="39.9" customHeight="1" x14ac:dyDescent="0.3">
      <c r="A1" s="261" t="s">
        <v>0</v>
      </c>
      <c r="B1" s="262"/>
      <c r="C1" s="262"/>
      <c r="D1" s="262"/>
      <c r="E1" s="262"/>
      <c r="F1" s="262"/>
      <c r="G1" s="262"/>
      <c r="H1" s="262"/>
      <c r="I1" s="262"/>
      <c r="J1" s="262"/>
    </row>
    <row r="2" spans="1:10" ht="24.9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0.100000000000001" customHeight="1" x14ac:dyDescent="0.3">
      <c r="A3" s="2" t="s">
        <v>11</v>
      </c>
      <c r="B3" s="2" t="s">
        <v>12</v>
      </c>
      <c r="C3" s="2" t="s">
        <v>13</v>
      </c>
      <c r="D3" s="3">
        <v>12</v>
      </c>
      <c r="E3" s="3">
        <v>4</v>
      </c>
      <c r="F3" s="4"/>
      <c r="G3" s="2" t="s">
        <v>14</v>
      </c>
      <c r="H3" s="5" t="s">
        <v>15</v>
      </c>
      <c r="I3" s="6">
        <v>3.5</v>
      </c>
      <c r="J3" s="7" t="s">
        <v>16</v>
      </c>
    </row>
    <row r="4" spans="1:10" ht="20.100000000000001" customHeight="1" x14ac:dyDescent="0.3">
      <c r="A4" s="8" t="s">
        <v>17</v>
      </c>
      <c r="B4" s="8" t="s">
        <v>18</v>
      </c>
      <c r="C4" s="8" t="s">
        <v>13</v>
      </c>
      <c r="D4" s="9">
        <v>3</v>
      </c>
      <c r="E4" s="9">
        <v>4</v>
      </c>
      <c r="F4" s="10"/>
      <c r="G4" s="11" t="s">
        <v>19</v>
      </c>
      <c r="H4" s="12" t="s">
        <v>20</v>
      </c>
      <c r="I4" s="13">
        <v>8</v>
      </c>
      <c r="J4" s="14" t="s">
        <v>21</v>
      </c>
    </row>
    <row r="5" spans="1:10" ht="20.100000000000001" customHeight="1" x14ac:dyDescent="0.3">
      <c r="A5" s="2" t="s">
        <v>22</v>
      </c>
      <c r="B5" s="2" t="s">
        <v>23</v>
      </c>
      <c r="C5" s="2" t="s">
        <v>24</v>
      </c>
      <c r="D5" s="3">
        <v>8</v>
      </c>
      <c r="E5" s="3">
        <v>4</v>
      </c>
      <c r="F5" s="6">
        <v>7.5</v>
      </c>
      <c r="G5" s="2" t="s">
        <v>25</v>
      </c>
      <c r="H5" s="5" t="s">
        <v>26</v>
      </c>
      <c r="I5" s="6">
        <v>3</v>
      </c>
      <c r="J5" s="7" t="s">
        <v>27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H7" sqref="H7"/>
    </sheetView>
  </sheetViews>
  <sheetFormatPr baseColWidth="10" defaultColWidth="9.109375" defaultRowHeight="14.4" x14ac:dyDescent="0.3"/>
  <cols>
    <col min="1" max="1" width="24" customWidth="1"/>
    <col min="2" max="2" width="15" customWidth="1"/>
    <col min="3" max="3" width="20" customWidth="1"/>
    <col min="4" max="4" width="31" customWidth="1"/>
  </cols>
  <sheetData>
    <row r="1" spans="1:4" ht="39.9" customHeight="1" x14ac:dyDescent="0.3">
      <c r="A1" s="261" t="s">
        <v>28</v>
      </c>
      <c r="B1" s="262"/>
      <c r="C1" s="262"/>
      <c r="D1" s="262"/>
    </row>
    <row r="2" spans="1:4" ht="24.9" customHeight="1" x14ac:dyDescent="0.3">
      <c r="A2" s="1" t="s">
        <v>1</v>
      </c>
      <c r="B2" s="1" t="s">
        <v>29</v>
      </c>
      <c r="C2" s="1" t="s">
        <v>30</v>
      </c>
      <c r="D2" s="1" t="s">
        <v>31</v>
      </c>
    </row>
    <row r="3" spans="1:4" ht="20.100000000000001" customHeight="1" x14ac:dyDescent="0.3">
      <c r="A3" s="2" t="s">
        <v>32</v>
      </c>
      <c r="B3" s="6">
        <v>35</v>
      </c>
      <c r="C3" s="3">
        <v>60</v>
      </c>
      <c r="D3" s="3">
        <v>21</v>
      </c>
    </row>
    <row r="4" spans="1:4" ht="20.100000000000001" customHeight="1" x14ac:dyDescent="0.3">
      <c r="A4" s="8" t="s">
        <v>33</v>
      </c>
      <c r="B4" s="13">
        <v>25</v>
      </c>
      <c r="C4" s="9">
        <v>45</v>
      </c>
      <c r="D4" s="9">
        <v>21</v>
      </c>
    </row>
    <row r="5" spans="1:4" ht="20.100000000000001" customHeight="1" x14ac:dyDescent="0.3">
      <c r="A5" s="2" t="s">
        <v>34</v>
      </c>
      <c r="B5" s="6">
        <v>15</v>
      </c>
      <c r="C5" s="3">
        <v>30</v>
      </c>
      <c r="D5" s="3">
        <v>30</v>
      </c>
    </row>
    <row r="6" spans="1:4" ht="20.100000000000001" customHeight="1" x14ac:dyDescent="0.3">
      <c r="A6" s="8" t="s">
        <v>35</v>
      </c>
      <c r="B6" s="13">
        <v>90</v>
      </c>
      <c r="C6" s="9">
        <v>120</v>
      </c>
      <c r="D6" s="9">
        <v>90</v>
      </c>
    </row>
    <row r="7" spans="1:4" ht="20.100000000000001" customHeight="1" x14ac:dyDescent="0.3">
      <c r="A7" s="2" t="s">
        <v>36</v>
      </c>
      <c r="B7" s="6">
        <v>12</v>
      </c>
      <c r="C7" s="3">
        <v>20</v>
      </c>
      <c r="D7" s="3">
        <v>15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927"/>
  <sheetViews>
    <sheetView topLeftCell="A274" workbookViewId="0">
      <selection activeCell="A3" sqref="A3:A13"/>
    </sheetView>
  </sheetViews>
  <sheetFormatPr baseColWidth="10" defaultColWidth="9.109375" defaultRowHeight="19.2" x14ac:dyDescent="0.45"/>
  <cols>
    <col min="1" max="1" width="19" style="36" customWidth="1"/>
    <col min="2" max="2" width="46.5546875" style="36" bestFit="1" customWidth="1"/>
    <col min="3" max="3" width="15" style="36" customWidth="1"/>
    <col min="4" max="4" width="24" style="36" customWidth="1"/>
    <col min="5" max="5" width="18" style="36" customWidth="1"/>
    <col min="6" max="16384" width="9.109375" style="36"/>
  </cols>
  <sheetData>
    <row r="1" spans="1:5" ht="39.9" customHeight="1" x14ac:dyDescent="0.45">
      <c r="A1" s="263" t="s">
        <v>37</v>
      </c>
      <c r="B1" s="264"/>
      <c r="C1" s="264"/>
      <c r="D1" s="264"/>
      <c r="E1" s="264"/>
    </row>
    <row r="2" spans="1:5" ht="24.9" customHeight="1" x14ac:dyDescent="0.45">
      <c r="A2" s="37" t="s">
        <v>1007</v>
      </c>
      <c r="B2" s="37" t="s">
        <v>1006</v>
      </c>
      <c r="C2" s="37" t="s">
        <v>38</v>
      </c>
      <c r="D2" s="37" t="s">
        <v>39</v>
      </c>
      <c r="E2" s="37" t="s">
        <v>40</v>
      </c>
    </row>
    <row r="3" spans="1:5" ht="20.100000000000001" customHeight="1" x14ac:dyDescent="0.45">
      <c r="A3" s="38"/>
      <c r="B3" s="38" t="s">
        <v>67</v>
      </c>
      <c r="C3" s="38"/>
      <c r="D3" s="38"/>
      <c r="E3" s="39" t="s">
        <v>42</v>
      </c>
    </row>
    <row r="4" spans="1:5" ht="20.100000000000001" customHeight="1" x14ac:dyDescent="0.45">
      <c r="A4" s="40"/>
      <c r="B4" s="40" t="s">
        <v>67</v>
      </c>
      <c r="C4" s="40"/>
      <c r="D4" s="40"/>
      <c r="E4" s="39" t="s">
        <v>42</v>
      </c>
    </row>
    <row r="5" spans="1:5" ht="20.100000000000001" customHeight="1" x14ac:dyDescent="0.45">
      <c r="A5" s="40"/>
      <c r="B5" s="40" t="s">
        <v>67</v>
      </c>
      <c r="C5" s="40"/>
      <c r="D5" s="40"/>
      <c r="E5" s="39" t="s">
        <v>42</v>
      </c>
    </row>
    <row r="6" spans="1:5" x14ac:dyDescent="0.45">
      <c r="A6" s="40"/>
      <c r="B6" s="40" t="s">
        <v>71</v>
      </c>
      <c r="C6" s="40">
        <v>995674830</v>
      </c>
      <c r="D6" s="40"/>
      <c r="E6" s="39" t="s">
        <v>42</v>
      </c>
    </row>
    <row r="7" spans="1:5" x14ac:dyDescent="0.45">
      <c r="A7" s="40"/>
      <c r="B7" s="40" t="s">
        <v>74</v>
      </c>
      <c r="C7" s="40">
        <v>997562221</v>
      </c>
      <c r="D7" s="40"/>
      <c r="E7" s="39" t="s">
        <v>42</v>
      </c>
    </row>
    <row r="8" spans="1:5" x14ac:dyDescent="0.45">
      <c r="A8" s="40"/>
      <c r="B8" s="40" t="s">
        <v>76</v>
      </c>
      <c r="C8" s="40">
        <v>962842721</v>
      </c>
      <c r="D8" s="40"/>
      <c r="E8" s="39" t="s">
        <v>42</v>
      </c>
    </row>
    <row r="9" spans="1:5" x14ac:dyDescent="0.45">
      <c r="A9" s="40"/>
      <c r="B9" s="40" t="s">
        <v>77</v>
      </c>
      <c r="C9" s="40">
        <v>962842721</v>
      </c>
      <c r="D9" s="40"/>
      <c r="E9" s="39" t="s">
        <v>42</v>
      </c>
    </row>
    <row r="10" spans="1:5" x14ac:dyDescent="0.45">
      <c r="A10" s="41"/>
      <c r="B10" s="41" t="s">
        <v>78</v>
      </c>
      <c r="C10" s="41">
        <v>997760897</v>
      </c>
      <c r="D10" s="41"/>
      <c r="E10" s="39" t="s">
        <v>42</v>
      </c>
    </row>
    <row r="11" spans="1:5" x14ac:dyDescent="0.45">
      <c r="A11" s="41"/>
      <c r="B11" s="41" t="s">
        <v>81</v>
      </c>
      <c r="C11" s="41">
        <v>997760897</v>
      </c>
      <c r="D11" s="41"/>
      <c r="E11" s="39" t="s">
        <v>42</v>
      </c>
    </row>
    <row r="12" spans="1:5" x14ac:dyDescent="0.45">
      <c r="A12" s="41"/>
      <c r="B12" s="41" t="s">
        <v>82</v>
      </c>
      <c r="C12" s="41">
        <v>997760897</v>
      </c>
      <c r="D12" s="41"/>
      <c r="E12" s="39" t="s">
        <v>42</v>
      </c>
    </row>
    <row r="13" spans="1:5" x14ac:dyDescent="0.45">
      <c r="A13" s="38"/>
      <c r="B13" s="38"/>
      <c r="C13" s="38"/>
      <c r="D13" s="38"/>
      <c r="E13" s="39" t="s">
        <v>42</v>
      </c>
    </row>
    <row r="14" spans="1:5" x14ac:dyDescent="0.45">
      <c r="A14" s="40"/>
      <c r="B14" s="40"/>
      <c r="C14" s="40"/>
      <c r="D14" s="40"/>
      <c r="E14" s="39" t="s">
        <v>42</v>
      </c>
    </row>
    <row r="15" spans="1:5" x14ac:dyDescent="0.45">
      <c r="A15" s="40"/>
      <c r="B15" s="40"/>
      <c r="C15" s="40"/>
      <c r="D15" s="40"/>
      <c r="E15" s="39" t="s">
        <v>42</v>
      </c>
    </row>
    <row r="16" spans="1:5" x14ac:dyDescent="0.45">
      <c r="A16" s="42"/>
      <c r="B16" s="42"/>
      <c r="C16" s="42"/>
      <c r="D16" s="42"/>
      <c r="E16" s="39" t="s">
        <v>42</v>
      </c>
    </row>
    <row r="17" spans="1:5" x14ac:dyDescent="0.45">
      <c r="A17" s="38"/>
      <c r="B17" s="40" t="s">
        <v>86</v>
      </c>
      <c r="C17" s="38"/>
      <c r="D17" s="38"/>
      <c r="E17" s="39" t="s">
        <v>42</v>
      </c>
    </row>
    <row r="18" spans="1:5" x14ac:dyDescent="0.45">
      <c r="A18" s="40"/>
      <c r="B18" s="40" t="s">
        <v>86</v>
      </c>
      <c r="C18" s="40"/>
      <c r="D18" s="40"/>
      <c r="E18" s="39" t="s">
        <v>42</v>
      </c>
    </row>
    <row r="19" spans="1:5" x14ac:dyDescent="0.45">
      <c r="A19" s="40"/>
      <c r="B19" s="40" t="s">
        <v>91</v>
      </c>
      <c r="C19" s="40"/>
      <c r="D19" s="40"/>
      <c r="E19" s="39" t="s">
        <v>42</v>
      </c>
    </row>
    <row r="20" spans="1:5" x14ac:dyDescent="0.45">
      <c r="A20" s="40"/>
      <c r="B20" s="40" t="s">
        <v>91</v>
      </c>
      <c r="C20" s="40"/>
      <c r="D20" s="40"/>
      <c r="E20" s="39" t="s">
        <v>42</v>
      </c>
    </row>
    <row r="21" spans="1:5" x14ac:dyDescent="0.45">
      <c r="A21" s="42"/>
      <c r="B21" s="43" t="s">
        <v>94</v>
      </c>
      <c r="C21" s="42"/>
      <c r="D21" s="42"/>
      <c r="E21" s="39" t="s">
        <v>42</v>
      </c>
    </row>
    <row r="22" spans="1:5" x14ac:dyDescent="0.45">
      <c r="A22" s="43"/>
      <c r="B22" s="43" t="s">
        <v>97</v>
      </c>
      <c r="C22" s="43"/>
      <c r="D22" s="43"/>
      <c r="E22" s="39" t="s">
        <v>42</v>
      </c>
    </row>
    <row r="23" spans="1:5" x14ac:dyDescent="0.45">
      <c r="A23" s="38"/>
      <c r="B23" s="38"/>
      <c r="C23" s="38"/>
      <c r="D23" s="38"/>
      <c r="E23" s="39" t="s">
        <v>42</v>
      </c>
    </row>
    <row r="24" spans="1:5" x14ac:dyDescent="0.45">
      <c r="A24" s="42"/>
      <c r="B24" s="43"/>
      <c r="C24" s="42"/>
      <c r="D24" s="42"/>
      <c r="E24" s="39" t="s">
        <v>42</v>
      </c>
    </row>
    <row r="25" spans="1:5" x14ac:dyDescent="0.45">
      <c r="A25" s="43"/>
      <c r="B25" s="43" t="s">
        <v>101</v>
      </c>
      <c r="C25" s="43"/>
      <c r="D25" s="43"/>
      <c r="E25" s="39" t="s">
        <v>42</v>
      </c>
    </row>
    <row r="26" spans="1:5" x14ac:dyDescent="0.45">
      <c r="A26" s="43"/>
      <c r="B26" s="43"/>
      <c r="C26" s="43"/>
      <c r="D26" s="43"/>
      <c r="E26" s="39" t="s">
        <v>42</v>
      </c>
    </row>
    <row r="27" spans="1:5" x14ac:dyDescent="0.45">
      <c r="A27" s="43"/>
      <c r="B27" s="43"/>
      <c r="C27" s="43"/>
      <c r="D27" s="43"/>
      <c r="E27" s="39" t="s">
        <v>42</v>
      </c>
    </row>
    <row r="28" spans="1:5" x14ac:dyDescent="0.45">
      <c r="A28" s="43"/>
      <c r="B28" s="43"/>
      <c r="C28" s="43"/>
      <c r="D28" s="43"/>
      <c r="E28" s="39" t="s">
        <v>42</v>
      </c>
    </row>
    <row r="29" spans="1:5" x14ac:dyDescent="0.45">
      <c r="A29" s="43"/>
      <c r="B29" s="43"/>
      <c r="C29" s="43"/>
      <c r="D29" s="43"/>
      <c r="E29" s="39" t="s">
        <v>42</v>
      </c>
    </row>
    <row r="30" spans="1:5" x14ac:dyDescent="0.45">
      <c r="A30" s="38"/>
      <c r="B30" s="40" t="s">
        <v>106</v>
      </c>
      <c r="C30" s="38"/>
      <c r="D30" s="38"/>
      <c r="E30" s="39" t="s">
        <v>42</v>
      </c>
    </row>
    <row r="31" spans="1:5" x14ac:dyDescent="0.45">
      <c r="A31" s="40"/>
      <c r="B31" s="40"/>
      <c r="C31" s="40"/>
      <c r="D31" s="40"/>
      <c r="E31" s="39" t="s">
        <v>42</v>
      </c>
    </row>
    <row r="32" spans="1:5" x14ac:dyDescent="0.45">
      <c r="A32" s="40"/>
      <c r="B32" s="40" t="s">
        <v>109</v>
      </c>
      <c r="C32" s="40"/>
      <c r="D32" s="40"/>
      <c r="E32" s="39" t="s">
        <v>42</v>
      </c>
    </row>
    <row r="33" spans="1:5" x14ac:dyDescent="0.45">
      <c r="A33" s="40"/>
      <c r="B33" s="40" t="s">
        <v>111</v>
      </c>
      <c r="C33" s="40"/>
      <c r="D33" s="40"/>
      <c r="E33" s="39" t="s">
        <v>42</v>
      </c>
    </row>
    <row r="34" spans="1:5" x14ac:dyDescent="0.45">
      <c r="A34" s="40"/>
      <c r="B34" s="40"/>
      <c r="C34" s="40"/>
      <c r="D34" s="40"/>
      <c r="E34" s="39" t="s">
        <v>42</v>
      </c>
    </row>
    <row r="35" spans="1:5" x14ac:dyDescent="0.45">
      <c r="A35" s="40"/>
      <c r="B35" s="40"/>
      <c r="C35" s="40"/>
      <c r="D35" s="40"/>
      <c r="E35" s="39" t="s">
        <v>42</v>
      </c>
    </row>
    <row r="36" spans="1:5" x14ac:dyDescent="0.45">
      <c r="A36" s="40"/>
      <c r="B36" s="40"/>
      <c r="C36" s="40"/>
      <c r="D36" s="40"/>
      <c r="E36" s="39" t="s">
        <v>42</v>
      </c>
    </row>
    <row r="37" spans="1:5" x14ac:dyDescent="0.45">
      <c r="A37" s="43"/>
      <c r="B37" s="43" t="s">
        <v>114</v>
      </c>
      <c r="C37" s="43"/>
      <c r="D37" s="43"/>
      <c r="E37" s="39" t="s">
        <v>42</v>
      </c>
    </row>
    <row r="38" spans="1:5" x14ac:dyDescent="0.45">
      <c r="A38" s="43"/>
      <c r="B38" s="43" t="s">
        <v>115</v>
      </c>
      <c r="C38" s="43"/>
      <c r="D38" s="43"/>
      <c r="E38" s="39" t="s">
        <v>42</v>
      </c>
    </row>
    <row r="39" spans="1:5" x14ac:dyDescent="0.45">
      <c r="A39" s="43">
        <v>1707963227</v>
      </c>
      <c r="B39" s="43" t="s">
        <v>77</v>
      </c>
      <c r="C39" s="43">
        <v>962842721</v>
      </c>
      <c r="D39" s="17" t="s">
        <v>1008</v>
      </c>
      <c r="E39" s="39" t="s">
        <v>42</v>
      </c>
    </row>
    <row r="40" spans="1:5" x14ac:dyDescent="0.45">
      <c r="A40" s="43"/>
      <c r="B40" s="43"/>
      <c r="C40" s="43"/>
      <c r="D40" s="43"/>
      <c r="E40" s="39" t="s">
        <v>42</v>
      </c>
    </row>
    <row r="41" spans="1:5" x14ac:dyDescent="0.45">
      <c r="A41" s="43"/>
      <c r="B41" s="43"/>
      <c r="C41" s="43"/>
      <c r="D41" s="43"/>
      <c r="E41" s="39" t="s">
        <v>42</v>
      </c>
    </row>
    <row r="42" spans="1:5" x14ac:dyDescent="0.45">
      <c r="A42" s="43"/>
      <c r="B42" s="43"/>
      <c r="C42" s="43"/>
      <c r="D42" s="43"/>
      <c r="E42" s="39" t="s">
        <v>42</v>
      </c>
    </row>
    <row r="43" spans="1:5" x14ac:dyDescent="0.45">
      <c r="A43" s="40"/>
      <c r="B43" s="40" t="s">
        <v>119</v>
      </c>
      <c r="C43" s="40"/>
      <c r="D43" s="40"/>
      <c r="E43" s="39" t="s">
        <v>42</v>
      </c>
    </row>
    <row r="44" spans="1:5" x14ac:dyDescent="0.45">
      <c r="A44" s="40"/>
      <c r="B44" s="40" t="s">
        <v>119</v>
      </c>
      <c r="C44" s="40"/>
      <c r="D44" s="40"/>
      <c r="E44" s="39" t="s">
        <v>42</v>
      </c>
    </row>
    <row r="45" spans="1:5" x14ac:dyDescent="0.45">
      <c r="A45" s="43"/>
      <c r="B45" s="43" t="s">
        <v>120</v>
      </c>
      <c r="C45" s="43"/>
      <c r="D45" s="43"/>
      <c r="E45" s="39" t="s">
        <v>42</v>
      </c>
    </row>
    <row r="46" spans="1:5" x14ac:dyDescent="0.45">
      <c r="A46" s="43"/>
      <c r="B46" s="43" t="s">
        <v>121</v>
      </c>
      <c r="C46" s="43"/>
      <c r="D46" s="43"/>
      <c r="E46" s="39" t="s">
        <v>42</v>
      </c>
    </row>
    <row r="47" spans="1:5" x14ac:dyDescent="0.45">
      <c r="A47" s="43"/>
      <c r="B47" s="43"/>
      <c r="C47" s="43"/>
      <c r="D47" s="43"/>
      <c r="E47" s="39" t="s">
        <v>42</v>
      </c>
    </row>
    <row r="48" spans="1:5" x14ac:dyDescent="0.45">
      <c r="A48" s="43"/>
      <c r="B48" s="43"/>
      <c r="C48" s="43"/>
      <c r="D48" s="43"/>
      <c r="E48" s="39" t="s">
        <v>42</v>
      </c>
    </row>
    <row r="49" spans="1:5" x14ac:dyDescent="0.45">
      <c r="A49" s="43"/>
      <c r="B49" s="43"/>
      <c r="C49" s="43"/>
      <c r="D49" s="43"/>
      <c r="E49" s="39" t="s">
        <v>42</v>
      </c>
    </row>
    <row r="50" spans="1:5" x14ac:dyDescent="0.45">
      <c r="A50" s="40"/>
      <c r="B50" s="40" t="s">
        <v>124</v>
      </c>
      <c r="C50" s="40"/>
      <c r="D50" s="40"/>
      <c r="E50" s="39" t="s">
        <v>42</v>
      </c>
    </row>
    <row r="51" spans="1:5" x14ac:dyDescent="0.45">
      <c r="A51" s="40"/>
      <c r="B51" s="40" t="s">
        <v>126</v>
      </c>
      <c r="C51" s="40"/>
      <c r="D51" s="40"/>
      <c r="E51" s="39" t="s">
        <v>42</v>
      </c>
    </row>
    <row r="52" spans="1:5" x14ac:dyDescent="0.45">
      <c r="A52" s="40"/>
      <c r="B52" s="40" t="s">
        <v>127</v>
      </c>
      <c r="C52" s="40"/>
      <c r="D52" s="40"/>
      <c r="E52" s="39" t="s">
        <v>42</v>
      </c>
    </row>
    <row r="53" spans="1:5" x14ac:dyDescent="0.45">
      <c r="A53" s="40"/>
      <c r="B53" s="40"/>
      <c r="C53" s="40"/>
      <c r="D53" s="40"/>
      <c r="E53" s="39" t="s">
        <v>42</v>
      </c>
    </row>
    <row r="54" spans="1:5" x14ac:dyDescent="0.45">
      <c r="A54" s="40"/>
      <c r="B54" s="40"/>
      <c r="C54" s="40"/>
      <c r="D54" s="40"/>
      <c r="E54" s="39" t="s">
        <v>42</v>
      </c>
    </row>
    <row r="55" spans="1:5" x14ac:dyDescent="0.45">
      <c r="A55" s="43"/>
      <c r="B55" s="43"/>
      <c r="C55" s="43"/>
      <c r="D55" s="43"/>
      <c r="E55" s="39" t="s">
        <v>42</v>
      </c>
    </row>
    <row r="56" spans="1:5" x14ac:dyDescent="0.45">
      <c r="A56" s="43"/>
      <c r="B56" s="43" t="s">
        <v>130</v>
      </c>
      <c r="C56" s="43"/>
      <c r="D56" s="43"/>
      <c r="E56" s="39" t="s">
        <v>42</v>
      </c>
    </row>
    <row r="57" spans="1:5" x14ac:dyDescent="0.45">
      <c r="A57" s="43"/>
      <c r="B57" s="43"/>
      <c r="C57" s="43"/>
      <c r="D57" s="43"/>
      <c r="E57" s="39" t="s">
        <v>42</v>
      </c>
    </row>
    <row r="58" spans="1:5" x14ac:dyDescent="0.45">
      <c r="A58" s="43"/>
      <c r="B58" s="43"/>
      <c r="C58" s="43"/>
      <c r="D58" s="43"/>
      <c r="E58" s="39" t="s">
        <v>42</v>
      </c>
    </row>
    <row r="59" spans="1:5" x14ac:dyDescent="0.45">
      <c r="A59" s="44"/>
      <c r="B59" s="44" t="s">
        <v>131</v>
      </c>
      <c r="C59" s="44"/>
      <c r="D59" s="44"/>
      <c r="E59" s="39" t="s">
        <v>42</v>
      </c>
    </row>
    <row r="60" spans="1:5" x14ac:dyDescent="0.45">
      <c r="A60" s="44"/>
      <c r="B60" s="44" t="s">
        <v>71</v>
      </c>
      <c r="C60" s="44"/>
      <c r="D60" s="44"/>
      <c r="E60" s="39" t="s">
        <v>42</v>
      </c>
    </row>
    <row r="61" spans="1:5" x14ac:dyDescent="0.45">
      <c r="A61" s="44"/>
      <c r="B61" s="44" t="s">
        <v>74</v>
      </c>
      <c r="C61" s="44"/>
      <c r="D61" s="44"/>
      <c r="E61" s="39" t="s">
        <v>42</v>
      </c>
    </row>
    <row r="62" spans="1:5" x14ac:dyDescent="0.45">
      <c r="A62" s="44"/>
      <c r="B62" s="44" t="s">
        <v>135</v>
      </c>
      <c r="C62" s="44"/>
      <c r="D62" s="44"/>
      <c r="E62" s="39" t="s">
        <v>42</v>
      </c>
    </row>
    <row r="63" spans="1:5" x14ac:dyDescent="0.45">
      <c r="A63" s="44"/>
      <c r="B63" s="44" t="s">
        <v>135</v>
      </c>
      <c r="C63" s="44"/>
      <c r="D63" s="44"/>
      <c r="E63" s="39" t="s">
        <v>42</v>
      </c>
    </row>
    <row r="64" spans="1:5" x14ac:dyDescent="0.45">
      <c r="A64" s="44"/>
      <c r="B64" s="44" t="s">
        <v>138</v>
      </c>
      <c r="C64" s="44">
        <v>999380328</v>
      </c>
      <c r="D64" s="18" t="s">
        <v>1009</v>
      </c>
      <c r="E64" s="39" t="s">
        <v>42</v>
      </c>
    </row>
    <row r="65" spans="1:5" x14ac:dyDescent="0.45">
      <c r="A65" s="44"/>
      <c r="B65" s="44" t="s">
        <v>138</v>
      </c>
      <c r="C65" s="44">
        <v>999380328</v>
      </c>
      <c r="D65" s="18" t="s">
        <v>1009</v>
      </c>
      <c r="E65" s="39" t="s">
        <v>42</v>
      </c>
    </row>
    <row r="66" spans="1:5" x14ac:dyDescent="0.45">
      <c r="A66" s="44"/>
      <c r="B66" s="44" t="s">
        <v>138</v>
      </c>
      <c r="C66" s="44">
        <v>999380328</v>
      </c>
      <c r="D66" s="18" t="s">
        <v>1009</v>
      </c>
      <c r="E66" s="39" t="s">
        <v>42</v>
      </c>
    </row>
    <row r="67" spans="1:5" x14ac:dyDescent="0.45">
      <c r="A67" s="44"/>
      <c r="B67" s="44" t="s">
        <v>138</v>
      </c>
      <c r="C67" s="44">
        <v>999380328</v>
      </c>
      <c r="D67" s="18" t="s">
        <v>1009</v>
      </c>
      <c r="E67" s="39" t="s">
        <v>42</v>
      </c>
    </row>
    <row r="68" spans="1:5" x14ac:dyDescent="0.45">
      <c r="A68" s="44"/>
      <c r="B68" s="44" t="s">
        <v>77</v>
      </c>
      <c r="C68" s="44"/>
      <c r="D68" s="44"/>
      <c r="E68" s="39" t="s">
        <v>42</v>
      </c>
    </row>
    <row r="69" spans="1:5" x14ac:dyDescent="0.45">
      <c r="A69" s="44"/>
      <c r="B69" s="44" t="s">
        <v>71</v>
      </c>
      <c r="C69" s="44"/>
      <c r="D69" s="44"/>
      <c r="E69" s="39" t="s">
        <v>42</v>
      </c>
    </row>
    <row r="70" spans="1:5" x14ac:dyDescent="0.45">
      <c r="A70" s="43"/>
      <c r="B70" s="43" t="s">
        <v>143</v>
      </c>
      <c r="C70" s="43">
        <v>995001425</v>
      </c>
      <c r="D70" s="17" t="s">
        <v>1010</v>
      </c>
      <c r="E70" s="39" t="s">
        <v>42</v>
      </c>
    </row>
    <row r="71" spans="1:5" x14ac:dyDescent="0.45">
      <c r="A71" s="43"/>
      <c r="B71" s="43" t="s">
        <v>144</v>
      </c>
      <c r="C71" s="43">
        <v>959814387</v>
      </c>
      <c r="D71" s="17" t="s">
        <v>1011</v>
      </c>
      <c r="E71" s="39" t="s">
        <v>42</v>
      </c>
    </row>
    <row r="72" spans="1:5" x14ac:dyDescent="0.45">
      <c r="A72" s="43"/>
      <c r="B72" s="43" t="s">
        <v>146</v>
      </c>
      <c r="C72" s="43">
        <v>998923138</v>
      </c>
      <c r="D72" s="17" t="s">
        <v>1012</v>
      </c>
      <c r="E72" s="39" t="s">
        <v>42</v>
      </c>
    </row>
    <row r="73" spans="1:5" x14ac:dyDescent="0.45">
      <c r="A73" s="43"/>
      <c r="B73" s="43" t="s">
        <v>146</v>
      </c>
      <c r="C73" s="43">
        <v>998923138</v>
      </c>
      <c r="D73" s="17" t="s">
        <v>1012</v>
      </c>
      <c r="E73" s="39" t="s">
        <v>42</v>
      </c>
    </row>
    <row r="74" spans="1:5" x14ac:dyDescent="0.45">
      <c r="A74" s="43"/>
      <c r="B74" s="43" t="s">
        <v>146</v>
      </c>
      <c r="C74" s="43">
        <v>998923138</v>
      </c>
      <c r="D74" s="17" t="s">
        <v>1012</v>
      </c>
      <c r="E74" s="39" t="s">
        <v>42</v>
      </c>
    </row>
    <row r="75" spans="1:5" x14ac:dyDescent="0.45">
      <c r="A75" s="43"/>
      <c r="B75" s="43" t="s">
        <v>146</v>
      </c>
      <c r="C75" s="43">
        <v>998923138</v>
      </c>
      <c r="D75" s="17" t="s">
        <v>1012</v>
      </c>
      <c r="E75" s="39" t="s">
        <v>42</v>
      </c>
    </row>
    <row r="76" spans="1:5" x14ac:dyDescent="0.45">
      <c r="A76" s="43"/>
      <c r="B76" s="43" t="s">
        <v>147</v>
      </c>
      <c r="C76" s="43"/>
      <c r="D76" s="17"/>
      <c r="E76" s="39" t="s">
        <v>42</v>
      </c>
    </row>
    <row r="77" spans="1:5" x14ac:dyDescent="0.45">
      <c r="A77" s="43"/>
      <c r="B77" s="43" t="s">
        <v>148</v>
      </c>
      <c r="C77" s="43"/>
      <c r="D77" s="17"/>
      <c r="E77" s="39" t="s">
        <v>42</v>
      </c>
    </row>
    <row r="78" spans="1:5" x14ac:dyDescent="0.45">
      <c r="A78" s="43"/>
      <c r="B78" s="43" t="s">
        <v>82</v>
      </c>
      <c r="C78" s="43"/>
      <c r="D78" s="43"/>
      <c r="E78" s="39" t="s">
        <v>42</v>
      </c>
    </row>
    <row r="79" spans="1:5" x14ac:dyDescent="0.45">
      <c r="A79" s="40"/>
      <c r="B79" s="40"/>
      <c r="C79" s="40"/>
      <c r="D79" s="40"/>
      <c r="E79" s="39" t="s">
        <v>42</v>
      </c>
    </row>
    <row r="80" spans="1:5" x14ac:dyDescent="0.45">
      <c r="A80" s="40"/>
      <c r="B80" s="40" t="s">
        <v>151</v>
      </c>
      <c r="C80" s="40"/>
      <c r="D80" s="40"/>
      <c r="E80" s="39" t="s">
        <v>42</v>
      </c>
    </row>
    <row r="81" spans="1:5" x14ac:dyDescent="0.45">
      <c r="A81" s="40"/>
      <c r="B81" s="40" t="s">
        <v>152</v>
      </c>
      <c r="C81" s="40"/>
      <c r="D81" s="40"/>
      <c r="E81" s="39" t="s">
        <v>42</v>
      </c>
    </row>
    <row r="82" spans="1:5" x14ac:dyDescent="0.45">
      <c r="A82" s="42"/>
      <c r="B82" s="42"/>
      <c r="C82" s="42"/>
      <c r="D82" s="42"/>
      <c r="E82" s="39" t="s">
        <v>42</v>
      </c>
    </row>
    <row r="83" spans="1:5" x14ac:dyDescent="0.45">
      <c r="A83" s="43"/>
      <c r="B83" s="43"/>
      <c r="C83" s="43"/>
      <c r="D83" s="43"/>
      <c r="E83" s="39" t="s">
        <v>42</v>
      </c>
    </row>
    <row r="84" spans="1:5" x14ac:dyDescent="0.45">
      <c r="A84" s="43"/>
      <c r="B84" s="43"/>
      <c r="C84" s="43"/>
      <c r="D84" s="43"/>
      <c r="E84" s="39" t="s">
        <v>42</v>
      </c>
    </row>
    <row r="85" spans="1:5" x14ac:dyDescent="0.45">
      <c r="A85" s="43"/>
      <c r="B85" s="43"/>
      <c r="C85" s="43"/>
      <c r="D85" s="43"/>
      <c r="E85" s="39" t="s">
        <v>42</v>
      </c>
    </row>
    <row r="86" spans="1:5" x14ac:dyDescent="0.45">
      <c r="A86" s="43"/>
      <c r="B86" s="43"/>
      <c r="C86" s="43"/>
      <c r="D86" s="43"/>
      <c r="E86" s="39" t="s">
        <v>42</v>
      </c>
    </row>
    <row r="87" spans="1:5" x14ac:dyDescent="0.45">
      <c r="A87" s="43"/>
      <c r="B87" s="43"/>
      <c r="C87" s="43"/>
      <c r="D87" s="43"/>
      <c r="E87" s="39" t="s">
        <v>42</v>
      </c>
    </row>
    <row r="88" spans="1:5" x14ac:dyDescent="0.45">
      <c r="A88" s="38"/>
      <c r="B88" s="45"/>
      <c r="C88" s="38"/>
      <c r="D88" s="38"/>
      <c r="E88" s="39" t="s">
        <v>42</v>
      </c>
    </row>
    <row r="89" spans="1:5" x14ac:dyDescent="0.45">
      <c r="A89" s="40"/>
      <c r="B89" s="46"/>
      <c r="C89" s="40"/>
      <c r="D89" s="40"/>
      <c r="E89" s="39" t="s">
        <v>42</v>
      </c>
    </row>
    <row r="90" spans="1:5" x14ac:dyDescent="0.45">
      <c r="A90" s="40"/>
      <c r="B90" s="46"/>
      <c r="C90" s="40"/>
      <c r="D90" s="40"/>
      <c r="E90" s="39" t="s">
        <v>42</v>
      </c>
    </row>
    <row r="91" spans="1:5" x14ac:dyDescent="0.45">
      <c r="A91" s="40"/>
      <c r="B91" s="46"/>
      <c r="C91" s="40"/>
      <c r="D91" s="40"/>
      <c r="E91" s="39" t="s">
        <v>42</v>
      </c>
    </row>
    <row r="92" spans="1:5" x14ac:dyDescent="0.45">
      <c r="A92" s="42"/>
      <c r="B92" s="45"/>
      <c r="C92" s="42"/>
      <c r="D92" s="42"/>
      <c r="E92" s="39" t="s">
        <v>42</v>
      </c>
    </row>
    <row r="93" spans="1:5" x14ac:dyDescent="0.45">
      <c r="A93" s="40"/>
      <c r="B93" s="40" t="s">
        <v>157</v>
      </c>
      <c r="C93" s="40"/>
      <c r="D93" s="40"/>
      <c r="E93" s="39" t="s">
        <v>42</v>
      </c>
    </row>
    <row r="94" spans="1:5" x14ac:dyDescent="0.45">
      <c r="A94" s="40"/>
      <c r="B94" s="40" t="s">
        <v>158</v>
      </c>
      <c r="C94" s="40"/>
      <c r="D94" s="40"/>
      <c r="E94" s="39" t="s">
        <v>42</v>
      </c>
    </row>
    <row r="95" spans="1:5" x14ac:dyDescent="0.45">
      <c r="A95" s="40"/>
      <c r="B95" s="40" t="s">
        <v>159</v>
      </c>
      <c r="C95" s="40"/>
      <c r="D95" s="40"/>
      <c r="E95" s="39" t="s">
        <v>42</v>
      </c>
    </row>
    <row r="96" spans="1:5" x14ac:dyDescent="0.45">
      <c r="A96" s="40"/>
      <c r="B96" s="40"/>
      <c r="C96" s="40"/>
      <c r="D96" s="40"/>
      <c r="E96" s="39" t="s">
        <v>42</v>
      </c>
    </row>
    <row r="97" spans="1:5" x14ac:dyDescent="0.45">
      <c r="A97" s="40"/>
      <c r="B97" s="40"/>
      <c r="C97" s="40"/>
      <c r="D97" s="40"/>
      <c r="E97" s="39" t="s">
        <v>42</v>
      </c>
    </row>
    <row r="98" spans="1:5" x14ac:dyDescent="0.45">
      <c r="A98" s="43"/>
      <c r="B98" s="43" t="s">
        <v>162</v>
      </c>
      <c r="C98" s="43"/>
      <c r="D98" s="43"/>
      <c r="E98" s="39" t="s">
        <v>42</v>
      </c>
    </row>
    <row r="99" spans="1:5" x14ac:dyDescent="0.45">
      <c r="A99" s="47">
        <v>1716041510001</v>
      </c>
      <c r="B99" s="43" t="s">
        <v>163</v>
      </c>
      <c r="C99" s="43">
        <v>995176421</v>
      </c>
      <c r="D99" s="17" t="s">
        <v>1013</v>
      </c>
      <c r="E99" s="39" t="s">
        <v>42</v>
      </c>
    </row>
    <row r="100" spans="1:5" x14ac:dyDescent="0.45">
      <c r="A100" s="47">
        <v>1716041510001</v>
      </c>
      <c r="B100" s="43" t="s">
        <v>163</v>
      </c>
      <c r="C100" s="43">
        <v>995176421</v>
      </c>
      <c r="D100" s="17" t="s">
        <v>1013</v>
      </c>
      <c r="E100" s="39" t="s">
        <v>42</v>
      </c>
    </row>
    <row r="101" spans="1:5" x14ac:dyDescent="0.45">
      <c r="A101" s="43"/>
      <c r="B101" s="43" t="s">
        <v>165</v>
      </c>
      <c r="C101" s="43"/>
      <c r="D101" s="43"/>
      <c r="E101" s="39" t="s">
        <v>42</v>
      </c>
    </row>
    <row r="102" spans="1:5" x14ac:dyDescent="0.45">
      <c r="A102" s="43"/>
      <c r="B102" s="43" t="s">
        <v>167</v>
      </c>
      <c r="C102" s="43"/>
      <c r="D102" s="43"/>
      <c r="E102" s="39" t="s">
        <v>42</v>
      </c>
    </row>
    <row r="103" spans="1:5" x14ac:dyDescent="0.45">
      <c r="A103" s="43"/>
      <c r="B103" s="43" t="s">
        <v>168</v>
      </c>
      <c r="C103" s="43"/>
      <c r="D103" s="43"/>
      <c r="E103" s="39" t="s">
        <v>42</v>
      </c>
    </row>
    <row r="104" spans="1:5" x14ac:dyDescent="0.45">
      <c r="A104" s="43"/>
      <c r="B104" s="43" t="s">
        <v>67</v>
      </c>
      <c r="C104" s="43"/>
      <c r="D104" s="43"/>
      <c r="E104" s="39" t="s">
        <v>42</v>
      </c>
    </row>
    <row r="105" spans="1:5" x14ac:dyDescent="0.45">
      <c r="A105" s="43"/>
      <c r="B105" s="43"/>
      <c r="C105" s="43"/>
      <c r="D105" s="43"/>
      <c r="E105" s="39" t="s">
        <v>42</v>
      </c>
    </row>
    <row r="106" spans="1:5" x14ac:dyDescent="0.45">
      <c r="A106" s="40"/>
      <c r="B106" s="40" t="s">
        <v>171</v>
      </c>
      <c r="C106" s="40"/>
      <c r="D106" s="40"/>
      <c r="E106" s="39" t="s">
        <v>42</v>
      </c>
    </row>
    <row r="107" spans="1:5" x14ac:dyDescent="0.45">
      <c r="A107" s="40"/>
      <c r="B107" s="40" t="s">
        <v>172</v>
      </c>
      <c r="C107" s="40"/>
      <c r="D107" s="40"/>
      <c r="E107" s="39" t="s">
        <v>42</v>
      </c>
    </row>
    <row r="108" spans="1:5" x14ac:dyDescent="0.45">
      <c r="A108" s="40"/>
      <c r="B108" s="40"/>
      <c r="C108" s="40"/>
      <c r="D108" s="40"/>
      <c r="E108" s="39" t="s">
        <v>42</v>
      </c>
    </row>
    <row r="109" spans="1:5" x14ac:dyDescent="0.45">
      <c r="A109" s="40"/>
      <c r="B109" s="40" t="s">
        <v>91</v>
      </c>
      <c r="C109" s="40"/>
      <c r="D109" s="40"/>
      <c r="E109" s="39" t="s">
        <v>42</v>
      </c>
    </row>
    <row r="110" spans="1:5" x14ac:dyDescent="0.45">
      <c r="A110" s="40"/>
      <c r="B110" s="40"/>
      <c r="C110" s="40"/>
      <c r="D110" s="40"/>
      <c r="E110" s="39" t="s">
        <v>42</v>
      </c>
    </row>
    <row r="111" spans="1:5" x14ac:dyDescent="0.45">
      <c r="A111" s="40"/>
      <c r="B111" s="40"/>
      <c r="C111" s="40"/>
      <c r="D111" s="40"/>
      <c r="E111" s="39" t="s">
        <v>42</v>
      </c>
    </row>
    <row r="112" spans="1:5" x14ac:dyDescent="0.45">
      <c r="A112" s="40"/>
      <c r="B112" s="40"/>
      <c r="C112" s="40"/>
      <c r="D112" s="40"/>
      <c r="E112" s="39" t="s">
        <v>42</v>
      </c>
    </row>
    <row r="113" spans="1:5" x14ac:dyDescent="0.45">
      <c r="A113" s="43"/>
      <c r="B113" s="43" t="s">
        <v>174</v>
      </c>
      <c r="C113" s="43"/>
      <c r="D113" s="43"/>
      <c r="E113" s="39" t="s">
        <v>42</v>
      </c>
    </row>
    <row r="114" spans="1:5" x14ac:dyDescent="0.45">
      <c r="A114" s="43"/>
      <c r="B114" s="43" t="s">
        <v>175</v>
      </c>
      <c r="C114" s="43"/>
      <c r="D114" s="43"/>
      <c r="E114" s="39" t="s">
        <v>42</v>
      </c>
    </row>
    <row r="115" spans="1:5" x14ac:dyDescent="0.45">
      <c r="A115" s="43"/>
      <c r="B115" s="43"/>
      <c r="C115" s="43"/>
      <c r="D115" s="43"/>
      <c r="E115" s="39" t="s">
        <v>42</v>
      </c>
    </row>
    <row r="116" spans="1:5" x14ac:dyDescent="0.45">
      <c r="A116" s="40"/>
      <c r="B116" s="40" t="s">
        <v>178</v>
      </c>
      <c r="C116" s="40"/>
      <c r="D116" s="40"/>
      <c r="E116" s="39" t="s">
        <v>42</v>
      </c>
    </row>
    <row r="117" spans="1:5" x14ac:dyDescent="0.45">
      <c r="A117" s="40"/>
      <c r="B117" s="40" t="s">
        <v>180</v>
      </c>
      <c r="C117" s="40"/>
      <c r="D117" s="40"/>
      <c r="E117" s="39" t="s">
        <v>42</v>
      </c>
    </row>
    <row r="118" spans="1:5" x14ac:dyDescent="0.45">
      <c r="A118" s="40"/>
      <c r="B118" s="40" t="s">
        <v>182</v>
      </c>
      <c r="C118" s="40"/>
      <c r="D118" s="40"/>
      <c r="E118" s="39" t="s">
        <v>42</v>
      </c>
    </row>
    <row r="119" spans="1:5" x14ac:dyDescent="0.45">
      <c r="A119" s="40"/>
      <c r="B119" s="40"/>
      <c r="C119" s="40"/>
      <c r="D119" s="40"/>
      <c r="E119" s="39" t="s">
        <v>42</v>
      </c>
    </row>
    <row r="120" spans="1:5" x14ac:dyDescent="0.45">
      <c r="A120" s="40"/>
      <c r="B120" s="40"/>
      <c r="C120" s="40"/>
      <c r="D120" s="40"/>
      <c r="E120" s="39" t="s">
        <v>42</v>
      </c>
    </row>
    <row r="121" spans="1:5" x14ac:dyDescent="0.45">
      <c r="A121" s="40"/>
      <c r="B121" s="40"/>
      <c r="C121" s="40"/>
      <c r="D121" s="40"/>
      <c r="E121" s="39" t="s">
        <v>42</v>
      </c>
    </row>
    <row r="122" spans="1:5" x14ac:dyDescent="0.45">
      <c r="A122" s="40"/>
      <c r="B122" s="40"/>
      <c r="C122" s="40"/>
      <c r="D122" s="40"/>
      <c r="E122" s="39" t="s">
        <v>42</v>
      </c>
    </row>
    <row r="123" spans="1:5" x14ac:dyDescent="0.45">
      <c r="A123" s="40"/>
      <c r="B123" s="40"/>
      <c r="C123" s="40"/>
      <c r="D123" s="40"/>
      <c r="E123" s="39" t="s">
        <v>42</v>
      </c>
    </row>
    <row r="124" spans="1:5" x14ac:dyDescent="0.45">
      <c r="A124" s="40"/>
      <c r="B124" s="40"/>
      <c r="C124" s="40"/>
      <c r="D124" s="40"/>
      <c r="E124" s="39" t="s">
        <v>42</v>
      </c>
    </row>
    <row r="125" spans="1:5" x14ac:dyDescent="0.45">
      <c r="A125" s="40"/>
      <c r="B125" s="40"/>
      <c r="C125" s="40"/>
      <c r="D125" s="40"/>
      <c r="E125" s="39" t="s">
        <v>42</v>
      </c>
    </row>
    <row r="126" spans="1:5" x14ac:dyDescent="0.45">
      <c r="A126" s="40"/>
      <c r="B126" s="40"/>
      <c r="C126" s="40"/>
      <c r="D126" s="40"/>
      <c r="E126" s="39" t="s">
        <v>42</v>
      </c>
    </row>
    <row r="127" spans="1:5" x14ac:dyDescent="0.45">
      <c r="A127" s="40"/>
      <c r="B127" s="40"/>
      <c r="C127" s="40"/>
      <c r="D127" s="40"/>
      <c r="E127" s="39" t="s">
        <v>42</v>
      </c>
    </row>
    <row r="128" spans="1:5" x14ac:dyDescent="0.45">
      <c r="A128" s="40"/>
      <c r="B128" s="40"/>
      <c r="C128" s="40"/>
      <c r="D128" s="40"/>
      <c r="E128" s="39" t="s">
        <v>42</v>
      </c>
    </row>
    <row r="129" spans="1:5" x14ac:dyDescent="0.45">
      <c r="A129" s="40"/>
      <c r="B129" s="40"/>
      <c r="C129" s="40"/>
      <c r="D129" s="40"/>
      <c r="E129" s="39" t="s">
        <v>42</v>
      </c>
    </row>
    <row r="130" spans="1:5" x14ac:dyDescent="0.45">
      <c r="A130" s="43"/>
      <c r="B130" s="43" t="s">
        <v>187</v>
      </c>
      <c r="C130" s="43"/>
      <c r="D130" s="43"/>
      <c r="E130" s="39" t="s">
        <v>42</v>
      </c>
    </row>
    <row r="131" spans="1:5" x14ac:dyDescent="0.45">
      <c r="A131" s="43"/>
      <c r="B131" s="43" t="s">
        <v>188</v>
      </c>
      <c r="C131" s="43"/>
      <c r="D131" s="43"/>
      <c r="E131" s="39" t="s">
        <v>42</v>
      </c>
    </row>
    <row r="132" spans="1:5" x14ac:dyDescent="0.45">
      <c r="A132" s="43"/>
      <c r="B132" s="43" t="s">
        <v>191</v>
      </c>
      <c r="C132" s="43"/>
      <c r="D132" s="43"/>
      <c r="E132" s="39" t="s">
        <v>42</v>
      </c>
    </row>
    <row r="133" spans="1:5" x14ac:dyDescent="0.45">
      <c r="A133" s="43"/>
      <c r="B133" s="43" t="s">
        <v>192</v>
      </c>
      <c r="C133" s="43"/>
      <c r="D133" s="43"/>
      <c r="E133" s="39" t="s">
        <v>42</v>
      </c>
    </row>
    <row r="134" spans="1:5" x14ac:dyDescent="0.45">
      <c r="A134" s="43"/>
      <c r="B134" s="43" t="s">
        <v>194</v>
      </c>
      <c r="C134" s="43"/>
      <c r="D134" s="43"/>
      <c r="E134" s="39" t="s">
        <v>42</v>
      </c>
    </row>
    <row r="135" spans="1:5" x14ac:dyDescent="0.45">
      <c r="A135" s="43"/>
      <c r="B135" s="43" t="s">
        <v>196</v>
      </c>
      <c r="C135" s="43"/>
      <c r="D135" s="43"/>
      <c r="E135" s="39" t="s">
        <v>42</v>
      </c>
    </row>
    <row r="136" spans="1:5" x14ac:dyDescent="0.45">
      <c r="A136" s="43"/>
      <c r="B136" s="43" t="s">
        <v>198</v>
      </c>
      <c r="C136" s="43"/>
      <c r="D136" s="43"/>
      <c r="E136" s="39" t="s">
        <v>42</v>
      </c>
    </row>
    <row r="137" spans="1:5" x14ac:dyDescent="0.45">
      <c r="A137" s="43"/>
      <c r="B137" s="43"/>
      <c r="C137" s="43"/>
      <c r="D137" s="43"/>
      <c r="E137" s="39" t="s">
        <v>42</v>
      </c>
    </row>
    <row r="138" spans="1:5" x14ac:dyDescent="0.45">
      <c r="A138" s="48"/>
      <c r="B138" s="49" t="s">
        <v>199</v>
      </c>
      <c r="C138" s="48"/>
      <c r="D138" s="48"/>
      <c r="E138" s="39" t="s">
        <v>42</v>
      </c>
    </row>
    <row r="139" spans="1:5" x14ac:dyDescent="0.45">
      <c r="A139" s="50"/>
      <c r="B139" s="51" t="s">
        <v>202</v>
      </c>
      <c r="C139" s="50"/>
      <c r="D139" s="50"/>
      <c r="E139" s="39" t="s">
        <v>42</v>
      </c>
    </row>
    <row r="140" spans="1:5" x14ac:dyDescent="0.45">
      <c r="A140" s="50"/>
      <c r="B140" s="51" t="s">
        <v>205</v>
      </c>
      <c r="C140" s="50"/>
      <c r="D140" s="50"/>
      <c r="E140" s="39" t="s">
        <v>42</v>
      </c>
    </row>
    <row r="141" spans="1:5" x14ac:dyDescent="0.45">
      <c r="A141" s="50"/>
      <c r="B141" s="51"/>
      <c r="C141" s="50"/>
      <c r="D141" s="50"/>
      <c r="E141" s="39" t="s">
        <v>42</v>
      </c>
    </row>
    <row r="142" spans="1:5" x14ac:dyDescent="0.45">
      <c r="A142" s="50"/>
      <c r="B142" s="51"/>
      <c r="C142" s="50"/>
      <c r="D142" s="50"/>
      <c r="E142" s="39" t="s">
        <v>42</v>
      </c>
    </row>
    <row r="143" spans="1:5" x14ac:dyDescent="0.45">
      <c r="A143" s="40"/>
      <c r="B143" s="40"/>
      <c r="C143" s="40"/>
      <c r="D143" s="40"/>
      <c r="E143" s="39" t="s">
        <v>42</v>
      </c>
    </row>
    <row r="144" spans="1:5" x14ac:dyDescent="0.45">
      <c r="A144" s="43"/>
      <c r="B144" s="43" t="s">
        <v>209</v>
      </c>
      <c r="C144" s="43"/>
      <c r="D144" s="43"/>
      <c r="E144" s="39" t="s">
        <v>42</v>
      </c>
    </row>
    <row r="145" spans="1:5" x14ac:dyDescent="0.45">
      <c r="A145" s="43"/>
      <c r="B145" s="43"/>
      <c r="C145" s="43"/>
      <c r="D145" s="43"/>
      <c r="E145" s="39" t="s">
        <v>42</v>
      </c>
    </row>
    <row r="146" spans="1:5" x14ac:dyDescent="0.45">
      <c r="A146" s="43"/>
      <c r="B146" s="43"/>
      <c r="C146" s="43"/>
      <c r="D146" s="43"/>
      <c r="E146" s="39" t="s">
        <v>42</v>
      </c>
    </row>
    <row r="147" spans="1:5" x14ac:dyDescent="0.45">
      <c r="A147" s="43"/>
      <c r="B147" s="43"/>
      <c r="C147" s="43"/>
      <c r="D147" s="43"/>
      <c r="E147" s="39" t="s">
        <v>42</v>
      </c>
    </row>
    <row r="148" spans="1:5" x14ac:dyDescent="0.45">
      <c r="A148" s="43"/>
      <c r="B148" s="43" t="s">
        <v>213</v>
      </c>
      <c r="C148" s="43">
        <v>998991126</v>
      </c>
      <c r="D148" s="43"/>
      <c r="E148" s="39" t="s">
        <v>42</v>
      </c>
    </row>
    <row r="149" spans="1:5" x14ac:dyDescent="0.45">
      <c r="A149" s="43"/>
      <c r="B149" s="43" t="s">
        <v>215</v>
      </c>
      <c r="C149" s="43"/>
      <c r="D149" s="43"/>
      <c r="E149" s="39" t="s">
        <v>42</v>
      </c>
    </row>
    <row r="150" spans="1:5" x14ac:dyDescent="0.45">
      <c r="A150" s="43"/>
      <c r="B150" s="43" t="s">
        <v>217</v>
      </c>
      <c r="C150" s="43">
        <v>995401635</v>
      </c>
      <c r="D150" s="17" t="s">
        <v>1014</v>
      </c>
      <c r="E150" s="39" t="s">
        <v>42</v>
      </c>
    </row>
    <row r="151" spans="1:5" x14ac:dyDescent="0.45">
      <c r="A151" s="43"/>
      <c r="B151" s="43"/>
      <c r="C151" s="43"/>
      <c r="D151" s="43"/>
      <c r="E151" s="39" t="s">
        <v>42</v>
      </c>
    </row>
    <row r="152" spans="1:5" x14ac:dyDescent="0.45">
      <c r="A152" s="43"/>
      <c r="B152" s="43" t="s">
        <v>218</v>
      </c>
      <c r="C152" s="43">
        <v>998028396</v>
      </c>
      <c r="D152" s="17" t="s">
        <v>1015</v>
      </c>
      <c r="E152" s="39" t="s">
        <v>42</v>
      </c>
    </row>
    <row r="153" spans="1:5" x14ac:dyDescent="0.45">
      <c r="A153" s="43"/>
      <c r="B153" s="43" t="s">
        <v>222</v>
      </c>
      <c r="C153" s="43">
        <v>958996449</v>
      </c>
      <c r="D153" s="43"/>
      <c r="E153" s="39" t="s">
        <v>42</v>
      </c>
    </row>
    <row r="154" spans="1:5" x14ac:dyDescent="0.45">
      <c r="A154" s="43"/>
      <c r="B154" s="43"/>
      <c r="C154" s="43"/>
      <c r="D154" s="43"/>
      <c r="E154" s="39" t="s">
        <v>42</v>
      </c>
    </row>
    <row r="155" spans="1:5" x14ac:dyDescent="0.45">
      <c r="A155" s="43"/>
      <c r="B155" s="43" t="s">
        <v>225</v>
      </c>
      <c r="C155" s="43">
        <v>978816199</v>
      </c>
      <c r="D155" s="43"/>
      <c r="E155" s="39" t="s">
        <v>42</v>
      </c>
    </row>
    <row r="156" spans="1:5" x14ac:dyDescent="0.45">
      <c r="A156" s="43"/>
      <c r="B156" s="43" t="s">
        <v>227</v>
      </c>
      <c r="C156" s="43"/>
      <c r="D156" s="43"/>
      <c r="E156" s="39" t="s">
        <v>42</v>
      </c>
    </row>
    <row r="157" spans="1:5" x14ac:dyDescent="0.45">
      <c r="A157" s="40"/>
      <c r="B157" s="40" t="s">
        <v>229</v>
      </c>
      <c r="C157" s="40"/>
      <c r="D157" s="40"/>
      <c r="E157" s="39" t="s">
        <v>42</v>
      </c>
    </row>
    <row r="158" spans="1:5" x14ac:dyDescent="0.45">
      <c r="A158" s="40"/>
      <c r="B158" s="40" t="s">
        <v>230</v>
      </c>
      <c r="C158" s="40"/>
      <c r="D158" s="40"/>
      <c r="E158" s="39" t="s">
        <v>42</v>
      </c>
    </row>
    <row r="159" spans="1:5" x14ac:dyDescent="0.45">
      <c r="A159" s="40"/>
      <c r="B159" s="40" t="s">
        <v>231</v>
      </c>
      <c r="C159" s="40"/>
      <c r="D159" s="40"/>
      <c r="E159" s="39" t="s">
        <v>42</v>
      </c>
    </row>
    <row r="160" spans="1:5" x14ac:dyDescent="0.45">
      <c r="A160" s="40"/>
      <c r="B160" s="40" t="s">
        <v>232</v>
      </c>
      <c r="C160" s="40"/>
      <c r="D160" s="40"/>
      <c r="E160" s="39" t="s">
        <v>42</v>
      </c>
    </row>
    <row r="161" spans="1:5" x14ac:dyDescent="0.45">
      <c r="A161" s="40"/>
      <c r="B161" s="40" t="s">
        <v>234</v>
      </c>
      <c r="C161" s="40"/>
      <c r="D161" s="40"/>
      <c r="E161" s="39" t="s">
        <v>42</v>
      </c>
    </row>
    <row r="162" spans="1:5" x14ac:dyDescent="0.45">
      <c r="A162" s="40"/>
      <c r="B162" s="40"/>
      <c r="C162" s="40"/>
      <c r="D162" s="40"/>
      <c r="E162" s="39" t="s">
        <v>42</v>
      </c>
    </row>
    <row r="163" spans="1:5" x14ac:dyDescent="0.45">
      <c r="A163" s="40"/>
      <c r="B163" s="40" t="s">
        <v>236</v>
      </c>
      <c r="C163" s="40"/>
      <c r="D163" s="40"/>
      <c r="E163" s="39" t="s">
        <v>42</v>
      </c>
    </row>
    <row r="164" spans="1:5" x14ac:dyDescent="0.45">
      <c r="A164" s="43"/>
      <c r="B164" s="43"/>
      <c r="C164" s="43"/>
      <c r="D164" s="43"/>
      <c r="E164" s="39" t="s">
        <v>42</v>
      </c>
    </row>
    <row r="165" spans="1:5" x14ac:dyDescent="0.45">
      <c r="A165" s="43"/>
      <c r="B165" s="43" t="s">
        <v>239</v>
      </c>
      <c r="C165" s="43"/>
      <c r="D165" s="43"/>
      <c r="E165" s="39" t="s">
        <v>42</v>
      </c>
    </row>
    <row r="166" spans="1:5" x14ac:dyDescent="0.45">
      <c r="A166" s="43"/>
      <c r="B166" s="43" t="s">
        <v>240</v>
      </c>
      <c r="C166" s="43"/>
      <c r="D166" s="43"/>
      <c r="E166" s="39" t="s">
        <v>42</v>
      </c>
    </row>
    <row r="167" spans="1:5" x14ac:dyDescent="0.45">
      <c r="A167" s="43"/>
      <c r="B167" s="43" t="s">
        <v>241</v>
      </c>
      <c r="C167" s="43"/>
      <c r="D167" s="43"/>
      <c r="E167" s="39" t="s">
        <v>42</v>
      </c>
    </row>
    <row r="168" spans="1:5" x14ac:dyDescent="0.45">
      <c r="A168" s="48"/>
      <c r="B168" s="49" t="s">
        <v>243</v>
      </c>
      <c r="C168" s="48"/>
      <c r="D168" s="48"/>
      <c r="E168" s="39" t="s">
        <v>42</v>
      </c>
    </row>
    <row r="169" spans="1:5" x14ac:dyDescent="0.45">
      <c r="A169" s="50"/>
      <c r="B169" s="51" t="s">
        <v>244</v>
      </c>
      <c r="C169" s="50"/>
      <c r="D169" s="50"/>
      <c r="E169" s="39" t="s">
        <v>42</v>
      </c>
    </row>
    <row r="170" spans="1:5" x14ac:dyDescent="0.45">
      <c r="A170" s="50"/>
      <c r="B170" s="51" t="s">
        <v>246</v>
      </c>
      <c r="C170" s="50"/>
      <c r="D170" s="50"/>
      <c r="E170" s="39" t="s">
        <v>42</v>
      </c>
    </row>
    <row r="171" spans="1:5" x14ac:dyDescent="0.45">
      <c r="A171" s="50"/>
      <c r="B171" s="51" t="s">
        <v>198</v>
      </c>
      <c r="C171" s="50"/>
      <c r="D171" s="50"/>
      <c r="E171" s="39" t="s">
        <v>42</v>
      </c>
    </row>
    <row r="172" spans="1:5" x14ac:dyDescent="0.45">
      <c r="A172" s="50"/>
      <c r="B172" s="51" t="s">
        <v>243</v>
      </c>
      <c r="C172" s="50"/>
      <c r="D172" s="50"/>
      <c r="E172" s="39" t="s">
        <v>42</v>
      </c>
    </row>
    <row r="173" spans="1:5" x14ac:dyDescent="0.45">
      <c r="A173" s="40"/>
      <c r="B173" s="40"/>
      <c r="C173" s="40"/>
      <c r="D173" s="40"/>
      <c r="E173" s="39" t="s">
        <v>42</v>
      </c>
    </row>
    <row r="174" spans="1:5" x14ac:dyDescent="0.45">
      <c r="A174" s="40"/>
      <c r="B174" s="40"/>
      <c r="C174" s="40"/>
      <c r="D174" s="40"/>
      <c r="E174" s="39" t="s">
        <v>42</v>
      </c>
    </row>
    <row r="175" spans="1:5" x14ac:dyDescent="0.45">
      <c r="A175" s="40"/>
      <c r="B175" s="40"/>
      <c r="C175" s="40"/>
      <c r="D175" s="40"/>
      <c r="E175" s="39" t="s">
        <v>42</v>
      </c>
    </row>
    <row r="176" spans="1:5" x14ac:dyDescent="0.45">
      <c r="A176" s="40"/>
      <c r="B176" s="40"/>
      <c r="C176" s="40"/>
      <c r="D176" s="40"/>
      <c r="E176" s="39" t="s">
        <v>42</v>
      </c>
    </row>
    <row r="177" spans="1:5" x14ac:dyDescent="0.45">
      <c r="A177" s="40"/>
      <c r="B177" s="40"/>
      <c r="C177" s="40"/>
      <c r="D177" s="40"/>
      <c r="E177" s="39" t="s">
        <v>42</v>
      </c>
    </row>
    <row r="178" spans="1:5" x14ac:dyDescent="0.45">
      <c r="A178" s="40"/>
      <c r="B178" s="40"/>
      <c r="C178" s="40"/>
      <c r="D178" s="40"/>
      <c r="E178" s="39" t="s">
        <v>42</v>
      </c>
    </row>
    <row r="179" spans="1:5" x14ac:dyDescent="0.45">
      <c r="A179" s="52"/>
      <c r="B179" s="53" t="s">
        <v>251</v>
      </c>
      <c r="C179" s="52"/>
      <c r="D179" s="52"/>
      <c r="E179" s="39" t="s">
        <v>42</v>
      </c>
    </row>
    <row r="180" spans="1:5" x14ac:dyDescent="0.45">
      <c r="A180" s="54"/>
      <c r="B180" s="55" t="s">
        <v>253</v>
      </c>
      <c r="C180" s="54"/>
      <c r="D180" s="54"/>
      <c r="E180" s="39" t="s">
        <v>42</v>
      </c>
    </row>
    <row r="181" spans="1:5" x14ac:dyDescent="0.45">
      <c r="A181" s="54"/>
      <c r="B181" s="55" t="s">
        <v>253</v>
      </c>
      <c r="C181" s="54"/>
      <c r="D181" s="54"/>
      <c r="E181" s="39" t="s">
        <v>42</v>
      </c>
    </row>
    <row r="182" spans="1:5" x14ac:dyDescent="0.45">
      <c r="A182" s="54"/>
      <c r="B182" s="55" t="s">
        <v>255</v>
      </c>
      <c r="C182" s="54"/>
      <c r="D182" s="54"/>
      <c r="E182" s="39" t="s">
        <v>42</v>
      </c>
    </row>
    <row r="183" spans="1:5" x14ac:dyDescent="0.45">
      <c r="A183" s="54"/>
      <c r="B183" s="55" t="s">
        <v>255</v>
      </c>
      <c r="C183" s="54"/>
      <c r="D183" s="54"/>
      <c r="E183" s="39" t="s">
        <v>42</v>
      </c>
    </row>
    <row r="184" spans="1:5" x14ac:dyDescent="0.45">
      <c r="A184" s="43"/>
      <c r="B184" s="43"/>
      <c r="C184" s="43"/>
      <c r="D184" s="43"/>
      <c r="E184" s="39" t="s">
        <v>42</v>
      </c>
    </row>
    <row r="185" spans="1:5" x14ac:dyDescent="0.45">
      <c r="A185" s="38">
        <v>1719219527</v>
      </c>
      <c r="B185" s="38" t="s">
        <v>256</v>
      </c>
      <c r="C185" s="38">
        <v>998420775</v>
      </c>
      <c r="D185" s="19" t="s">
        <v>1016</v>
      </c>
      <c r="E185" s="39" t="s">
        <v>42</v>
      </c>
    </row>
    <row r="186" spans="1:5" x14ac:dyDescent="0.45">
      <c r="A186" s="40"/>
      <c r="B186" s="40" t="s">
        <v>258</v>
      </c>
      <c r="C186" s="40">
        <v>991988005</v>
      </c>
      <c r="D186" s="40"/>
      <c r="E186" s="39" t="s">
        <v>42</v>
      </c>
    </row>
    <row r="187" spans="1:5" x14ac:dyDescent="0.45">
      <c r="A187" s="38">
        <v>1719219527</v>
      </c>
      <c r="B187" s="38" t="s">
        <v>256</v>
      </c>
      <c r="C187" s="38">
        <v>998420775</v>
      </c>
      <c r="D187" s="19" t="s">
        <v>1016</v>
      </c>
      <c r="E187" s="39" t="s">
        <v>42</v>
      </c>
    </row>
    <row r="188" spans="1:5" x14ac:dyDescent="0.45">
      <c r="A188" s="40"/>
      <c r="B188" s="40" t="s">
        <v>258</v>
      </c>
      <c r="C188" s="40">
        <v>991988005</v>
      </c>
      <c r="D188" s="40"/>
      <c r="E188" s="39" t="s">
        <v>42</v>
      </c>
    </row>
    <row r="189" spans="1:5" x14ac:dyDescent="0.45">
      <c r="A189" s="40">
        <v>1719219527</v>
      </c>
      <c r="B189" s="40" t="s">
        <v>260</v>
      </c>
      <c r="C189" s="40">
        <v>958608654</v>
      </c>
      <c r="D189" s="20" t="s">
        <v>1017</v>
      </c>
      <c r="E189" s="39" t="s">
        <v>42</v>
      </c>
    </row>
    <row r="190" spans="1:5" x14ac:dyDescent="0.45">
      <c r="A190" s="40">
        <v>1721675153</v>
      </c>
      <c r="B190" s="40" t="s">
        <v>262</v>
      </c>
      <c r="C190" s="40">
        <v>992877753</v>
      </c>
      <c r="D190" s="40"/>
      <c r="E190" s="39" t="s">
        <v>42</v>
      </c>
    </row>
    <row r="191" spans="1:5" x14ac:dyDescent="0.45">
      <c r="A191" s="40">
        <v>1721675153</v>
      </c>
      <c r="B191" s="40" t="s">
        <v>262</v>
      </c>
      <c r="C191" s="40">
        <v>992877753</v>
      </c>
      <c r="D191" s="40"/>
      <c r="E191" s="39" t="s">
        <v>42</v>
      </c>
    </row>
    <row r="192" spans="1:5" x14ac:dyDescent="0.45">
      <c r="A192" s="40">
        <v>1721675153</v>
      </c>
      <c r="B192" s="44" t="s">
        <v>265</v>
      </c>
      <c r="C192" s="44">
        <v>981111032</v>
      </c>
      <c r="D192" s="21" t="s">
        <v>1018</v>
      </c>
      <c r="E192" s="39" t="s">
        <v>42</v>
      </c>
    </row>
    <row r="193" spans="1:5" x14ac:dyDescent="0.45">
      <c r="A193" s="44">
        <v>1718245812</v>
      </c>
      <c r="B193" s="44" t="s">
        <v>267</v>
      </c>
      <c r="C193" s="44">
        <v>998770121</v>
      </c>
      <c r="D193" s="44"/>
      <c r="E193" s="39" t="s">
        <v>42</v>
      </c>
    </row>
    <row r="194" spans="1:5" x14ac:dyDescent="0.45">
      <c r="A194" s="44">
        <v>1720400892</v>
      </c>
      <c r="B194" s="44" t="s">
        <v>268</v>
      </c>
      <c r="C194" s="44">
        <v>990975888</v>
      </c>
      <c r="D194" s="44"/>
      <c r="E194" s="39" t="s">
        <v>42</v>
      </c>
    </row>
    <row r="195" spans="1:5" x14ac:dyDescent="0.45">
      <c r="A195" s="56">
        <v>170143229</v>
      </c>
      <c r="B195" s="56" t="s">
        <v>147</v>
      </c>
      <c r="C195" s="56">
        <v>962842721</v>
      </c>
      <c r="D195" s="56"/>
      <c r="E195" s="39" t="s">
        <v>42</v>
      </c>
    </row>
    <row r="196" spans="1:5" x14ac:dyDescent="0.45">
      <c r="A196" s="56">
        <v>170143229</v>
      </c>
      <c r="B196" s="56" t="s">
        <v>147</v>
      </c>
      <c r="C196" s="56">
        <v>962842721</v>
      </c>
      <c r="D196" s="56"/>
      <c r="E196" s="39" t="s">
        <v>42</v>
      </c>
    </row>
    <row r="197" spans="1:5" x14ac:dyDescent="0.45">
      <c r="A197" s="56">
        <v>1707963227</v>
      </c>
      <c r="B197" s="56" t="s">
        <v>271</v>
      </c>
      <c r="C197" s="56">
        <v>962842721</v>
      </c>
      <c r="D197" s="56"/>
      <c r="E197" s="39" t="s">
        <v>42</v>
      </c>
    </row>
    <row r="198" spans="1:5" x14ac:dyDescent="0.45">
      <c r="A198" s="56">
        <v>1721946067</v>
      </c>
      <c r="B198" s="56" t="s">
        <v>272</v>
      </c>
      <c r="C198" s="56">
        <v>997562221</v>
      </c>
      <c r="D198" s="56"/>
      <c r="E198" s="39" t="s">
        <v>42</v>
      </c>
    </row>
    <row r="199" spans="1:5" x14ac:dyDescent="0.45">
      <c r="A199" s="56">
        <v>1723304125</v>
      </c>
      <c r="B199" s="56" t="s">
        <v>275</v>
      </c>
      <c r="C199" s="56">
        <v>969479002</v>
      </c>
      <c r="D199" s="56"/>
      <c r="E199" s="39" t="s">
        <v>42</v>
      </c>
    </row>
    <row r="200" spans="1:5" x14ac:dyDescent="0.45">
      <c r="A200" s="56">
        <v>1725577504</v>
      </c>
      <c r="B200" s="56" t="s">
        <v>276</v>
      </c>
      <c r="C200" s="56">
        <v>987789055</v>
      </c>
      <c r="D200" s="22" t="s">
        <v>1019</v>
      </c>
      <c r="E200" s="39" t="s">
        <v>42</v>
      </c>
    </row>
    <row r="201" spans="1:5" x14ac:dyDescent="0.45">
      <c r="A201" s="56">
        <v>1500003023</v>
      </c>
      <c r="B201" s="56" t="s">
        <v>277</v>
      </c>
      <c r="C201" s="56">
        <v>996479333</v>
      </c>
      <c r="D201" s="22" t="s">
        <v>1020</v>
      </c>
      <c r="E201" s="39" t="s">
        <v>42</v>
      </c>
    </row>
    <row r="202" spans="1:5" x14ac:dyDescent="0.45">
      <c r="A202" s="56">
        <v>1500003023</v>
      </c>
      <c r="B202" s="56" t="s">
        <v>277</v>
      </c>
      <c r="C202" s="56">
        <v>996479333</v>
      </c>
      <c r="D202" s="22" t="s">
        <v>1020</v>
      </c>
      <c r="E202" s="39" t="s">
        <v>42</v>
      </c>
    </row>
    <row r="203" spans="1:5" x14ac:dyDescent="0.45">
      <c r="A203" s="40"/>
      <c r="B203" s="40" t="s">
        <v>280</v>
      </c>
      <c r="C203" s="40"/>
      <c r="D203" s="40"/>
      <c r="E203" s="39" t="s">
        <v>42</v>
      </c>
    </row>
    <row r="204" spans="1:5" x14ac:dyDescent="0.45">
      <c r="A204" s="40"/>
      <c r="B204" s="40" t="s">
        <v>246</v>
      </c>
      <c r="C204" s="40"/>
      <c r="D204" s="40"/>
      <c r="E204" s="39" t="s">
        <v>42</v>
      </c>
    </row>
    <row r="205" spans="1:5" x14ac:dyDescent="0.45">
      <c r="A205" s="40"/>
      <c r="B205" s="40" t="s">
        <v>280</v>
      </c>
      <c r="C205" s="40"/>
      <c r="D205" s="40"/>
      <c r="E205" s="39" t="s">
        <v>42</v>
      </c>
    </row>
    <row r="206" spans="1:5" x14ac:dyDescent="0.45">
      <c r="A206" s="40"/>
      <c r="B206" s="40" t="s">
        <v>283</v>
      </c>
      <c r="C206" s="40"/>
      <c r="D206" s="40"/>
      <c r="E206" s="39" t="s">
        <v>42</v>
      </c>
    </row>
    <row r="207" spans="1:5" x14ac:dyDescent="0.45">
      <c r="A207" s="40"/>
      <c r="B207" s="40" t="s">
        <v>284</v>
      </c>
      <c r="C207" s="40"/>
      <c r="D207" s="40"/>
      <c r="E207" s="39" t="s">
        <v>42</v>
      </c>
    </row>
    <row r="208" spans="1:5" x14ac:dyDescent="0.45">
      <c r="A208" s="40"/>
      <c r="B208" s="40"/>
      <c r="C208" s="40"/>
      <c r="D208" s="40"/>
      <c r="E208" s="39" t="s">
        <v>42</v>
      </c>
    </row>
    <row r="209" spans="1:5" x14ac:dyDescent="0.45">
      <c r="A209" s="40">
        <v>1703895431</v>
      </c>
      <c r="B209" s="40" t="s">
        <v>286</v>
      </c>
      <c r="C209" s="40">
        <v>987775005</v>
      </c>
      <c r="D209" s="40"/>
      <c r="E209" s="39" t="s">
        <v>42</v>
      </c>
    </row>
    <row r="210" spans="1:5" x14ac:dyDescent="0.45">
      <c r="A210" s="40"/>
      <c r="B210" s="40" t="s">
        <v>284</v>
      </c>
      <c r="C210" s="40"/>
      <c r="D210" s="40"/>
      <c r="E210" s="39" t="s">
        <v>42</v>
      </c>
    </row>
    <row r="211" spans="1:5" x14ac:dyDescent="0.45">
      <c r="A211" s="56"/>
      <c r="B211" s="56" t="s">
        <v>289</v>
      </c>
      <c r="C211" s="56"/>
      <c r="D211" s="56"/>
      <c r="E211" s="39" t="s">
        <v>42</v>
      </c>
    </row>
    <row r="212" spans="1:5" x14ac:dyDescent="0.45">
      <c r="A212" s="56"/>
      <c r="B212" s="56" t="s">
        <v>290</v>
      </c>
      <c r="C212" s="56"/>
      <c r="D212" s="56"/>
      <c r="E212" s="39" t="s">
        <v>42</v>
      </c>
    </row>
    <row r="213" spans="1:5" x14ac:dyDescent="0.45">
      <c r="A213" s="56"/>
      <c r="B213" s="56"/>
      <c r="C213" s="56"/>
      <c r="D213" s="56"/>
      <c r="E213" s="39" t="s">
        <v>42</v>
      </c>
    </row>
    <row r="214" spans="1:5" x14ac:dyDescent="0.45">
      <c r="A214" s="56"/>
      <c r="B214" s="56"/>
      <c r="C214" s="56"/>
      <c r="D214" s="56"/>
      <c r="E214" s="39" t="s">
        <v>42</v>
      </c>
    </row>
    <row r="215" spans="1:5" x14ac:dyDescent="0.45">
      <c r="A215" s="40"/>
      <c r="B215" s="40"/>
      <c r="C215" s="40"/>
      <c r="D215" s="40"/>
      <c r="E215" s="39" t="s">
        <v>42</v>
      </c>
    </row>
    <row r="216" spans="1:5" x14ac:dyDescent="0.45">
      <c r="A216" s="40"/>
      <c r="B216" s="40"/>
      <c r="C216" s="40"/>
      <c r="D216" s="40"/>
      <c r="E216" s="39" t="s">
        <v>42</v>
      </c>
    </row>
    <row r="217" spans="1:5" x14ac:dyDescent="0.45">
      <c r="A217" s="40"/>
      <c r="B217" s="40"/>
      <c r="C217" s="40"/>
      <c r="D217" s="40"/>
      <c r="E217" s="39" t="s">
        <v>42</v>
      </c>
    </row>
    <row r="218" spans="1:5" x14ac:dyDescent="0.45">
      <c r="A218" s="40"/>
      <c r="B218" s="40"/>
      <c r="C218" s="40"/>
      <c r="D218" s="40"/>
      <c r="E218" s="39" t="s">
        <v>42</v>
      </c>
    </row>
    <row r="219" spans="1:5" x14ac:dyDescent="0.45">
      <c r="A219" s="40"/>
      <c r="B219" s="40" t="s">
        <v>296</v>
      </c>
      <c r="C219" s="40"/>
      <c r="D219" s="40"/>
      <c r="E219" s="39" t="s">
        <v>42</v>
      </c>
    </row>
    <row r="220" spans="1:5" x14ac:dyDescent="0.45">
      <c r="A220" s="40"/>
      <c r="B220" s="40" t="s">
        <v>297</v>
      </c>
      <c r="C220" s="40"/>
      <c r="D220" s="40"/>
      <c r="E220" s="39" t="s">
        <v>42</v>
      </c>
    </row>
    <row r="221" spans="1:5" x14ac:dyDescent="0.45">
      <c r="A221" s="40"/>
      <c r="B221" s="40"/>
      <c r="C221" s="40"/>
      <c r="D221" s="40"/>
      <c r="E221" s="39" t="s">
        <v>42</v>
      </c>
    </row>
    <row r="222" spans="1:5" x14ac:dyDescent="0.45">
      <c r="A222" s="56"/>
      <c r="B222" s="56" t="s">
        <v>67</v>
      </c>
      <c r="C222" s="56"/>
      <c r="D222" s="56"/>
      <c r="E222" s="39" t="s">
        <v>42</v>
      </c>
    </row>
    <row r="223" spans="1:5" x14ac:dyDescent="0.45">
      <c r="A223" s="56"/>
      <c r="B223" s="56" t="s">
        <v>299</v>
      </c>
      <c r="C223" s="56"/>
      <c r="D223" s="56"/>
      <c r="E223" s="39" t="s">
        <v>42</v>
      </c>
    </row>
    <row r="224" spans="1:5" x14ac:dyDescent="0.45">
      <c r="A224" s="40">
        <v>1722544226</v>
      </c>
      <c r="B224" s="40" t="s">
        <v>196</v>
      </c>
      <c r="C224" s="40">
        <v>992792740</v>
      </c>
      <c r="D224" s="20" t="s">
        <v>1021</v>
      </c>
      <c r="E224" s="39" t="s">
        <v>42</v>
      </c>
    </row>
    <row r="225" spans="1:5" x14ac:dyDescent="0.45">
      <c r="A225" s="40"/>
      <c r="B225" s="40"/>
      <c r="C225" s="40"/>
      <c r="D225" s="40"/>
      <c r="E225" s="39" t="s">
        <v>42</v>
      </c>
    </row>
    <row r="226" spans="1:5" x14ac:dyDescent="0.45">
      <c r="A226" s="40"/>
      <c r="B226" s="40"/>
      <c r="C226" s="40"/>
      <c r="D226" s="40"/>
      <c r="E226" s="39" t="s">
        <v>42</v>
      </c>
    </row>
    <row r="227" spans="1:5" x14ac:dyDescent="0.45">
      <c r="A227" s="40">
        <v>1721946067</v>
      </c>
      <c r="B227" s="40" t="s">
        <v>303</v>
      </c>
      <c r="C227" s="40">
        <v>997562221</v>
      </c>
      <c r="D227" s="40"/>
      <c r="E227" s="39" t="s">
        <v>42</v>
      </c>
    </row>
    <row r="228" spans="1:5" x14ac:dyDescent="0.45">
      <c r="A228" s="40"/>
      <c r="B228" s="40" t="s">
        <v>305</v>
      </c>
      <c r="C228" s="40"/>
      <c r="D228" s="40"/>
      <c r="E228" s="39" t="s">
        <v>42</v>
      </c>
    </row>
    <row r="229" spans="1:5" x14ac:dyDescent="0.45">
      <c r="A229" s="56">
        <v>1721675153</v>
      </c>
      <c r="B229" s="56" t="s">
        <v>265</v>
      </c>
      <c r="C229" s="56">
        <v>981111032</v>
      </c>
      <c r="D229" s="22" t="s">
        <v>1018</v>
      </c>
      <c r="E229" s="39" t="s">
        <v>42</v>
      </c>
    </row>
    <row r="230" spans="1:5" x14ac:dyDescent="0.45">
      <c r="A230" s="56"/>
      <c r="B230" s="56" t="s">
        <v>307</v>
      </c>
      <c r="C230" s="56">
        <v>999380328</v>
      </c>
      <c r="D230" s="56"/>
      <c r="E230" s="39" t="s">
        <v>42</v>
      </c>
    </row>
    <row r="231" spans="1:5" x14ac:dyDescent="0.45">
      <c r="A231" s="56"/>
      <c r="B231" s="56" t="s">
        <v>308</v>
      </c>
      <c r="C231" s="56">
        <v>999380328</v>
      </c>
      <c r="D231" s="56"/>
      <c r="E231" s="39" t="s">
        <v>42</v>
      </c>
    </row>
    <row r="232" spans="1:5" x14ac:dyDescent="0.45">
      <c r="A232" s="56">
        <v>1719893354</v>
      </c>
      <c r="B232" s="56" t="s">
        <v>310</v>
      </c>
      <c r="C232" s="56">
        <v>999083188</v>
      </c>
      <c r="D232" s="22" t="s">
        <v>1022</v>
      </c>
      <c r="E232" s="39" t="s">
        <v>42</v>
      </c>
    </row>
    <row r="233" spans="1:5" x14ac:dyDescent="0.45">
      <c r="A233" s="56">
        <v>1719893354</v>
      </c>
      <c r="B233" s="56" t="s">
        <v>310</v>
      </c>
      <c r="C233" s="56">
        <v>999083188</v>
      </c>
      <c r="D233" s="22" t="s">
        <v>1022</v>
      </c>
      <c r="E233" s="39" t="s">
        <v>42</v>
      </c>
    </row>
    <row r="234" spans="1:5" x14ac:dyDescent="0.45">
      <c r="A234" s="56"/>
      <c r="B234" s="56" t="s">
        <v>71</v>
      </c>
      <c r="C234" s="56"/>
      <c r="D234" s="56"/>
      <c r="E234" s="39" t="s">
        <v>42</v>
      </c>
    </row>
    <row r="235" spans="1:5" x14ac:dyDescent="0.45">
      <c r="A235" s="40"/>
      <c r="B235" s="40" t="s">
        <v>313</v>
      </c>
      <c r="C235" s="40">
        <v>985058795</v>
      </c>
      <c r="D235" s="40"/>
      <c r="E235" s="39" t="s">
        <v>42</v>
      </c>
    </row>
    <row r="236" spans="1:5" x14ac:dyDescent="0.45">
      <c r="A236" s="40">
        <v>1714789540</v>
      </c>
      <c r="B236" s="40" t="s">
        <v>314</v>
      </c>
      <c r="C236" s="40">
        <v>989507871</v>
      </c>
      <c r="D236" s="20" t="s">
        <v>1023</v>
      </c>
      <c r="E236" s="39" t="s">
        <v>42</v>
      </c>
    </row>
    <row r="237" spans="1:5" x14ac:dyDescent="0.45">
      <c r="A237" s="40">
        <v>1714789540</v>
      </c>
      <c r="B237" s="40" t="s">
        <v>314</v>
      </c>
      <c r="C237" s="40">
        <v>989507871</v>
      </c>
      <c r="D237" s="20" t="s">
        <v>1023</v>
      </c>
      <c r="E237" s="39" t="s">
        <v>42</v>
      </c>
    </row>
    <row r="238" spans="1:5" x14ac:dyDescent="0.45">
      <c r="A238" s="40">
        <v>1714789540</v>
      </c>
      <c r="B238" s="40" t="s">
        <v>314</v>
      </c>
      <c r="C238" s="40">
        <v>989507871</v>
      </c>
      <c r="D238" s="20" t="s">
        <v>1023</v>
      </c>
      <c r="E238" s="39" t="s">
        <v>42</v>
      </c>
    </row>
    <row r="239" spans="1:5" x14ac:dyDescent="0.45">
      <c r="A239" s="40">
        <v>1715315907</v>
      </c>
      <c r="B239" s="40" t="s">
        <v>316</v>
      </c>
      <c r="C239" s="40">
        <v>984222444</v>
      </c>
      <c r="D239" s="20" t="s">
        <v>1024</v>
      </c>
      <c r="E239" s="39" t="s">
        <v>42</v>
      </c>
    </row>
    <row r="240" spans="1:5" x14ac:dyDescent="0.45">
      <c r="A240" s="40">
        <v>1715315907</v>
      </c>
      <c r="B240" s="40" t="s">
        <v>316</v>
      </c>
      <c r="C240" s="40">
        <v>984222444</v>
      </c>
      <c r="D240" s="20" t="s">
        <v>1024</v>
      </c>
      <c r="E240" s="39" t="s">
        <v>42</v>
      </c>
    </row>
    <row r="241" spans="1:5" x14ac:dyDescent="0.45">
      <c r="A241" s="56"/>
      <c r="B241" s="56"/>
      <c r="C241" s="56"/>
      <c r="D241" s="56"/>
      <c r="E241" s="39" t="s">
        <v>42</v>
      </c>
    </row>
    <row r="242" spans="1:5" x14ac:dyDescent="0.45">
      <c r="A242" s="40"/>
      <c r="B242" s="40"/>
      <c r="C242" s="40"/>
      <c r="D242" s="40"/>
      <c r="E242" s="39" t="s">
        <v>42</v>
      </c>
    </row>
    <row r="243" spans="1:5" x14ac:dyDescent="0.45">
      <c r="A243" s="40"/>
      <c r="B243" s="40"/>
      <c r="C243" s="40"/>
      <c r="D243" s="40"/>
      <c r="E243" s="39" t="s">
        <v>42</v>
      </c>
    </row>
    <row r="244" spans="1:5" x14ac:dyDescent="0.45">
      <c r="A244" s="56"/>
      <c r="B244" s="56" t="s">
        <v>319</v>
      </c>
      <c r="C244" s="56"/>
      <c r="D244" s="56"/>
      <c r="E244" s="39" t="s">
        <v>42</v>
      </c>
    </row>
    <row r="245" spans="1:5" x14ac:dyDescent="0.45">
      <c r="A245" s="56"/>
      <c r="B245" s="56"/>
      <c r="C245" s="56"/>
      <c r="D245" s="56"/>
      <c r="E245" s="39" t="s">
        <v>42</v>
      </c>
    </row>
    <row r="246" spans="1:5" x14ac:dyDescent="0.45">
      <c r="A246" s="40"/>
      <c r="B246" s="40" t="s">
        <v>321</v>
      </c>
      <c r="C246" s="40"/>
      <c r="D246" s="40"/>
      <c r="E246" s="39" t="s">
        <v>42</v>
      </c>
    </row>
    <row r="247" spans="1:5" x14ac:dyDescent="0.45">
      <c r="A247" s="40"/>
      <c r="B247" s="40"/>
      <c r="C247" s="40"/>
      <c r="D247" s="40"/>
      <c r="E247" s="39" t="s">
        <v>42</v>
      </c>
    </row>
    <row r="248" spans="1:5" x14ac:dyDescent="0.45">
      <c r="A248" s="40"/>
      <c r="B248" s="40"/>
      <c r="C248" s="40"/>
      <c r="D248" s="40"/>
      <c r="E248" s="39" t="s">
        <v>42</v>
      </c>
    </row>
    <row r="249" spans="1:5" x14ac:dyDescent="0.45">
      <c r="A249" s="56"/>
      <c r="B249" s="56"/>
      <c r="C249" s="56"/>
      <c r="D249" s="56"/>
      <c r="E249" s="39" t="s">
        <v>42</v>
      </c>
    </row>
    <row r="250" spans="1:5" x14ac:dyDescent="0.45">
      <c r="A250" s="56"/>
      <c r="B250" s="56"/>
      <c r="C250" s="56"/>
      <c r="D250" s="56"/>
      <c r="E250" s="39" t="s">
        <v>42</v>
      </c>
    </row>
    <row r="251" spans="1:5" x14ac:dyDescent="0.45">
      <c r="A251" s="56"/>
      <c r="B251" s="56" t="s">
        <v>152</v>
      </c>
      <c r="C251" s="56"/>
      <c r="D251" s="56"/>
      <c r="E251" s="39" t="s">
        <v>42</v>
      </c>
    </row>
    <row r="252" spans="1:5" x14ac:dyDescent="0.45">
      <c r="A252" s="56"/>
      <c r="B252" s="56" t="s">
        <v>152</v>
      </c>
      <c r="C252" s="56"/>
      <c r="D252" s="56"/>
      <c r="E252" s="39" t="s">
        <v>42</v>
      </c>
    </row>
    <row r="253" spans="1:5" x14ac:dyDescent="0.45">
      <c r="A253" s="56"/>
      <c r="B253" s="56"/>
      <c r="C253" s="56"/>
      <c r="D253" s="56"/>
      <c r="E253" s="39" t="s">
        <v>42</v>
      </c>
    </row>
    <row r="254" spans="1:5" x14ac:dyDescent="0.45">
      <c r="A254" s="40">
        <v>1723127823</v>
      </c>
      <c r="B254" s="40" t="s">
        <v>329</v>
      </c>
      <c r="C254" s="40">
        <v>992735663</v>
      </c>
      <c r="D254" s="20" t="s">
        <v>1025</v>
      </c>
      <c r="E254" s="39" t="s">
        <v>42</v>
      </c>
    </row>
    <row r="255" spans="1:5" x14ac:dyDescent="0.45">
      <c r="A255" s="40">
        <v>1721946067</v>
      </c>
      <c r="B255" s="40" t="s">
        <v>74</v>
      </c>
      <c r="C255" s="40">
        <v>997562221</v>
      </c>
      <c r="D255" s="20" t="s">
        <v>1026</v>
      </c>
      <c r="E255" s="39" t="s">
        <v>42</v>
      </c>
    </row>
    <row r="256" spans="1:5" x14ac:dyDescent="0.45">
      <c r="A256" s="40"/>
      <c r="B256" s="40" t="s">
        <v>332</v>
      </c>
      <c r="C256" s="40">
        <v>997941172</v>
      </c>
      <c r="D256" s="40"/>
      <c r="E256" s="39" t="s">
        <v>42</v>
      </c>
    </row>
    <row r="257" spans="1:5" x14ac:dyDescent="0.45">
      <c r="A257" s="40"/>
      <c r="B257" s="40" t="s">
        <v>333</v>
      </c>
      <c r="C257" s="40"/>
      <c r="D257" s="40"/>
      <c r="E257" s="39" t="s">
        <v>42</v>
      </c>
    </row>
    <row r="258" spans="1:5" x14ac:dyDescent="0.45">
      <c r="A258" s="40"/>
      <c r="B258" s="40" t="s">
        <v>335</v>
      </c>
      <c r="C258" s="40"/>
      <c r="D258" s="40"/>
      <c r="E258" s="39" t="s">
        <v>42</v>
      </c>
    </row>
    <row r="259" spans="1:5" x14ac:dyDescent="0.45">
      <c r="A259" s="40"/>
      <c r="B259" s="40" t="s">
        <v>335</v>
      </c>
      <c r="C259" s="40"/>
      <c r="D259" s="40"/>
      <c r="E259" s="39" t="s">
        <v>42</v>
      </c>
    </row>
    <row r="260" spans="1:5" x14ac:dyDescent="0.45">
      <c r="A260" s="40"/>
      <c r="B260" s="40" t="s">
        <v>338</v>
      </c>
      <c r="C260" s="40">
        <v>983040513</v>
      </c>
      <c r="D260" s="40"/>
      <c r="E260" s="39" t="s">
        <v>42</v>
      </c>
    </row>
    <row r="261" spans="1:5" x14ac:dyDescent="0.45">
      <c r="A261" s="40"/>
      <c r="B261" s="40" t="s">
        <v>340</v>
      </c>
      <c r="C261" s="40"/>
      <c r="D261" s="20" t="s">
        <v>1027</v>
      </c>
      <c r="E261" s="39" t="s">
        <v>42</v>
      </c>
    </row>
    <row r="262" spans="1:5" x14ac:dyDescent="0.45">
      <c r="A262" s="40"/>
      <c r="B262" s="40" t="s">
        <v>340</v>
      </c>
      <c r="C262" s="40"/>
      <c r="D262" s="20" t="s">
        <v>1027</v>
      </c>
      <c r="E262" s="39" t="s">
        <v>42</v>
      </c>
    </row>
    <row r="263" spans="1:5" x14ac:dyDescent="0.45">
      <c r="A263" s="40"/>
      <c r="B263" s="40" t="s">
        <v>342</v>
      </c>
      <c r="C263" s="40"/>
      <c r="D263" s="40"/>
      <c r="E263" s="39" t="s">
        <v>42</v>
      </c>
    </row>
    <row r="264" spans="1:5" x14ac:dyDescent="0.45">
      <c r="A264" s="40"/>
      <c r="B264" s="40" t="s">
        <v>344</v>
      </c>
      <c r="C264" s="40"/>
      <c r="D264" s="40"/>
      <c r="E264" s="39" t="s">
        <v>42</v>
      </c>
    </row>
    <row r="265" spans="1:5" x14ac:dyDescent="0.45">
      <c r="A265" s="40"/>
      <c r="B265" s="40" t="s">
        <v>144</v>
      </c>
      <c r="C265" s="40"/>
      <c r="D265" s="40"/>
      <c r="E265" s="39" t="s">
        <v>42</v>
      </c>
    </row>
    <row r="266" spans="1:5" x14ac:dyDescent="0.45">
      <c r="A266" s="40"/>
      <c r="B266" s="40" t="s">
        <v>347</v>
      </c>
      <c r="C266" s="40">
        <v>984163500</v>
      </c>
      <c r="D266" s="20" t="s">
        <v>1028</v>
      </c>
      <c r="E266" s="39" t="s">
        <v>42</v>
      </c>
    </row>
    <row r="267" spans="1:5" x14ac:dyDescent="0.45">
      <c r="A267" s="56"/>
      <c r="B267" s="56" t="s">
        <v>349</v>
      </c>
      <c r="C267" s="56">
        <v>982734868</v>
      </c>
      <c r="D267" s="56"/>
      <c r="E267" s="39" t="s">
        <v>42</v>
      </c>
    </row>
    <row r="268" spans="1:5" x14ac:dyDescent="0.45">
      <c r="A268" s="56">
        <v>1718017302</v>
      </c>
      <c r="B268" s="56" t="s">
        <v>351</v>
      </c>
      <c r="C268" s="56">
        <v>984043562</v>
      </c>
      <c r="D268" s="22" t="s">
        <v>1029</v>
      </c>
      <c r="E268" s="39" t="s">
        <v>42</v>
      </c>
    </row>
    <row r="269" spans="1:5" x14ac:dyDescent="0.45">
      <c r="A269" s="57"/>
      <c r="B269" s="57" t="s">
        <v>144</v>
      </c>
      <c r="C269" s="57"/>
      <c r="D269" s="57"/>
      <c r="E269" s="39" t="s">
        <v>42</v>
      </c>
    </row>
    <row r="270" spans="1:5" x14ac:dyDescent="0.45">
      <c r="A270" s="57"/>
      <c r="B270" s="57" t="s">
        <v>347</v>
      </c>
      <c r="C270" s="57">
        <v>984163500</v>
      </c>
      <c r="D270" s="23" t="s">
        <v>1028</v>
      </c>
      <c r="E270" s="39" t="s">
        <v>42</v>
      </c>
    </row>
    <row r="271" spans="1:5" x14ac:dyDescent="0.45">
      <c r="A271" s="56"/>
      <c r="B271" s="56" t="s">
        <v>353</v>
      </c>
      <c r="C271" s="56"/>
      <c r="D271" s="56"/>
      <c r="E271" s="39" t="s">
        <v>42</v>
      </c>
    </row>
    <row r="272" spans="1:5" x14ac:dyDescent="0.45">
      <c r="A272" s="56"/>
      <c r="B272" s="56"/>
      <c r="C272" s="56"/>
      <c r="D272" s="56"/>
      <c r="E272" s="39" t="s">
        <v>42</v>
      </c>
    </row>
    <row r="273" spans="1:5" x14ac:dyDescent="0.45">
      <c r="A273" s="40"/>
      <c r="B273" s="40"/>
      <c r="C273" s="40"/>
      <c r="D273" s="40"/>
      <c r="E273" s="39" t="s">
        <v>42</v>
      </c>
    </row>
    <row r="274" spans="1:5" x14ac:dyDescent="0.45">
      <c r="A274" s="40"/>
      <c r="B274" s="40"/>
      <c r="C274" s="40"/>
      <c r="D274" s="40"/>
      <c r="E274" s="39" t="s">
        <v>42</v>
      </c>
    </row>
    <row r="275" spans="1:5" x14ac:dyDescent="0.45">
      <c r="A275" s="40"/>
      <c r="B275" s="40"/>
      <c r="C275" s="40"/>
      <c r="D275" s="40"/>
      <c r="E275" s="39" t="s">
        <v>42</v>
      </c>
    </row>
    <row r="276" spans="1:5" x14ac:dyDescent="0.45">
      <c r="A276" s="40"/>
      <c r="B276" s="40"/>
      <c r="C276" s="40"/>
      <c r="D276" s="40"/>
      <c r="E276" s="39" t="s">
        <v>42</v>
      </c>
    </row>
    <row r="277" spans="1:5" x14ac:dyDescent="0.45">
      <c r="A277" s="40"/>
      <c r="B277" s="40"/>
      <c r="C277" s="40"/>
      <c r="D277" s="40"/>
      <c r="E277" s="39" t="s">
        <v>42</v>
      </c>
    </row>
    <row r="278" spans="1:5" x14ac:dyDescent="0.45">
      <c r="A278" s="40"/>
      <c r="B278" s="40"/>
      <c r="C278" s="40"/>
      <c r="D278" s="40"/>
      <c r="E278" s="39" t="s">
        <v>42</v>
      </c>
    </row>
    <row r="279" spans="1:5" x14ac:dyDescent="0.45">
      <c r="A279" s="40"/>
      <c r="B279" s="40"/>
      <c r="C279" s="40"/>
      <c r="D279" s="40"/>
      <c r="E279" s="39" t="s">
        <v>42</v>
      </c>
    </row>
    <row r="280" spans="1:5" x14ac:dyDescent="0.45">
      <c r="A280" s="56"/>
      <c r="B280" s="56" t="s">
        <v>358</v>
      </c>
      <c r="C280" s="56"/>
      <c r="D280" s="56"/>
      <c r="E280" s="39" t="s">
        <v>42</v>
      </c>
    </row>
    <row r="281" spans="1:5" x14ac:dyDescent="0.45">
      <c r="A281" s="40"/>
      <c r="B281" s="40" t="s">
        <v>360</v>
      </c>
      <c r="C281" s="40"/>
      <c r="D281" s="40"/>
      <c r="E281" s="39" t="s">
        <v>42</v>
      </c>
    </row>
    <row r="282" spans="1:5" x14ac:dyDescent="0.45">
      <c r="A282" s="40"/>
      <c r="B282" s="40" t="s">
        <v>361</v>
      </c>
      <c r="C282" s="40"/>
      <c r="D282" s="40"/>
      <c r="E282" s="39" t="s">
        <v>42</v>
      </c>
    </row>
    <row r="283" spans="1:5" x14ac:dyDescent="0.45">
      <c r="A283" s="40"/>
      <c r="B283" s="40" t="s">
        <v>361</v>
      </c>
      <c r="C283" s="40"/>
      <c r="D283" s="40"/>
      <c r="E283" s="39" t="s">
        <v>42</v>
      </c>
    </row>
    <row r="284" spans="1:5" x14ac:dyDescent="0.45">
      <c r="A284" s="40"/>
      <c r="B284" s="40"/>
      <c r="C284" s="40"/>
      <c r="D284" s="40"/>
      <c r="E284" s="39" t="s">
        <v>42</v>
      </c>
    </row>
    <row r="285" spans="1:5" x14ac:dyDescent="0.45">
      <c r="A285" s="40"/>
      <c r="B285" s="40"/>
      <c r="C285" s="40"/>
      <c r="D285" s="40"/>
      <c r="E285" s="39" t="s">
        <v>42</v>
      </c>
    </row>
    <row r="286" spans="1:5" x14ac:dyDescent="0.45">
      <c r="A286" s="40"/>
      <c r="B286" s="40"/>
      <c r="C286" s="40"/>
      <c r="D286" s="40"/>
      <c r="E286" s="39" t="s">
        <v>42</v>
      </c>
    </row>
    <row r="287" spans="1:5" x14ac:dyDescent="0.45">
      <c r="A287" s="56">
        <v>1759725292</v>
      </c>
      <c r="B287" s="56" t="s">
        <v>364</v>
      </c>
      <c r="C287" s="56">
        <v>967923554</v>
      </c>
      <c r="D287" s="56"/>
      <c r="E287" s="39" t="s">
        <v>42</v>
      </c>
    </row>
    <row r="288" spans="1:5" x14ac:dyDescent="0.45">
      <c r="A288" s="56">
        <v>1759725292</v>
      </c>
      <c r="B288" s="56" t="s">
        <v>364</v>
      </c>
      <c r="C288" s="56">
        <v>967923554</v>
      </c>
      <c r="D288" s="56"/>
      <c r="E288" s="39" t="s">
        <v>42</v>
      </c>
    </row>
    <row r="289" spans="1:5" x14ac:dyDescent="0.45">
      <c r="A289" s="56"/>
      <c r="B289" s="56" t="s">
        <v>367</v>
      </c>
      <c r="C289" s="56"/>
      <c r="D289" s="56"/>
      <c r="E289" s="39" t="s">
        <v>42</v>
      </c>
    </row>
    <row r="290" spans="1:5" x14ac:dyDescent="0.45">
      <c r="A290" s="56"/>
      <c r="B290" s="56" t="s">
        <v>367</v>
      </c>
      <c r="C290" s="56"/>
      <c r="D290" s="56"/>
      <c r="E290" s="39" t="s">
        <v>42</v>
      </c>
    </row>
    <row r="291" spans="1:5" x14ac:dyDescent="0.45">
      <c r="A291" s="56"/>
      <c r="B291" s="56" t="s">
        <v>147</v>
      </c>
      <c r="C291" s="56"/>
      <c r="D291" s="56"/>
      <c r="E291" s="39" t="s">
        <v>42</v>
      </c>
    </row>
    <row r="292" spans="1:5" x14ac:dyDescent="0.45">
      <c r="A292" s="56"/>
      <c r="B292" s="56" t="s">
        <v>370</v>
      </c>
      <c r="C292" s="56"/>
      <c r="D292" s="56"/>
      <c r="E292" s="39" t="s">
        <v>42</v>
      </c>
    </row>
    <row r="293" spans="1:5" x14ac:dyDescent="0.45">
      <c r="A293" s="40"/>
      <c r="B293" s="40" t="s">
        <v>372</v>
      </c>
      <c r="C293" s="40"/>
      <c r="D293" s="40"/>
      <c r="E293" s="39" t="s">
        <v>42</v>
      </c>
    </row>
    <row r="294" spans="1:5" x14ac:dyDescent="0.45">
      <c r="A294" s="40">
        <v>1712514031</v>
      </c>
      <c r="B294" s="40" t="s">
        <v>374</v>
      </c>
      <c r="C294" s="40">
        <v>990220801</v>
      </c>
      <c r="D294" s="20" t="s">
        <v>1030</v>
      </c>
      <c r="E294" s="39" t="s">
        <v>42</v>
      </c>
    </row>
    <row r="295" spans="1:5" x14ac:dyDescent="0.45">
      <c r="A295" s="40">
        <v>1721946067</v>
      </c>
      <c r="B295" s="40" t="s">
        <v>74</v>
      </c>
      <c r="C295" s="40">
        <v>997562221</v>
      </c>
      <c r="D295" s="20" t="s">
        <v>1026</v>
      </c>
      <c r="E295" s="39" t="s">
        <v>42</v>
      </c>
    </row>
    <row r="296" spans="1:5" x14ac:dyDescent="0.45">
      <c r="A296" s="40">
        <v>1718346016</v>
      </c>
      <c r="B296" s="40" t="s">
        <v>376</v>
      </c>
      <c r="C296" s="40">
        <v>998578703</v>
      </c>
      <c r="D296" s="20" t="s">
        <v>1031</v>
      </c>
      <c r="E296" s="39" t="s">
        <v>42</v>
      </c>
    </row>
    <row r="297" spans="1:5" x14ac:dyDescent="0.45">
      <c r="A297" s="40">
        <v>1714061981</v>
      </c>
      <c r="B297" s="40" t="s">
        <v>332</v>
      </c>
      <c r="C297" s="40">
        <v>984254895</v>
      </c>
      <c r="D297" s="20" t="s">
        <v>1032</v>
      </c>
      <c r="E297" s="39" t="s">
        <v>42</v>
      </c>
    </row>
    <row r="298" spans="1:5" x14ac:dyDescent="0.45">
      <c r="A298" s="56">
        <v>1707963227</v>
      </c>
      <c r="B298" s="56" t="s">
        <v>77</v>
      </c>
      <c r="C298" s="56">
        <v>962842721</v>
      </c>
      <c r="D298" s="22" t="s">
        <v>1008</v>
      </c>
      <c r="E298" s="39" t="s">
        <v>42</v>
      </c>
    </row>
    <row r="299" spans="1:5" x14ac:dyDescent="0.45">
      <c r="A299" s="56">
        <v>1707963227</v>
      </c>
      <c r="B299" s="56" t="s">
        <v>77</v>
      </c>
      <c r="C299" s="56">
        <v>962842721</v>
      </c>
      <c r="D299" s="22" t="s">
        <v>1008</v>
      </c>
      <c r="E299" s="39" t="s">
        <v>42</v>
      </c>
    </row>
    <row r="300" spans="1:5" x14ac:dyDescent="0.45">
      <c r="A300" s="40"/>
      <c r="B300" s="40" t="s">
        <v>379</v>
      </c>
      <c r="C300" s="40"/>
      <c r="D300" s="40"/>
      <c r="E300" s="39" t="s">
        <v>42</v>
      </c>
    </row>
    <row r="301" spans="1:5" x14ac:dyDescent="0.45">
      <c r="A301" s="40"/>
      <c r="B301" s="40" t="s">
        <v>380</v>
      </c>
      <c r="C301" s="40"/>
      <c r="D301" s="40"/>
      <c r="E301" s="39" t="s">
        <v>42</v>
      </c>
    </row>
    <row r="302" spans="1:5" x14ac:dyDescent="0.45">
      <c r="A302" s="40"/>
      <c r="B302" s="40" t="s">
        <v>380</v>
      </c>
      <c r="C302" s="40"/>
      <c r="D302" s="40"/>
      <c r="E302" s="39" t="s">
        <v>42</v>
      </c>
    </row>
    <row r="303" spans="1:5" x14ac:dyDescent="0.45">
      <c r="A303" s="40"/>
      <c r="B303" s="40" t="s">
        <v>380</v>
      </c>
      <c r="C303" s="40"/>
      <c r="D303" s="40"/>
      <c r="E303" s="39" t="s">
        <v>42</v>
      </c>
    </row>
    <row r="304" spans="1:5" x14ac:dyDescent="0.45">
      <c r="A304" s="40"/>
      <c r="B304" s="40" t="s">
        <v>380</v>
      </c>
      <c r="C304" s="40"/>
      <c r="D304" s="40"/>
      <c r="E304" s="39" t="s">
        <v>42</v>
      </c>
    </row>
    <row r="305" spans="1:5" x14ac:dyDescent="0.45">
      <c r="A305" s="40"/>
      <c r="B305" s="40" t="s">
        <v>380</v>
      </c>
      <c r="C305" s="40"/>
      <c r="D305" s="40"/>
      <c r="E305" s="39" t="s">
        <v>42</v>
      </c>
    </row>
    <row r="306" spans="1:5" x14ac:dyDescent="0.45">
      <c r="A306" s="40"/>
      <c r="B306" s="40" t="s">
        <v>380</v>
      </c>
      <c r="C306" s="40"/>
      <c r="D306" s="40"/>
      <c r="E306" s="39" t="s">
        <v>42</v>
      </c>
    </row>
    <row r="307" spans="1:5" x14ac:dyDescent="0.45">
      <c r="A307" s="56">
        <v>1725577504</v>
      </c>
      <c r="B307" s="56" t="s">
        <v>276</v>
      </c>
      <c r="C307" s="56">
        <v>987789055</v>
      </c>
      <c r="D307" s="22" t="s">
        <v>1033</v>
      </c>
      <c r="E307" s="39" t="s">
        <v>42</v>
      </c>
    </row>
    <row r="308" spans="1:5" x14ac:dyDescent="0.45">
      <c r="A308" s="58">
        <v>0</v>
      </c>
      <c r="B308" s="58"/>
      <c r="C308" s="58"/>
      <c r="D308" s="58"/>
      <c r="E308" s="39" t="s">
        <v>42</v>
      </c>
    </row>
    <row r="309" spans="1:5" x14ac:dyDescent="0.45">
      <c r="A309" s="57"/>
      <c r="B309" s="57"/>
      <c r="C309" s="57"/>
      <c r="D309" s="57"/>
      <c r="E309" s="39" t="s">
        <v>42</v>
      </c>
    </row>
    <row r="310" spans="1:5" x14ac:dyDescent="0.45">
      <c r="A310" s="57"/>
      <c r="B310" s="57" t="s">
        <v>386</v>
      </c>
      <c r="C310" s="57"/>
      <c r="D310" s="57"/>
      <c r="E310" s="39" t="s">
        <v>42</v>
      </c>
    </row>
    <row r="311" spans="1:5" x14ac:dyDescent="0.45">
      <c r="A311" s="57"/>
      <c r="B311" s="57"/>
      <c r="C311" s="57"/>
      <c r="D311" s="57"/>
      <c r="E311" s="39" t="s">
        <v>42</v>
      </c>
    </row>
    <row r="312" spans="1:5" x14ac:dyDescent="0.45">
      <c r="A312" s="57"/>
      <c r="B312" s="57"/>
      <c r="C312" s="57"/>
      <c r="D312" s="57"/>
      <c r="E312" s="39" t="s">
        <v>42</v>
      </c>
    </row>
    <row r="313" spans="1:5" x14ac:dyDescent="0.45">
      <c r="A313" s="57"/>
      <c r="B313" s="57"/>
      <c r="C313" s="57"/>
      <c r="D313" s="57"/>
      <c r="E313" s="39" t="s">
        <v>42</v>
      </c>
    </row>
    <row r="314" spans="1:5" x14ac:dyDescent="0.45">
      <c r="A314" s="57"/>
      <c r="B314" s="57" t="s">
        <v>388</v>
      </c>
      <c r="C314" s="57"/>
      <c r="D314" s="57"/>
      <c r="E314" s="39" t="s">
        <v>42</v>
      </c>
    </row>
    <row r="315" spans="1:5" x14ac:dyDescent="0.45">
      <c r="A315" s="57"/>
      <c r="B315" s="57" t="s">
        <v>389</v>
      </c>
      <c r="C315" s="57"/>
      <c r="D315" s="57"/>
      <c r="E315" s="39" t="s">
        <v>42</v>
      </c>
    </row>
    <row r="316" spans="1:5" x14ac:dyDescent="0.45">
      <c r="A316" s="57"/>
      <c r="B316" s="57"/>
      <c r="C316" s="57"/>
      <c r="D316" s="57"/>
      <c r="E316" s="39" t="s">
        <v>42</v>
      </c>
    </row>
    <row r="317" spans="1:5" x14ac:dyDescent="0.45">
      <c r="A317" s="57"/>
      <c r="B317" s="57"/>
      <c r="C317" s="57"/>
      <c r="D317" s="57"/>
      <c r="E317" s="39" t="s">
        <v>42</v>
      </c>
    </row>
    <row r="318" spans="1:5" x14ac:dyDescent="0.45">
      <c r="A318" s="57"/>
      <c r="B318" s="57"/>
      <c r="C318" s="57"/>
      <c r="D318" s="57"/>
      <c r="E318" s="39" t="s">
        <v>42</v>
      </c>
    </row>
    <row r="319" spans="1:5" x14ac:dyDescent="0.45">
      <c r="A319" s="57"/>
      <c r="B319" s="57"/>
      <c r="C319" s="57"/>
      <c r="D319" s="57"/>
      <c r="E319" s="39" t="s">
        <v>42</v>
      </c>
    </row>
    <row r="320" spans="1:5" x14ac:dyDescent="0.45">
      <c r="A320" s="57"/>
      <c r="B320" s="57"/>
      <c r="C320" s="57"/>
      <c r="D320" s="57"/>
      <c r="E320" s="39" t="s">
        <v>42</v>
      </c>
    </row>
    <row r="321" spans="1:5" x14ac:dyDescent="0.45">
      <c r="A321" s="57"/>
      <c r="B321" s="57"/>
      <c r="C321" s="57"/>
      <c r="D321" s="57"/>
      <c r="E321" s="39" t="s">
        <v>42</v>
      </c>
    </row>
    <row r="322" spans="1:5" x14ac:dyDescent="0.45">
      <c r="A322" s="57"/>
      <c r="B322" s="57"/>
      <c r="C322" s="57"/>
      <c r="D322" s="57"/>
      <c r="E322" s="39" t="s">
        <v>42</v>
      </c>
    </row>
    <row r="323" spans="1:5" x14ac:dyDescent="0.45">
      <c r="A323" s="57"/>
      <c r="B323" s="57"/>
      <c r="C323" s="57"/>
      <c r="D323" s="57"/>
      <c r="E323" s="39" t="s">
        <v>42</v>
      </c>
    </row>
    <row r="324" spans="1:5" x14ac:dyDescent="0.45">
      <c r="A324" s="57"/>
      <c r="B324" s="57"/>
      <c r="C324" s="57"/>
      <c r="D324" s="57"/>
      <c r="E324" s="39" t="s">
        <v>42</v>
      </c>
    </row>
    <row r="325" spans="1:5" x14ac:dyDescent="0.45">
      <c r="A325" s="57"/>
      <c r="B325" s="57"/>
      <c r="C325" s="57"/>
      <c r="D325" s="57"/>
      <c r="E325" s="39" t="s">
        <v>42</v>
      </c>
    </row>
    <row r="326" spans="1:5" x14ac:dyDescent="0.45">
      <c r="A326" s="57"/>
      <c r="B326" s="57" t="s">
        <v>143</v>
      </c>
      <c r="C326" s="57"/>
      <c r="D326" s="57"/>
      <c r="E326" s="39" t="s">
        <v>42</v>
      </c>
    </row>
    <row r="327" spans="1:5" x14ac:dyDescent="0.45">
      <c r="A327" s="57"/>
      <c r="B327" s="57" t="s">
        <v>143</v>
      </c>
      <c r="C327" s="57"/>
      <c r="D327" s="57"/>
      <c r="E327" s="39" t="s">
        <v>42</v>
      </c>
    </row>
    <row r="328" spans="1:5" x14ac:dyDescent="0.45">
      <c r="A328" s="40"/>
      <c r="B328" s="40" t="s">
        <v>394</v>
      </c>
      <c r="C328" s="40">
        <v>987425149</v>
      </c>
      <c r="D328" s="20" t="s">
        <v>1034</v>
      </c>
      <c r="E328" s="39" t="s">
        <v>42</v>
      </c>
    </row>
    <row r="329" spans="1:5" x14ac:dyDescent="0.45">
      <c r="A329" s="40">
        <v>1713919163</v>
      </c>
      <c r="B329" s="40" t="s">
        <v>395</v>
      </c>
      <c r="C329" s="40">
        <v>992725974</v>
      </c>
      <c r="D329" s="20" t="s">
        <v>1035</v>
      </c>
      <c r="E329" s="39" t="s">
        <v>42</v>
      </c>
    </row>
    <row r="330" spans="1:5" x14ac:dyDescent="0.45">
      <c r="A330" s="40"/>
      <c r="B330" s="40" t="s">
        <v>398</v>
      </c>
      <c r="C330" s="40"/>
      <c r="D330" s="40"/>
      <c r="E330" s="39" t="s">
        <v>42</v>
      </c>
    </row>
    <row r="331" spans="1:5" x14ac:dyDescent="0.45">
      <c r="A331" s="40"/>
      <c r="B331" s="40" t="s">
        <v>399</v>
      </c>
      <c r="C331" s="40"/>
      <c r="D331" s="20" t="s">
        <v>1036</v>
      </c>
      <c r="E331" s="39" t="s">
        <v>42</v>
      </c>
    </row>
    <row r="332" spans="1:5" x14ac:dyDescent="0.45">
      <c r="A332" s="40"/>
      <c r="B332" s="40" t="s">
        <v>71</v>
      </c>
      <c r="C332" s="40"/>
      <c r="D332" s="40"/>
      <c r="E332" s="39" t="s">
        <v>42</v>
      </c>
    </row>
    <row r="333" spans="1:5" x14ac:dyDescent="0.45">
      <c r="A333" s="40">
        <v>1713919163</v>
      </c>
      <c r="B333" s="40" t="s">
        <v>402</v>
      </c>
      <c r="C333" s="40">
        <v>992725974</v>
      </c>
      <c r="D333" s="20" t="s">
        <v>1035</v>
      </c>
      <c r="E333" s="39" t="s">
        <v>42</v>
      </c>
    </row>
    <row r="334" spans="1:5" x14ac:dyDescent="0.45">
      <c r="A334" s="40">
        <v>1713919163</v>
      </c>
      <c r="B334" s="40" t="s">
        <v>402</v>
      </c>
      <c r="C334" s="40">
        <v>992725974</v>
      </c>
      <c r="D334" s="20" t="s">
        <v>1035</v>
      </c>
      <c r="E334" s="39" t="s">
        <v>42</v>
      </c>
    </row>
    <row r="335" spans="1:5" x14ac:dyDescent="0.45">
      <c r="A335" s="40"/>
      <c r="B335" s="40" t="s">
        <v>406</v>
      </c>
      <c r="C335" s="40">
        <v>995014798</v>
      </c>
      <c r="D335" s="40"/>
      <c r="E335" s="39" t="s">
        <v>42</v>
      </c>
    </row>
    <row r="336" spans="1:5" x14ac:dyDescent="0.45">
      <c r="A336" s="40">
        <v>1719118695</v>
      </c>
      <c r="B336" s="40" t="s">
        <v>408</v>
      </c>
      <c r="C336" s="40">
        <v>984163500</v>
      </c>
      <c r="D336" s="20" t="s">
        <v>1037</v>
      </c>
      <c r="E336" s="39" t="s">
        <v>42</v>
      </c>
    </row>
    <row r="337" spans="1:5" x14ac:dyDescent="0.45">
      <c r="A337" s="40"/>
      <c r="B337" s="40" t="s">
        <v>410</v>
      </c>
      <c r="C337" s="40">
        <v>999268768</v>
      </c>
      <c r="D337" s="20" t="s">
        <v>1038</v>
      </c>
      <c r="E337" s="39" t="s">
        <v>42</v>
      </c>
    </row>
    <row r="338" spans="1:5" x14ac:dyDescent="0.45">
      <c r="A338" s="40">
        <v>106143837</v>
      </c>
      <c r="B338" s="40" t="s">
        <v>144</v>
      </c>
      <c r="C338" s="40">
        <v>959814387</v>
      </c>
      <c r="D338" s="20" t="s">
        <v>1011</v>
      </c>
      <c r="E338" s="39" t="s">
        <v>42</v>
      </c>
    </row>
    <row r="339" spans="1:5" x14ac:dyDescent="0.45">
      <c r="A339" s="43">
        <v>1722544226</v>
      </c>
      <c r="B339" s="43" t="s">
        <v>196</v>
      </c>
      <c r="C339" s="43">
        <v>992792740</v>
      </c>
      <c r="D339" s="17" t="s">
        <v>1039</v>
      </c>
      <c r="E339" s="39" t="s">
        <v>42</v>
      </c>
    </row>
    <row r="340" spans="1:5" x14ac:dyDescent="0.45">
      <c r="A340" s="43">
        <v>1707565337</v>
      </c>
      <c r="B340" s="59" t="s">
        <v>414</v>
      </c>
      <c r="C340" s="43">
        <v>994743934</v>
      </c>
      <c r="D340" s="43"/>
      <c r="E340" s="39" t="s">
        <v>42</v>
      </c>
    </row>
    <row r="341" spans="1:5" x14ac:dyDescent="0.45">
      <c r="A341" s="43"/>
      <c r="B341" s="43" t="s">
        <v>417</v>
      </c>
      <c r="C341" s="43"/>
      <c r="D341" s="43"/>
      <c r="E341" s="39" t="s">
        <v>42</v>
      </c>
    </row>
    <row r="342" spans="1:5" x14ac:dyDescent="0.45">
      <c r="A342" s="40">
        <v>1707963227</v>
      </c>
      <c r="B342" s="40" t="s">
        <v>419</v>
      </c>
      <c r="C342" s="40">
        <v>962842721</v>
      </c>
      <c r="D342" s="20" t="s">
        <v>1040</v>
      </c>
      <c r="E342" s="39" t="s">
        <v>42</v>
      </c>
    </row>
    <row r="343" spans="1:5" x14ac:dyDescent="0.45">
      <c r="A343" s="60">
        <v>1713479150</v>
      </c>
      <c r="B343" s="40" t="s">
        <v>421</v>
      </c>
      <c r="C343" s="40">
        <v>995729601</v>
      </c>
      <c r="D343" s="40"/>
      <c r="E343" s="39" t="s">
        <v>42</v>
      </c>
    </row>
    <row r="344" spans="1:5" x14ac:dyDescent="0.45">
      <c r="A344" s="40">
        <v>1713479150</v>
      </c>
      <c r="B344" s="40" t="s">
        <v>421</v>
      </c>
      <c r="C344" s="40">
        <v>995729601</v>
      </c>
      <c r="D344" s="40"/>
      <c r="E344" s="39" t="s">
        <v>42</v>
      </c>
    </row>
    <row r="345" spans="1:5" x14ac:dyDescent="0.45">
      <c r="A345" s="40" t="s">
        <v>423</v>
      </c>
      <c r="B345" s="40" t="s">
        <v>424</v>
      </c>
      <c r="C345" s="40">
        <v>999203840</v>
      </c>
      <c r="D345" s="20" t="s">
        <v>1041</v>
      </c>
      <c r="E345" s="39" t="s">
        <v>42</v>
      </c>
    </row>
    <row r="346" spans="1:5" x14ac:dyDescent="0.45">
      <c r="A346" s="40"/>
      <c r="B346" s="40" t="s">
        <v>426</v>
      </c>
      <c r="C346" s="40"/>
      <c r="D346" s="40"/>
      <c r="E346" s="39" t="s">
        <v>42</v>
      </c>
    </row>
    <row r="347" spans="1:5" x14ac:dyDescent="0.45">
      <c r="A347" s="43"/>
      <c r="B347" s="43" t="s">
        <v>428</v>
      </c>
      <c r="C347" s="43">
        <v>996115459</v>
      </c>
      <c r="D347" s="43"/>
      <c r="E347" s="39" t="s">
        <v>42</v>
      </c>
    </row>
    <row r="348" spans="1:5" x14ac:dyDescent="0.45">
      <c r="A348" s="43"/>
      <c r="B348" s="43" t="s">
        <v>430</v>
      </c>
      <c r="C348" s="43"/>
      <c r="D348" s="43"/>
      <c r="E348" s="39" t="s">
        <v>42</v>
      </c>
    </row>
    <row r="349" spans="1:5" x14ac:dyDescent="0.45">
      <c r="A349" s="43">
        <v>1727215566</v>
      </c>
      <c r="B349" s="43" t="s">
        <v>432</v>
      </c>
      <c r="C349" s="43">
        <v>982618217</v>
      </c>
      <c r="D349" s="17" t="s">
        <v>1042</v>
      </c>
      <c r="E349" s="39" t="s">
        <v>42</v>
      </c>
    </row>
    <row r="350" spans="1:5" x14ac:dyDescent="0.45">
      <c r="A350" s="43" t="s">
        <v>423</v>
      </c>
      <c r="B350" s="43" t="s">
        <v>424</v>
      </c>
      <c r="C350" s="43">
        <v>999203840</v>
      </c>
      <c r="D350" s="17" t="s">
        <v>1041</v>
      </c>
      <c r="E350" s="39" t="s">
        <v>42</v>
      </c>
    </row>
    <row r="351" spans="1:5" x14ac:dyDescent="0.45">
      <c r="A351" s="43"/>
      <c r="B351" s="43" t="s">
        <v>430</v>
      </c>
      <c r="C351" s="43"/>
      <c r="D351" s="43"/>
      <c r="E351" s="39" t="s">
        <v>42</v>
      </c>
    </row>
    <row r="352" spans="1:5" x14ac:dyDescent="0.45">
      <c r="A352" s="40"/>
      <c r="B352" s="40" t="s">
        <v>437</v>
      </c>
      <c r="C352" s="40">
        <v>601105492</v>
      </c>
      <c r="D352" s="40"/>
      <c r="E352" s="39" t="s">
        <v>42</v>
      </c>
    </row>
    <row r="353" spans="1:5" x14ac:dyDescent="0.45">
      <c r="A353" s="61">
        <v>17234247902</v>
      </c>
      <c r="B353" s="61" t="s">
        <v>439</v>
      </c>
      <c r="C353" s="61">
        <v>998142119</v>
      </c>
      <c r="D353" s="24" t="s">
        <v>1043</v>
      </c>
      <c r="E353" s="39" t="s">
        <v>42</v>
      </c>
    </row>
    <row r="354" spans="1:5" x14ac:dyDescent="0.45">
      <c r="A354" s="40"/>
      <c r="B354" s="40" t="s">
        <v>441</v>
      </c>
      <c r="C354" s="40"/>
      <c r="D354" s="40"/>
      <c r="E354" s="39" t="s">
        <v>42</v>
      </c>
    </row>
    <row r="355" spans="1:5" x14ac:dyDescent="0.45">
      <c r="A355" s="43"/>
      <c r="B355" s="43" t="s">
        <v>443</v>
      </c>
      <c r="C355" s="43"/>
      <c r="D355" s="43"/>
      <c r="E355" s="39" t="s">
        <v>42</v>
      </c>
    </row>
    <row r="356" spans="1:5" x14ac:dyDescent="0.45">
      <c r="A356" s="43"/>
      <c r="B356" s="43" t="s">
        <v>444</v>
      </c>
      <c r="C356" s="43">
        <v>987839775</v>
      </c>
      <c r="D356" s="43"/>
      <c r="E356" s="39" t="s">
        <v>42</v>
      </c>
    </row>
    <row r="357" spans="1:5" x14ac:dyDescent="0.45">
      <c r="A357" s="43">
        <v>1727520643</v>
      </c>
      <c r="B357" s="43" t="s">
        <v>445</v>
      </c>
      <c r="C357" s="43">
        <v>999821911</v>
      </c>
      <c r="D357" s="17" t="s">
        <v>1044</v>
      </c>
      <c r="E357" s="39" t="s">
        <v>42</v>
      </c>
    </row>
    <row r="358" spans="1:5" x14ac:dyDescent="0.45">
      <c r="A358" s="43"/>
      <c r="B358" s="43" t="s">
        <v>447</v>
      </c>
      <c r="C358" s="43">
        <v>961549780</v>
      </c>
      <c r="D358" s="43"/>
      <c r="E358" s="39" t="s">
        <v>42</v>
      </c>
    </row>
    <row r="359" spans="1:5" x14ac:dyDescent="0.45">
      <c r="A359" s="43">
        <v>1716489586</v>
      </c>
      <c r="B359" s="43" t="s">
        <v>448</v>
      </c>
      <c r="C359" s="43">
        <v>986330466</v>
      </c>
      <c r="D359" s="17" t="s">
        <v>1045</v>
      </c>
      <c r="E359" s="39" t="s">
        <v>42</v>
      </c>
    </row>
    <row r="360" spans="1:5" x14ac:dyDescent="0.45">
      <c r="A360" s="40">
        <v>1714063292</v>
      </c>
      <c r="B360" s="40" t="s">
        <v>71</v>
      </c>
      <c r="C360" s="40">
        <v>995674830</v>
      </c>
      <c r="D360" s="20" t="s">
        <v>1046</v>
      </c>
      <c r="E360" s="39" t="s">
        <v>42</v>
      </c>
    </row>
    <row r="361" spans="1:5" x14ac:dyDescent="0.45">
      <c r="A361" s="40"/>
      <c r="B361" s="40" t="s">
        <v>450</v>
      </c>
      <c r="C361" s="40"/>
      <c r="D361" s="40"/>
      <c r="E361" s="39" t="s">
        <v>42</v>
      </c>
    </row>
    <row r="362" spans="1:5" x14ac:dyDescent="0.45">
      <c r="A362" s="40"/>
      <c r="B362" s="40" t="s">
        <v>452</v>
      </c>
      <c r="C362" s="40"/>
      <c r="D362" s="40"/>
      <c r="E362" s="39" t="s">
        <v>42</v>
      </c>
    </row>
    <row r="363" spans="1:5" x14ac:dyDescent="0.45">
      <c r="A363" s="40">
        <v>1717933798</v>
      </c>
      <c r="B363" s="40" t="s">
        <v>454</v>
      </c>
      <c r="C363" s="40">
        <v>984700274</v>
      </c>
      <c r="D363" s="20" t="s">
        <v>1047</v>
      </c>
      <c r="E363" s="39" t="s">
        <v>42</v>
      </c>
    </row>
    <row r="364" spans="1:5" x14ac:dyDescent="0.45">
      <c r="A364" s="40">
        <v>1718245812</v>
      </c>
      <c r="B364" s="40" t="s">
        <v>267</v>
      </c>
      <c r="C364" s="40">
        <v>998770121</v>
      </c>
      <c r="D364" s="25" t="s">
        <v>1048</v>
      </c>
      <c r="E364" s="39" t="s">
        <v>42</v>
      </c>
    </row>
    <row r="365" spans="1:5" x14ac:dyDescent="0.45">
      <c r="A365" s="40">
        <v>1721946067</v>
      </c>
      <c r="B365" s="40" t="s">
        <v>74</v>
      </c>
      <c r="C365" s="40">
        <v>997562221</v>
      </c>
      <c r="D365" s="20" t="s">
        <v>1049</v>
      </c>
      <c r="E365" s="39" t="s">
        <v>42</v>
      </c>
    </row>
    <row r="366" spans="1:5" x14ac:dyDescent="0.45">
      <c r="A366" s="43"/>
      <c r="B366" s="43" t="s">
        <v>410</v>
      </c>
      <c r="C366" s="43"/>
      <c r="D366" s="43"/>
      <c r="E366" s="39" t="s">
        <v>42</v>
      </c>
    </row>
    <row r="367" spans="1:5" x14ac:dyDescent="0.45">
      <c r="A367" s="43"/>
      <c r="B367" s="43" t="s">
        <v>458</v>
      </c>
      <c r="C367" s="43"/>
      <c r="D367" s="43"/>
      <c r="E367" s="39" t="s">
        <v>42</v>
      </c>
    </row>
    <row r="368" spans="1:5" x14ac:dyDescent="0.45">
      <c r="A368" s="43"/>
      <c r="B368" s="43" t="s">
        <v>460</v>
      </c>
      <c r="C368" s="43"/>
      <c r="D368" s="43"/>
      <c r="E368" s="39" t="s">
        <v>42</v>
      </c>
    </row>
    <row r="369" spans="1:5" x14ac:dyDescent="0.45">
      <c r="A369" s="43"/>
      <c r="B369" s="43" t="s">
        <v>462</v>
      </c>
      <c r="C369" s="43"/>
      <c r="D369" s="17" t="s">
        <v>1050</v>
      </c>
      <c r="E369" s="39" t="s">
        <v>42</v>
      </c>
    </row>
    <row r="370" spans="1:5" x14ac:dyDescent="0.45">
      <c r="A370" s="43"/>
      <c r="B370" s="43" t="s">
        <v>464</v>
      </c>
      <c r="C370" s="43"/>
      <c r="D370" s="43"/>
      <c r="E370" s="39" t="s">
        <v>42</v>
      </c>
    </row>
    <row r="371" spans="1:5" x14ac:dyDescent="0.45">
      <c r="A371" s="43"/>
      <c r="B371" s="43" t="s">
        <v>466</v>
      </c>
      <c r="C371" s="43"/>
      <c r="D371" s="17" t="s">
        <v>1051</v>
      </c>
      <c r="E371" s="39" t="s">
        <v>42</v>
      </c>
    </row>
    <row r="372" spans="1:5" x14ac:dyDescent="0.45">
      <c r="A372" s="43"/>
      <c r="B372" s="43" t="s">
        <v>335</v>
      </c>
      <c r="C372" s="43"/>
      <c r="D372" s="17" t="s">
        <v>1052</v>
      </c>
      <c r="E372" s="39" t="s">
        <v>42</v>
      </c>
    </row>
    <row r="373" spans="1:5" x14ac:dyDescent="0.45">
      <c r="A373" s="40">
        <v>1701898031</v>
      </c>
      <c r="B373" s="40" t="s">
        <v>468</v>
      </c>
      <c r="C373" s="40">
        <v>991478149</v>
      </c>
      <c r="D373" s="40"/>
      <c r="E373" s="39" t="s">
        <v>42</v>
      </c>
    </row>
    <row r="374" spans="1:5" x14ac:dyDescent="0.45">
      <c r="A374" s="40"/>
      <c r="B374" s="40" t="s">
        <v>470</v>
      </c>
      <c r="C374" s="40"/>
      <c r="D374" s="40"/>
      <c r="E374" s="39" t="s">
        <v>42</v>
      </c>
    </row>
    <row r="375" spans="1:5" x14ac:dyDescent="0.45">
      <c r="A375" s="43">
        <v>1721946067</v>
      </c>
      <c r="B375" s="43" t="s">
        <v>74</v>
      </c>
      <c r="C375" s="43">
        <v>997562221</v>
      </c>
      <c r="D375" s="43"/>
      <c r="E375" s="39" t="s">
        <v>42</v>
      </c>
    </row>
    <row r="376" spans="1:5" x14ac:dyDescent="0.45">
      <c r="A376" s="43"/>
      <c r="B376" s="43" t="s">
        <v>473</v>
      </c>
      <c r="C376" s="43"/>
      <c r="D376" s="43"/>
      <c r="E376" s="39" t="s">
        <v>42</v>
      </c>
    </row>
    <row r="377" spans="1:5" x14ac:dyDescent="0.45">
      <c r="A377" s="40">
        <v>40099587</v>
      </c>
      <c r="B377" s="40" t="s">
        <v>475</v>
      </c>
      <c r="C377" s="40">
        <v>981396657</v>
      </c>
      <c r="D377" s="40"/>
      <c r="E377" s="39" t="s">
        <v>42</v>
      </c>
    </row>
    <row r="378" spans="1:5" x14ac:dyDescent="0.45">
      <c r="A378" s="40"/>
      <c r="B378" s="40" t="s">
        <v>265</v>
      </c>
      <c r="C378" s="40"/>
      <c r="D378" s="40"/>
      <c r="E378" s="39" t="s">
        <v>42</v>
      </c>
    </row>
    <row r="379" spans="1:5" x14ac:dyDescent="0.45">
      <c r="A379" s="40"/>
      <c r="B379" s="62" t="s">
        <v>344</v>
      </c>
      <c r="C379" s="40"/>
      <c r="D379" s="40"/>
      <c r="E379" s="39" t="s">
        <v>42</v>
      </c>
    </row>
    <row r="380" spans="1:5" x14ac:dyDescent="0.45">
      <c r="A380" s="40"/>
      <c r="B380" s="40" t="s">
        <v>479</v>
      </c>
      <c r="C380" s="40"/>
      <c r="D380" s="40"/>
      <c r="E380" s="39" t="s">
        <v>42</v>
      </c>
    </row>
    <row r="381" spans="1:5" x14ac:dyDescent="0.45">
      <c r="A381" s="40"/>
      <c r="B381" s="40" t="s">
        <v>481</v>
      </c>
      <c r="C381" s="40"/>
      <c r="D381" s="40"/>
      <c r="E381" s="39" t="s">
        <v>42</v>
      </c>
    </row>
    <row r="382" spans="1:5" x14ac:dyDescent="0.45">
      <c r="A382" s="40">
        <v>1707565337</v>
      </c>
      <c r="B382" s="40" t="s">
        <v>483</v>
      </c>
      <c r="C382" s="40">
        <v>994743934</v>
      </c>
      <c r="D382" s="40"/>
      <c r="E382" s="39" t="s">
        <v>42</v>
      </c>
    </row>
    <row r="383" spans="1:5" x14ac:dyDescent="0.45">
      <c r="A383" s="40"/>
      <c r="B383" s="40" t="s">
        <v>426</v>
      </c>
      <c r="C383" s="40"/>
      <c r="D383" s="40"/>
      <c r="E383" s="39" t="s">
        <v>42</v>
      </c>
    </row>
    <row r="384" spans="1:5" x14ac:dyDescent="0.45">
      <c r="A384" s="43">
        <v>1718093238</v>
      </c>
      <c r="B384" s="43" t="s">
        <v>486</v>
      </c>
      <c r="C384" s="43">
        <v>959997754</v>
      </c>
      <c r="D384" s="17" t="s">
        <v>1053</v>
      </c>
      <c r="E384" s="39" t="s">
        <v>42</v>
      </c>
    </row>
    <row r="385" spans="1:5" x14ac:dyDescent="0.45">
      <c r="A385" s="43"/>
      <c r="B385" s="43" t="s">
        <v>488</v>
      </c>
      <c r="C385" s="43"/>
      <c r="D385" s="43"/>
      <c r="E385" s="39" t="s">
        <v>42</v>
      </c>
    </row>
    <row r="386" spans="1:5" x14ac:dyDescent="0.45">
      <c r="A386" s="43"/>
      <c r="B386" s="43" t="s">
        <v>479</v>
      </c>
      <c r="C386" s="43"/>
      <c r="D386" s="43"/>
      <c r="E386" s="39" t="s">
        <v>42</v>
      </c>
    </row>
    <row r="387" spans="1:5" x14ac:dyDescent="0.45">
      <c r="A387" s="43">
        <v>1713441408</v>
      </c>
      <c r="B387" s="43" t="s">
        <v>490</v>
      </c>
      <c r="C387" s="43">
        <v>995026048</v>
      </c>
      <c r="D387" s="17" t="s">
        <v>1054</v>
      </c>
      <c r="E387" s="39" t="s">
        <v>42</v>
      </c>
    </row>
    <row r="388" spans="1:5" x14ac:dyDescent="0.45">
      <c r="A388" s="40">
        <v>1722742911</v>
      </c>
      <c r="B388" s="40" t="s">
        <v>492</v>
      </c>
      <c r="C388" s="40">
        <v>998923277</v>
      </c>
      <c r="D388" s="20" t="s">
        <v>1055</v>
      </c>
      <c r="E388" s="39" t="s">
        <v>42</v>
      </c>
    </row>
    <row r="389" spans="1:5" x14ac:dyDescent="0.45">
      <c r="A389" s="61">
        <v>1722742911</v>
      </c>
      <c r="B389" s="63" t="s">
        <v>492</v>
      </c>
      <c r="C389" s="61">
        <v>998923277</v>
      </c>
      <c r="D389" s="24" t="s">
        <v>1055</v>
      </c>
      <c r="E389" s="39" t="s">
        <v>42</v>
      </c>
    </row>
    <row r="390" spans="1:5" x14ac:dyDescent="0.45">
      <c r="A390" s="40">
        <v>1722742911</v>
      </c>
      <c r="B390" s="62" t="s">
        <v>496</v>
      </c>
      <c r="C390" s="40"/>
      <c r="D390" s="40"/>
      <c r="E390" s="39" t="s">
        <v>42</v>
      </c>
    </row>
    <row r="391" spans="1:5" x14ac:dyDescent="0.45">
      <c r="A391" s="43">
        <v>1707963227</v>
      </c>
      <c r="B391" s="43" t="s">
        <v>77</v>
      </c>
      <c r="C391" s="43"/>
      <c r="D391" s="17" t="s">
        <v>1008</v>
      </c>
      <c r="E391" s="39" t="s">
        <v>42</v>
      </c>
    </row>
    <row r="392" spans="1:5" x14ac:dyDescent="0.45">
      <c r="A392" s="43">
        <v>1714063292</v>
      </c>
      <c r="B392" s="43" t="s">
        <v>71</v>
      </c>
      <c r="C392" s="43">
        <v>995674830</v>
      </c>
      <c r="D392" s="17" t="s">
        <v>1046</v>
      </c>
      <c r="E392" s="39" t="s">
        <v>42</v>
      </c>
    </row>
    <row r="393" spans="1:5" x14ac:dyDescent="0.45">
      <c r="A393" s="43" t="s">
        <v>498</v>
      </c>
      <c r="B393" s="62" t="s">
        <v>499</v>
      </c>
      <c r="C393" s="43"/>
      <c r="D393" s="43"/>
      <c r="E393" s="39" t="s">
        <v>42</v>
      </c>
    </row>
    <row r="394" spans="1:5" x14ac:dyDescent="0.45">
      <c r="A394" s="43"/>
      <c r="B394" s="43" t="s">
        <v>88</v>
      </c>
      <c r="C394" s="43"/>
      <c r="D394" s="43"/>
      <c r="E394" s="39" t="s">
        <v>42</v>
      </c>
    </row>
    <row r="395" spans="1:5" x14ac:dyDescent="0.45">
      <c r="A395" s="43">
        <v>1707963227</v>
      </c>
      <c r="B395" s="43" t="s">
        <v>77</v>
      </c>
      <c r="C395" s="43"/>
      <c r="D395" s="17" t="s">
        <v>1008</v>
      </c>
      <c r="E395" s="39" t="s">
        <v>42</v>
      </c>
    </row>
    <row r="396" spans="1:5" x14ac:dyDescent="0.45">
      <c r="A396" s="59">
        <v>1707963227</v>
      </c>
      <c r="B396" s="59" t="s">
        <v>503</v>
      </c>
      <c r="C396" s="59"/>
      <c r="D396" s="59"/>
      <c r="E396" s="39" t="s">
        <v>42</v>
      </c>
    </row>
    <row r="397" spans="1:5" x14ac:dyDescent="0.45">
      <c r="A397" s="40">
        <v>1712323961001</v>
      </c>
      <c r="B397" s="40" t="s">
        <v>504</v>
      </c>
      <c r="C397" s="40">
        <v>988538691</v>
      </c>
      <c r="D397" s="40"/>
      <c r="E397" s="39" t="s">
        <v>42</v>
      </c>
    </row>
    <row r="398" spans="1:5" x14ac:dyDescent="0.45">
      <c r="A398" s="40">
        <v>1204569139</v>
      </c>
      <c r="B398" s="40" t="s">
        <v>505</v>
      </c>
      <c r="C398" s="40">
        <v>958610348</v>
      </c>
      <c r="D398" s="20" t="s">
        <v>1056</v>
      </c>
      <c r="E398" s="39" t="s">
        <v>42</v>
      </c>
    </row>
    <row r="399" spans="1:5" x14ac:dyDescent="0.45">
      <c r="A399" s="40">
        <v>1703341808</v>
      </c>
      <c r="B399" s="40" t="s">
        <v>506</v>
      </c>
      <c r="C399" s="40">
        <v>984578810</v>
      </c>
      <c r="D399" s="20" t="s">
        <v>1057</v>
      </c>
      <c r="E399" s="39" t="s">
        <v>42</v>
      </c>
    </row>
    <row r="400" spans="1:5" x14ac:dyDescent="0.45">
      <c r="A400" s="40"/>
      <c r="B400" s="40"/>
      <c r="C400" s="40"/>
      <c r="D400" s="40"/>
      <c r="E400" s="39" t="s">
        <v>42</v>
      </c>
    </row>
    <row r="401" spans="1:5" x14ac:dyDescent="0.45">
      <c r="A401" s="43">
        <v>1750373639</v>
      </c>
      <c r="B401" s="43" t="s">
        <v>507</v>
      </c>
      <c r="C401" s="43">
        <v>995111474</v>
      </c>
      <c r="D401" s="17" t="s">
        <v>1058</v>
      </c>
      <c r="E401" s="39" t="s">
        <v>42</v>
      </c>
    </row>
    <row r="402" spans="1:5" x14ac:dyDescent="0.45">
      <c r="A402" s="43"/>
      <c r="B402" s="43" t="s">
        <v>410</v>
      </c>
      <c r="C402" s="43"/>
      <c r="D402" s="43"/>
      <c r="E402" s="39" t="s">
        <v>42</v>
      </c>
    </row>
    <row r="403" spans="1:5" x14ac:dyDescent="0.45">
      <c r="A403" s="40">
        <v>1712323961001</v>
      </c>
      <c r="B403" s="40" t="s">
        <v>504</v>
      </c>
      <c r="C403" s="40">
        <v>988538691</v>
      </c>
      <c r="D403" s="40"/>
      <c r="E403" s="39" t="s">
        <v>42</v>
      </c>
    </row>
    <row r="404" spans="1:5" x14ac:dyDescent="0.45">
      <c r="A404" s="40"/>
      <c r="B404" s="40" t="s">
        <v>510</v>
      </c>
      <c r="C404" s="40"/>
      <c r="D404" s="40"/>
      <c r="E404" s="39" t="s">
        <v>42</v>
      </c>
    </row>
    <row r="405" spans="1:5" x14ac:dyDescent="0.45">
      <c r="A405" s="40">
        <v>1725577504</v>
      </c>
      <c r="B405" s="40" t="s">
        <v>276</v>
      </c>
      <c r="C405" s="40">
        <v>987789055</v>
      </c>
      <c r="D405" s="20" t="s">
        <v>1019</v>
      </c>
      <c r="E405" s="39" t="s">
        <v>42</v>
      </c>
    </row>
    <row r="406" spans="1:5" x14ac:dyDescent="0.45">
      <c r="A406" s="40">
        <v>1725800971</v>
      </c>
      <c r="B406" s="40" t="s">
        <v>511</v>
      </c>
      <c r="C406" s="40">
        <v>983858484</v>
      </c>
      <c r="D406" s="40"/>
      <c r="E406" s="39" t="s">
        <v>42</v>
      </c>
    </row>
    <row r="407" spans="1:5" x14ac:dyDescent="0.45">
      <c r="A407" s="43">
        <v>1750481671</v>
      </c>
      <c r="B407" s="43" t="s">
        <v>512</v>
      </c>
      <c r="C407" s="43">
        <v>987934072</v>
      </c>
      <c r="D407" s="17" t="s">
        <v>1059</v>
      </c>
      <c r="E407" s="39" t="s">
        <v>42</v>
      </c>
    </row>
    <row r="408" spans="1:5" x14ac:dyDescent="0.45">
      <c r="A408" s="43">
        <v>1302508179</v>
      </c>
      <c r="B408" s="43" t="s">
        <v>464</v>
      </c>
      <c r="C408" s="43">
        <v>983590873</v>
      </c>
      <c r="D408" s="17" t="s">
        <v>1060</v>
      </c>
      <c r="E408" s="39" t="s">
        <v>42</v>
      </c>
    </row>
    <row r="409" spans="1:5" x14ac:dyDescent="0.45">
      <c r="A409" s="43"/>
      <c r="B409" s="43"/>
      <c r="C409" s="43"/>
      <c r="D409" s="17"/>
      <c r="E409" s="39" t="s">
        <v>42</v>
      </c>
    </row>
    <row r="410" spans="1:5" x14ac:dyDescent="0.45">
      <c r="A410" s="40">
        <v>1725800971</v>
      </c>
      <c r="B410" s="40" t="s">
        <v>511</v>
      </c>
      <c r="C410" s="40">
        <v>983858484</v>
      </c>
      <c r="D410" s="40"/>
      <c r="E410" s="39" t="s">
        <v>42</v>
      </c>
    </row>
    <row r="411" spans="1:5" x14ac:dyDescent="0.45">
      <c r="A411" s="40"/>
      <c r="B411" s="40" t="s">
        <v>514</v>
      </c>
      <c r="C411" s="40"/>
      <c r="D411" s="40"/>
      <c r="E411" s="39" t="s">
        <v>42</v>
      </c>
    </row>
    <row r="412" spans="1:5" x14ac:dyDescent="0.45">
      <c r="A412" s="40">
        <v>1753450904</v>
      </c>
      <c r="B412" s="40" t="s">
        <v>516</v>
      </c>
      <c r="C412" s="40">
        <v>964233053</v>
      </c>
      <c r="D412" s="40"/>
      <c r="E412" s="39" t="s">
        <v>42</v>
      </c>
    </row>
    <row r="413" spans="1:5" x14ac:dyDescent="0.45">
      <c r="A413" s="43"/>
      <c r="B413" s="43" t="s">
        <v>518</v>
      </c>
      <c r="C413" s="43"/>
      <c r="D413" s="43"/>
      <c r="E413" s="39" t="s">
        <v>42</v>
      </c>
    </row>
    <row r="414" spans="1:5" x14ac:dyDescent="0.45">
      <c r="A414" s="43">
        <v>1721674099</v>
      </c>
      <c r="B414" s="43" t="s">
        <v>519</v>
      </c>
      <c r="C414" s="43"/>
      <c r="D414" s="43"/>
      <c r="E414" s="39" t="s">
        <v>42</v>
      </c>
    </row>
    <row r="415" spans="1:5" x14ac:dyDescent="0.45">
      <c r="A415" s="43"/>
      <c r="B415" s="43" t="s">
        <v>520</v>
      </c>
      <c r="C415" s="43"/>
      <c r="D415" s="17" t="s">
        <v>1061</v>
      </c>
      <c r="E415" s="39" t="s">
        <v>42</v>
      </c>
    </row>
    <row r="416" spans="1:5" x14ac:dyDescent="0.45">
      <c r="A416" s="43">
        <v>1721946067</v>
      </c>
      <c r="B416" s="43" t="s">
        <v>74</v>
      </c>
      <c r="C416" s="43">
        <v>997562221</v>
      </c>
      <c r="D416" s="17" t="s">
        <v>1049</v>
      </c>
      <c r="E416" s="39" t="s">
        <v>42</v>
      </c>
    </row>
    <row r="417" spans="1:5" x14ac:dyDescent="0.45">
      <c r="A417" s="43">
        <v>1721946067</v>
      </c>
      <c r="B417" s="43" t="s">
        <v>522</v>
      </c>
      <c r="C417" s="43">
        <v>997562221</v>
      </c>
      <c r="D417" s="17" t="s">
        <v>1049</v>
      </c>
      <c r="E417" s="39" t="s">
        <v>42</v>
      </c>
    </row>
    <row r="418" spans="1:5" x14ac:dyDescent="0.45">
      <c r="A418" s="43">
        <v>1714063292</v>
      </c>
      <c r="B418" s="43" t="s">
        <v>71</v>
      </c>
      <c r="C418" s="43">
        <v>995674830</v>
      </c>
      <c r="D418" s="17" t="s">
        <v>1046</v>
      </c>
      <c r="E418" s="39" t="s">
        <v>42</v>
      </c>
    </row>
    <row r="419" spans="1:5" x14ac:dyDescent="0.45">
      <c r="A419" s="40">
        <v>1711000362</v>
      </c>
      <c r="B419" s="40" t="s">
        <v>525</v>
      </c>
      <c r="C419" s="40">
        <v>996504858</v>
      </c>
      <c r="D419" s="40" t="s">
        <v>1062</v>
      </c>
      <c r="E419" s="39" t="s">
        <v>42</v>
      </c>
    </row>
    <row r="420" spans="1:5" x14ac:dyDescent="0.45">
      <c r="A420" s="40">
        <v>1711000362</v>
      </c>
      <c r="B420" s="40" t="s">
        <v>525</v>
      </c>
      <c r="C420" s="40">
        <v>996504858</v>
      </c>
      <c r="D420" s="40" t="s">
        <v>1062</v>
      </c>
      <c r="E420" s="39" t="s">
        <v>42</v>
      </c>
    </row>
    <row r="421" spans="1:5" x14ac:dyDescent="0.45">
      <c r="A421" s="40">
        <v>106143837</v>
      </c>
      <c r="B421" s="40" t="s">
        <v>144</v>
      </c>
      <c r="C421" s="40">
        <v>959814387</v>
      </c>
      <c r="D421" s="40" t="s">
        <v>1011</v>
      </c>
      <c r="E421" s="39" t="s">
        <v>42</v>
      </c>
    </row>
    <row r="422" spans="1:5" x14ac:dyDescent="0.45">
      <c r="A422" s="40">
        <v>1721946067</v>
      </c>
      <c r="B422" s="40" t="s">
        <v>74</v>
      </c>
      <c r="C422" s="40">
        <v>997562221</v>
      </c>
      <c r="D422" s="20" t="s">
        <v>1049</v>
      </c>
      <c r="E422" s="39" t="s">
        <v>42</v>
      </c>
    </row>
    <row r="423" spans="1:5" x14ac:dyDescent="0.45">
      <c r="A423" s="62"/>
      <c r="B423" s="43" t="s">
        <v>529</v>
      </c>
      <c r="C423" s="62"/>
      <c r="D423" s="62"/>
      <c r="E423" s="39" t="s">
        <v>42</v>
      </c>
    </row>
    <row r="424" spans="1:5" x14ac:dyDescent="0.45">
      <c r="A424" s="40"/>
      <c r="B424" s="40"/>
      <c r="C424" s="40"/>
      <c r="D424" s="40"/>
      <c r="E424" s="39" t="s">
        <v>42</v>
      </c>
    </row>
    <row r="425" spans="1:5" x14ac:dyDescent="0.45">
      <c r="A425" s="43">
        <v>1707565337</v>
      </c>
      <c r="B425" s="43" t="s">
        <v>483</v>
      </c>
      <c r="C425" s="43">
        <v>994743934</v>
      </c>
      <c r="D425" s="43"/>
      <c r="E425" s="39" t="s">
        <v>42</v>
      </c>
    </row>
    <row r="426" spans="1:5" x14ac:dyDescent="0.45">
      <c r="A426" s="43">
        <v>104207725</v>
      </c>
      <c r="B426" s="43" t="s">
        <v>531</v>
      </c>
      <c r="C426" s="43"/>
      <c r="D426" s="43"/>
      <c r="E426" s="39" t="s">
        <v>42</v>
      </c>
    </row>
    <row r="427" spans="1:5" x14ac:dyDescent="0.45">
      <c r="A427" s="43">
        <v>1707970552</v>
      </c>
      <c r="B427" s="43" t="s">
        <v>533</v>
      </c>
      <c r="C427" s="43">
        <v>983427064</v>
      </c>
      <c r="D427" s="17" t="s">
        <v>1063</v>
      </c>
      <c r="E427" s="39" t="s">
        <v>42</v>
      </c>
    </row>
    <row r="428" spans="1:5" x14ac:dyDescent="0.45">
      <c r="A428" s="43"/>
      <c r="B428" s="43"/>
      <c r="C428" s="43"/>
      <c r="D428" s="17"/>
      <c r="E428" s="39" t="s">
        <v>42</v>
      </c>
    </row>
    <row r="429" spans="1:5" x14ac:dyDescent="0.45">
      <c r="A429" s="40">
        <v>1718150517</v>
      </c>
      <c r="B429" s="40" t="s">
        <v>535</v>
      </c>
      <c r="C429" s="40">
        <v>984033854</v>
      </c>
      <c r="D429" s="20" t="s">
        <v>1064</v>
      </c>
      <c r="E429" s="39" t="s">
        <v>42</v>
      </c>
    </row>
    <row r="430" spans="1:5" x14ac:dyDescent="0.45">
      <c r="A430" s="40">
        <v>1718150517</v>
      </c>
      <c r="B430" s="40" t="s">
        <v>535</v>
      </c>
      <c r="C430" s="40">
        <v>984033854</v>
      </c>
      <c r="D430" s="20" t="s">
        <v>1064</v>
      </c>
      <c r="E430" s="39" t="s">
        <v>42</v>
      </c>
    </row>
    <row r="431" spans="1:5" x14ac:dyDescent="0.45">
      <c r="A431" s="40">
        <v>951334366</v>
      </c>
      <c r="B431" s="40" t="s">
        <v>538</v>
      </c>
      <c r="C431" s="40">
        <v>9849602</v>
      </c>
      <c r="D431" s="20" t="s">
        <v>1065</v>
      </c>
      <c r="E431" s="39" t="s">
        <v>42</v>
      </c>
    </row>
    <row r="432" spans="1:5" x14ac:dyDescent="0.45">
      <c r="A432" s="40">
        <v>17139191603</v>
      </c>
      <c r="B432" s="40" t="s">
        <v>296</v>
      </c>
      <c r="C432" s="40">
        <v>992725974</v>
      </c>
      <c r="D432" s="20" t="s">
        <v>1066</v>
      </c>
      <c r="E432" s="39" t="s">
        <v>42</v>
      </c>
    </row>
    <row r="433" spans="1:5" x14ac:dyDescent="0.45">
      <c r="A433" s="40">
        <v>1721946067</v>
      </c>
      <c r="B433" s="40" t="s">
        <v>540</v>
      </c>
      <c r="C433" s="40">
        <v>997562221</v>
      </c>
      <c r="D433" s="20" t="s">
        <v>1049</v>
      </c>
      <c r="E433" s="39" t="s">
        <v>42</v>
      </c>
    </row>
    <row r="434" spans="1:5" x14ac:dyDescent="0.45">
      <c r="A434" s="43">
        <v>1725676991</v>
      </c>
      <c r="B434" s="43" t="s">
        <v>541</v>
      </c>
      <c r="C434" s="43">
        <v>984040369</v>
      </c>
      <c r="D434" s="43" t="s">
        <v>1067</v>
      </c>
      <c r="E434" s="39" t="s">
        <v>42</v>
      </c>
    </row>
    <row r="435" spans="1:5" x14ac:dyDescent="0.45">
      <c r="A435" s="43">
        <v>1724420235</v>
      </c>
      <c r="B435" s="43" t="s">
        <v>543</v>
      </c>
      <c r="C435" s="43">
        <v>960113421</v>
      </c>
      <c r="D435" s="17" t="s">
        <v>1068</v>
      </c>
      <c r="E435" s="39" t="s">
        <v>42</v>
      </c>
    </row>
    <row r="436" spans="1:5" x14ac:dyDescent="0.45">
      <c r="A436" s="43">
        <v>1704254190</v>
      </c>
      <c r="B436" s="43" t="s">
        <v>545</v>
      </c>
      <c r="C436" s="43"/>
      <c r="D436" s="43"/>
      <c r="E436" s="39" t="s">
        <v>42</v>
      </c>
    </row>
    <row r="437" spans="1:5" x14ac:dyDescent="0.45">
      <c r="A437" s="40">
        <v>1704254190</v>
      </c>
      <c r="B437" s="40" t="s">
        <v>545</v>
      </c>
      <c r="C437" s="40"/>
      <c r="D437" s="40"/>
      <c r="E437" s="39" t="s">
        <v>42</v>
      </c>
    </row>
    <row r="438" spans="1:5" x14ac:dyDescent="0.45">
      <c r="A438" s="40">
        <v>1721946067</v>
      </c>
      <c r="B438" s="40" t="s">
        <v>74</v>
      </c>
      <c r="C438" s="40">
        <v>997562221</v>
      </c>
      <c r="D438" s="20" t="s">
        <v>1049</v>
      </c>
      <c r="E438" s="39" t="s">
        <v>42</v>
      </c>
    </row>
    <row r="439" spans="1:5" x14ac:dyDescent="0.45">
      <c r="A439" s="40">
        <v>1714063292</v>
      </c>
      <c r="B439" s="40" t="s">
        <v>71</v>
      </c>
      <c r="C439" s="40">
        <v>995674830</v>
      </c>
      <c r="D439" s="20" t="s">
        <v>1046</v>
      </c>
      <c r="E439" s="39" t="s">
        <v>42</v>
      </c>
    </row>
    <row r="440" spans="1:5" x14ac:dyDescent="0.45">
      <c r="A440" s="40">
        <v>1727054759</v>
      </c>
      <c r="B440" s="40" t="s">
        <v>547</v>
      </c>
      <c r="C440" s="40">
        <v>984605685</v>
      </c>
      <c r="D440" s="20" t="s">
        <v>1069</v>
      </c>
      <c r="E440" s="39" t="s">
        <v>42</v>
      </c>
    </row>
    <row r="441" spans="1:5" x14ac:dyDescent="0.45">
      <c r="A441" s="40"/>
      <c r="B441" s="40" t="s">
        <v>549</v>
      </c>
      <c r="C441" s="40"/>
      <c r="D441" s="40"/>
      <c r="E441" s="39" t="s">
        <v>42</v>
      </c>
    </row>
    <row r="442" spans="1:5" x14ac:dyDescent="0.45">
      <c r="A442" s="40">
        <v>1720193026</v>
      </c>
      <c r="B442" s="40" t="s">
        <v>551</v>
      </c>
      <c r="C442" s="40">
        <v>991969840</v>
      </c>
      <c r="D442" s="20" t="s">
        <v>1070</v>
      </c>
      <c r="E442" s="39" t="s">
        <v>42</v>
      </c>
    </row>
    <row r="443" spans="1:5" x14ac:dyDescent="0.45">
      <c r="A443" s="40">
        <v>1704594298</v>
      </c>
      <c r="B443" s="40" t="s">
        <v>553</v>
      </c>
      <c r="C443" s="40">
        <v>995133686</v>
      </c>
      <c r="D443" s="20" t="s">
        <v>1071</v>
      </c>
      <c r="E443" s="39" t="s">
        <v>42</v>
      </c>
    </row>
    <row r="444" spans="1:5" x14ac:dyDescent="0.45">
      <c r="A444" s="40"/>
      <c r="B444" s="40" t="s">
        <v>554</v>
      </c>
      <c r="C444" s="40"/>
      <c r="D444" s="40"/>
      <c r="E444" s="39" t="s">
        <v>42</v>
      </c>
    </row>
    <row r="445" spans="1:5" x14ac:dyDescent="0.45">
      <c r="A445" s="64"/>
      <c r="B445" s="64" t="s">
        <v>556</v>
      </c>
      <c r="C445" s="64"/>
      <c r="D445" s="26"/>
      <c r="E445" s="39" t="s">
        <v>42</v>
      </c>
    </row>
    <row r="446" spans="1:5" x14ac:dyDescent="0.45">
      <c r="A446" s="64"/>
      <c r="B446" s="64" t="s">
        <v>556</v>
      </c>
      <c r="C446" s="64"/>
      <c r="D446" s="26"/>
      <c r="E446" s="39" t="s">
        <v>42</v>
      </c>
    </row>
    <row r="447" spans="1:5" x14ac:dyDescent="0.45">
      <c r="A447" s="64"/>
      <c r="B447" s="64" t="s">
        <v>557</v>
      </c>
      <c r="C447" s="64"/>
      <c r="D447" s="26"/>
      <c r="E447" s="39" t="s">
        <v>42</v>
      </c>
    </row>
    <row r="448" spans="1:5" x14ac:dyDescent="0.45">
      <c r="A448" s="64">
        <v>1711291383</v>
      </c>
      <c r="B448" s="64" t="s">
        <v>559</v>
      </c>
      <c r="C448" s="64">
        <v>998032717</v>
      </c>
      <c r="D448" s="26" t="s">
        <v>1072</v>
      </c>
      <c r="E448" s="39" t="s">
        <v>42</v>
      </c>
    </row>
    <row r="449" spans="1:5" x14ac:dyDescent="0.45">
      <c r="A449" s="64">
        <v>1711291383</v>
      </c>
      <c r="B449" s="64" t="s">
        <v>559</v>
      </c>
      <c r="C449" s="64">
        <v>998032717</v>
      </c>
      <c r="D449" s="26" t="s">
        <v>1072</v>
      </c>
      <c r="E449" s="39" t="s">
        <v>42</v>
      </c>
    </row>
    <row r="450" spans="1:5" x14ac:dyDescent="0.45">
      <c r="A450" s="64">
        <v>503901894001</v>
      </c>
      <c r="B450" s="64" t="s">
        <v>560</v>
      </c>
      <c r="C450" s="64">
        <v>987526967</v>
      </c>
      <c r="D450" s="26" t="s">
        <v>1073</v>
      </c>
      <c r="E450" s="39" t="s">
        <v>42</v>
      </c>
    </row>
    <row r="451" spans="1:5" x14ac:dyDescent="0.45">
      <c r="A451" s="40">
        <v>503901894001</v>
      </c>
      <c r="B451" s="40" t="s">
        <v>560</v>
      </c>
      <c r="C451" s="40">
        <v>987526967</v>
      </c>
      <c r="D451" s="20" t="s">
        <v>1073</v>
      </c>
      <c r="E451" s="39" t="s">
        <v>42</v>
      </c>
    </row>
    <row r="452" spans="1:5" x14ac:dyDescent="0.45">
      <c r="A452" s="64">
        <v>1721675153</v>
      </c>
      <c r="B452" s="64" t="s">
        <v>426</v>
      </c>
      <c r="C452" s="64">
        <v>992877753</v>
      </c>
      <c r="D452" s="26" t="s">
        <v>1074</v>
      </c>
      <c r="E452" s="39" t="s">
        <v>42</v>
      </c>
    </row>
    <row r="453" spans="1:5" x14ac:dyDescent="0.45">
      <c r="A453" s="64">
        <v>1707123897</v>
      </c>
      <c r="B453" s="64" t="s">
        <v>563</v>
      </c>
      <c r="C453" s="64">
        <v>987282698</v>
      </c>
      <c r="D453" s="26" t="s">
        <v>1075</v>
      </c>
      <c r="E453" s="39" t="s">
        <v>42</v>
      </c>
    </row>
    <row r="454" spans="1:5" x14ac:dyDescent="0.45">
      <c r="A454" s="64">
        <v>901787903</v>
      </c>
      <c r="B454" s="64" t="s">
        <v>564</v>
      </c>
      <c r="C454" s="64">
        <v>995635866</v>
      </c>
      <c r="D454" s="26" t="s">
        <v>1076</v>
      </c>
      <c r="E454" s="39" t="s">
        <v>42</v>
      </c>
    </row>
    <row r="455" spans="1:5" x14ac:dyDescent="0.45">
      <c r="A455" s="64">
        <v>1719927871</v>
      </c>
      <c r="B455" s="64" t="s">
        <v>566</v>
      </c>
      <c r="C455" s="64">
        <v>998437082</v>
      </c>
      <c r="D455" s="26" t="s">
        <v>1077</v>
      </c>
      <c r="E455" s="39" t="s">
        <v>42</v>
      </c>
    </row>
    <row r="456" spans="1:5" x14ac:dyDescent="0.45">
      <c r="A456" s="40"/>
      <c r="B456" s="40" t="s">
        <v>410</v>
      </c>
      <c r="C456" s="40">
        <v>999268768</v>
      </c>
      <c r="D456" s="20" t="s">
        <v>1038</v>
      </c>
      <c r="E456" s="39" t="s">
        <v>42</v>
      </c>
    </row>
    <row r="457" spans="1:5" x14ac:dyDescent="0.45">
      <c r="A457" s="40"/>
      <c r="B457" s="40"/>
      <c r="C457" s="40"/>
      <c r="D457" s="20"/>
      <c r="E457" s="39" t="s">
        <v>42</v>
      </c>
    </row>
    <row r="458" spans="1:5" x14ac:dyDescent="0.45">
      <c r="A458" s="64"/>
      <c r="B458" s="64" t="s">
        <v>568</v>
      </c>
      <c r="C458" s="64">
        <v>999657029</v>
      </c>
      <c r="D458" s="64"/>
      <c r="E458" s="39" t="s">
        <v>42</v>
      </c>
    </row>
    <row r="459" spans="1:5" x14ac:dyDescent="0.45">
      <c r="A459" s="64"/>
      <c r="B459" s="64"/>
      <c r="C459" s="64"/>
      <c r="D459" s="64"/>
      <c r="E459" s="39" t="s">
        <v>42</v>
      </c>
    </row>
    <row r="460" spans="1:5" x14ac:dyDescent="0.45">
      <c r="A460" s="44">
        <v>1718093238</v>
      </c>
      <c r="B460" s="44" t="s">
        <v>486</v>
      </c>
      <c r="C460" s="44">
        <v>959997754</v>
      </c>
      <c r="D460" s="18" t="s">
        <v>1078</v>
      </c>
      <c r="E460" s="39" t="s">
        <v>42</v>
      </c>
    </row>
    <row r="461" spans="1:5" x14ac:dyDescent="0.45">
      <c r="A461" s="44">
        <v>170795881</v>
      </c>
      <c r="B461" s="44" t="s">
        <v>570</v>
      </c>
      <c r="C461" s="44">
        <v>983501302</v>
      </c>
      <c r="D461" s="18" t="s">
        <v>1079</v>
      </c>
      <c r="E461" s="39" t="s">
        <v>42</v>
      </c>
    </row>
    <row r="462" spans="1:5" x14ac:dyDescent="0.45">
      <c r="A462" s="44">
        <v>170795881</v>
      </c>
      <c r="B462" s="44" t="s">
        <v>570</v>
      </c>
      <c r="C462" s="44">
        <v>983501302</v>
      </c>
      <c r="D462" s="18" t="s">
        <v>1079</v>
      </c>
      <c r="E462" s="39" t="s">
        <v>42</v>
      </c>
    </row>
    <row r="463" spans="1:5" x14ac:dyDescent="0.45">
      <c r="A463" s="44">
        <v>1716381999</v>
      </c>
      <c r="B463" s="44" t="s">
        <v>572</v>
      </c>
      <c r="C463" s="44">
        <v>983511676</v>
      </c>
      <c r="D463" s="18" t="s">
        <v>1080</v>
      </c>
      <c r="E463" s="39" t="s">
        <v>42</v>
      </c>
    </row>
    <row r="464" spans="1:5" x14ac:dyDescent="0.45">
      <c r="A464" s="44">
        <v>1716903032</v>
      </c>
      <c r="B464" s="44" t="s">
        <v>574</v>
      </c>
      <c r="C464" s="44">
        <v>991461406</v>
      </c>
      <c r="D464" s="18" t="s">
        <v>1081</v>
      </c>
      <c r="E464" s="39" t="s">
        <v>42</v>
      </c>
    </row>
    <row r="465" spans="1:5" x14ac:dyDescent="0.45">
      <c r="A465" s="44">
        <v>1722118344</v>
      </c>
      <c r="B465" s="44" t="s">
        <v>576</v>
      </c>
      <c r="C465" s="44">
        <v>984539697</v>
      </c>
      <c r="D465" s="18" t="s">
        <v>1082</v>
      </c>
      <c r="E465" s="39" t="s">
        <v>42</v>
      </c>
    </row>
    <row r="466" spans="1:5" x14ac:dyDescent="0.45">
      <c r="A466" s="65">
        <v>1705421095</v>
      </c>
      <c r="B466" s="65" t="s">
        <v>577</v>
      </c>
      <c r="C466" s="65">
        <v>984047914</v>
      </c>
      <c r="D466" s="27" t="s">
        <v>1083</v>
      </c>
      <c r="E466" s="39" t="s">
        <v>42</v>
      </c>
    </row>
    <row r="467" spans="1:5" x14ac:dyDescent="0.45">
      <c r="A467" s="64"/>
      <c r="B467" s="64" t="s">
        <v>578</v>
      </c>
      <c r="C467" s="64"/>
      <c r="D467" s="64"/>
      <c r="E467" s="39" t="s">
        <v>42</v>
      </c>
    </row>
    <row r="468" spans="1:5" x14ac:dyDescent="0.45">
      <c r="A468" s="64"/>
      <c r="B468" s="64" t="s">
        <v>579</v>
      </c>
      <c r="C468" s="64"/>
      <c r="D468" s="26"/>
      <c r="E468" s="39" t="s">
        <v>42</v>
      </c>
    </row>
    <row r="469" spans="1:5" x14ac:dyDescent="0.45">
      <c r="A469" s="64"/>
      <c r="B469" s="64" t="s">
        <v>296</v>
      </c>
      <c r="C469" s="64"/>
      <c r="D469" s="26"/>
      <c r="E469" s="39" t="s">
        <v>42</v>
      </c>
    </row>
    <row r="470" spans="1:5" x14ac:dyDescent="0.45">
      <c r="A470" s="64"/>
      <c r="B470" s="64" t="s">
        <v>581</v>
      </c>
      <c r="C470" s="64">
        <v>979324514</v>
      </c>
      <c r="D470" s="64"/>
      <c r="E470" s="39" t="s">
        <v>42</v>
      </c>
    </row>
    <row r="471" spans="1:5" x14ac:dyDescent="0.45">
      <c r="A471" s="64"/>
      <c r="B471" s="64" t="s">
        <v>581</v>
      </c>
      <c r="C471" s="64">
        <v>979324514</v>
      </c>
      <c r="D471" s="64"/>
      <c r="E471" s="39" t="s">
        <v>42</v>
      </c>
    </row>
    <row r="472" spans="1:5" x14ac:dyDescent="0.45">
      <c r="A472" s="40">
        <v>1701432229</v>
      </c>
      <c r="B472" s="40" t="s">
        <v>503</v>
      </c>
      <c r="C472" s="40">
        <v>997562221</v>
      </c>
      <c r="D472" s="20"/>
      <c r="E472" s="39" t="s">
        <v>42</v>
      </c>
    </row>
    <row r="473" spans="1:5" x14ac:dyDescent="0.45">
      <c r="A473" s="40"/>
      <c r="B473" s="40" t="s">
        <v>582</v>
      </c>
      <c r="C473" s="40">
        <v>987066795</v>
      </c>
      <c r="D473" s="20" t="s">
        <v>1084</v>
      </c>
      <c r="E473" s="39" t="s">
        <v>42</v>
      </c>
    </row>
    <row r="474" spans="1:5" x14ac:dyDescent="0.45">
      <c r="A474" s="40">
        <v>171905163</v>
      </c>
      <c r="B474" s="40" t="s">
        <v>584</v>
      </c>
      <c r="C474" s="40">
        <v>987066795</v>
      </c>
      <c r="D474" s="20" t="s">
        <v>1085</v>
      </c>
      <c r="E474" s="39" t="s">
        <v>42</v>
      </c>
    </row>
    <row r="475" spans="1:5" x14ac:dyDescent="0.45">
      <c r="A475" s="40">
        <v>171905163</v>
      </c>
      <c r="B475" s="40" t="s">
        <v>584</v>
      </c>
      <c r="C475" s="40">
        <v>987066795</v>
      </c>
      <c r="D475" s="20" t="s">
        <v>1085</v>
      </c>
      <c r="E475" s="39" t="s">
        <v>42</v>
      </c>
    </row>
    <row r="476" spans="1:5" x14ac:dyDescent="0.45">
      <c r="A476" s="40">
        <v>171905163</v>
      </c>
      <c r="B476" s="40" t="s">
        <v>584</v>
      </c>
      <c r="C476" s="40">
        <v>987066795</v>
      </c>
      <c r="D476" s="20" t="s">
        <v>1085</v>
      </c>
      <c r="E476" s="39" t="s">
        <v>42</v>
      </c>
    </row>
    <row r="477" spans="1:5" x14ac:dyDescent="0.45">
      <c r="A477" s="40">
        <v>1710644798</v>
      </c>
      <c r="B477" s="40" t="s">
        <v>588</v>
      </c>
      <c r="C477" s="40">
        <v>995620363</v>
      </c>
      <c r="D477" s="20" t="s">
        <v>1086</v>
      </c>
      <c r="E477" s="39" t="s">
        <v>42</v>
      </c>
    </row>
    <row r="478" spans="1:5" x14ac:dyDescent="0.45">
      <c r="A478" s="64"/>
      <c r="B478" s="64" t="s">
        <v>589</v>
      </c>
      <c r="C478" s="64"/>
      <c r="D478" s="26"/>
      <c r="E478" s="39" t="s">
        <v>42</v>
      </c>
    </row>
    <row r="479" spans="1:5" x14ac:dyDescent="0.45">
      <c r="A479" s="64"/>
      <c r="B479" s="64"/>
      <c r="C479" s="64"/>
      <c r="D479" s="26"/>
      <c r="E479" s="39" t="s">
        <v>42</v>
      </c>
    </row>
    <row r="480" spans="1:5" x14ac:dyDescent="0.45">
      <c r="A480" s="40"/>
      <c r="B480" s="40" t="s">
        <v>591</v>
      </c>
      <c r="C480" s="40"/>
      <c r="D480" s="20"/>
      <c r="E480" s="39" t="s">
        <v>42</v>
      </c>
    </row>
    <row r="481" spans="1:5" x14ac:dyDescent="0.45">
      <c r="A481" s="40"/>
      <c r="B481" s="40" t="s">
        <v>592</v>
      </c>
      <c r="C481" s="40"/>
      <c r="D481" s="20"/>
      <c r="E481" s="39" t="s">
        <v>42</v>
      </c>
    </row>
    <row r="482" spans="1:5" x14ac:dyDescent="0.45">
      <c r="A482" s="40"/>
      <c r="B482" s="40" t="s">
        <v>593</v>
      </c>
      <c r="C482" s="40"/>
      <c r="D482" s="20"/>
      <c r="E482" s="39" t="s">
        <v>42</v>
      </c>
    </row>
    <row r="483" spans="1:5" x14ac:dyDescent="0.45">
      <c r="A483" s="64">
        <v>1801685494</v>
      </c>
      <c r="B483" s="64" t="s">
        <v>594</v>
      </c>
      <c r="C483" s="64">
        <v>971463417</v>
      </c>
      <c r="D483" s="26" t="s">
        <v>1087</v>
      </c>
      <c r="E483" s="39" t="s">
        <v>42</v>
      </c>
    </row>
    <row r="484" spans="1:5" x14ac:dyDescent="0.45">
      <c r="A484" s="64">
        <v>1719231316</v>
      </c>
      <c r="B484" s="64" t="s">
        <v>595</v>
      </c>
      <c r="C484" s="64">
        <v>979324514</v>
      </c>
      <c r="D484" s="26" t="s">
        <v>1088</v>
      </c>
      <c r="E484" s="39" t="s">
        <v>42</v>
      </c>
    </row>
    <row r="485" spans="1:5" x14ac:dyDescent="0.45">
      <c r="A485" s="64">
        <v>1708380553</v>
      </c>
      <c r="B485" s="64" t="s">
        <v>597</v>
      </c>
      <c r="C485" s="64">
        <v>998386826</v>
      </c>
      <c r="D485" s="26" t="s">
        <v>1089</v>
      </c>
      <c r="E485" s="39" t="s">
        <v>42</v>
      </c>
    </row>
    <row r="486" spans="1:5" x14ac:dyDescent="0.45">
      <c r="A486" s="64">
        <v>1711508117</v>
      </c>
      <c r="B486" s="64" t="s">
        <v>599</v>
      </c>
      <c r="C486" s="64">
        <v>980552370</v>
      </c>
      <c r="D486" s="26" t="s">
        <v>1090</v>
      </c>
      <c r="E486" s="39" t="s">
        <v>42</v>
      </c>
    </row>
    <row r="487" spans="1:5" x14ac:dyDescent="0.45">
      <c r="A487" s="40">
        <v>1311894024</v>
      </c>
      <c r="B487" s="40" t="s">
        <v>601</v>
      </c>
      <c r="C487" s="40">
        <v>962708614</v>
      </c>
      <c r="D487" s="20" t="s">
        <v>1091</v>
      </c>
      <c r="E487" s="39" t="s">
        <v>42</v>
      </c>
    </row>
    <row r="488" spans="1:5" x14ac:dyDescent="0.45">
      <c r="A488" s="40"/>
      <c r="B488" s="40" t="s">
        <v>603</v>
      </c>
      <c r="C488" s="40"/>
      <c r="D488" s="40"/>
      <c r="E488" s="39" t="s">
        <v>42</v>
      </c>
    </row>
    <row r="489" spans="1:5" x14ac:dyDescent="0.45">
      <c r="A489" s="40">
        <v>1707963227</v>
      </c>
      <c r="B489" s="40" t="s">
        <v>77</v>
      </c>
      <c r="C489" s="40">
        <v>962842721</v>
      </c>
      <c r="D489" s="20" t="s">
        <v>1092</v>
      </c>
      <c r="E489" s="39" t="s">
        <v>42</v>
      </c>
    </row>
    <row r="490" spans="1:5" x14ac:dyDescent="0.45">
      <c r="A490" s="40">
        <v>1721675153</v>
      </c>
      <c r="B490" s="40" t="s">
        <v>426</v>
      </c>
      <c r="C490" s="40">
        <v>992877753</v>
      </c>
      <c r="D490" s="20" t="s">
        <v>1093</v>
      </c>
      <c r="E490" s="39" t="s">
        <v>42</v>
      </c>
    </row>
    <row r="491" spans="1:5" x14ac:dyDescent="0.45">
      <c r="A491" s="64">
        <v>1722462965</v>
      </c>
      <c r="B491" s="64" t="s">
        <v>604</v>
      </c>
      <c r="C491" s="64">
        <v>983566239</v>
      </c>
      <c r="D491" s="26" t="s">
        <v>1094</v>
      </c>
      <c r="E491" s="39" t="s">
        <v>42</v>
      </c>
    </row>
    <row r="492" spans="1:5" x14ac:dyDescent="0.45">
      <c r="A492" s="64">
        <v>1726529777</v>
      </c>
      <c r="B492" s="64" t="s">
        <v>606</v>
      </c>
      <c r="C492" s="64">
        <v>983816166</v>
      </c>
      <c r="D492" s="26" t="s">
        <v>1095</v>
      </c>
      <c r="E492" s="39" t="s">
        <v>42</v>
      </c>
    </row>
    <row r="493" spans="1:5" x14ac:dyDescent="0.45">
      <c r="A493" s="64"/>
      <c r="B493" s="64" t="s">
        <v>607</v>
      </c>
      <c r="C493" s="64">
        <v>989466469</v>
      </c>
      <c r="D493" s="64"/>
      <c r="E493" s="39" t="s">
        <v>42</v>
      </c>
    </row>
    <row r="494" spans="1:5" x14ac:dyDescent="0.45">
      <c r="A494" s="64">
        <v>1716497159</v>
      </c>
      <c r="B494" s="64" t="s">
        <v>608</v>
      </c>
      <c r="C494" s="64">
        <v>991951765</v>
      </c>
      <c r="D494" s="26" t="s">
        <v>1096</v>
      </c>
      <c r="E494" s="39" t="s">
        <v>42</v>
      </c>
    </row>
    <row r="495" spans="1:5" x14ac:dyDescent="0.45">
      <c r="A495" s="44"/>
      <c r="B495" s="44" t="s">
        <v>71</v>
      </c>
      <c r="C495" s="44"/>
      <c r="D495" s="44"/>
      <c r="E495" s="39" t="s">
        <v>42</v>
      </c>
    </row>
    <row r="496" spans="1:5" x14ac:dyDescent="0.45">
      <c r="A496" s="44"/>
      <c r="B496" s="44" t="s">
        <v>71</v>
      </c>
      <c r="C496" s="44"/>
      <c r="D496" s="44"/>
      <c r="E496" s="39" t="s">
        <v>42</v>
      </c>
    </row>
    <row r="497" spans="1:5" x14ac:dyDescent="0.45">
      <c r="A497" s="40">
        <v>1721182903001</v>
      </c>
      <c r="B497" s="40" t="s">
        <v>610</v>
      </c>
      <c r="C497" s="40">
        <v>998420775</v>
      </c>
      <c r="D497" s="20" t="s">
        <v>1097</v>
      </c>
      <c r="E497" s="39" t="s">
        <v>42</v>
      </c>
    </row>
    <row r="498" spans="1:5" x14ac:dyDescent="0.45">
      <c r="A498" s="40">
        <v>1721182903001</v>
      </c>
      <c r="B498" s="40" t="s">
        <v>610</v>
      </c>
      <c r="C498" s="40">
        <v>998420775</v>
      </c>
      <c r="D498" s="20" t="s">
        <v>1097</v>
      </c>
      <c r="E498" s="39" t="s">
        <v>42</v>
      </c>
    </row>
    <row r="499" spans="1:5" x14ac:dyDescent="0.45">
      <c r="A499" s="44">
        <v>1721946067</v>
      </c>
      <c r="B499" s="44" t="s">
        <v>74</v>
      </c>
      <c r="C499" s="44">
        <v>997562221</v>
      </c>
      <c r="D499" s="18" t="s">
        <v>1049</v>
      </c>
      <c r="E499" s="39" t="s">
        <v>42</v>
      </c>
    </row>
    <row r="500" spans="1:5" x14ac:dyDescent="0.45">
      <c r="A500" s="43">
        <v>1721008744</v>
      </c>
      <c r="B500" s="43" t="s">
        <v>444</v>
      </c>
      <c r="C500" s="43">
        <v>987839775</v>
      </c>
      <c r="D500" s="17" t="s">
        <v>1098</v>
      </c>
      <c r="E500" s="39" t="s">
        <v>42</v>
      </c>
    </row>
    <row r="501" spans="1:5" x14ac:dyDescent="0.45">
      <c r="A501" s="43">
        <v>1721008744</v>
      </c>
      <c r="B501" s="43" t="s">
        <v>444</v>
      </c>
      <c r="C501" s="43">
        <v>987839775</v>
      </c>
      <c r="D501" s="17" t="s">
        <v>1098</v>
      </c>
      <c r="E501" s="39" t="s">
        <v>42</v>
      </c>
    </row>
    <row r="502" spans="1:5" x14ac:dyDescent="0.45">
      <c r="A502" s="43">
        <v>1718245812</v>
      </c>
      <c r="B502" s="43" t="s">
        <v>267</v>
      </c>
      <c r="C502" s="43">
        <v>998770121</v>
      </c>
      <c r="D502" s="17" t="s">
        <v>1048</v>
      </c>
      <c r="E502" s="39" t="s">
        <v>42</v>
      </c>
    </row>
    <row r="503" spans="1:5" x14ac:dyDescent="0.45">
      <c r="A503" s="43">
        <v>1710459460</v>
      </c>
      <c r="B503" s="43" t="s">
        <v>614</v>
      </c>
      <c r="C503" s="43">
        <v>991856789</v>
      </c>
      <c r="D503" s="17" t="s">
        <v>1099</v>
      </c>
      <c r="E503" s="39" t="s">
        <v>42</v>
      </c>
    </row>
    <row r="504" spans="1:5" x14ac:dyDescent="0.45">
      <c r="A504" s="43">
        <v>1722303417</v>
      </c>
      <c r="B504" s="43" t="s">
        <v>616</v>
      </c>
      <c r="C504" s="43">
        <v>992557827</v>
      </c>
      <c r="D504" s="17" t="s">
        <v>1100</v>
      </c>
      <c r="E504" s="39" t="s">
        <v>42</v>
      </c>
    </row>
    <row r="505" spans="1:5" x14ac:dyDescent="0.45">
      <c r="A505" s="43">
        <v>1721946067</v>
      </c>
      <c r="B505" s="43" t="s">
        <v>74</v>
      </c>
      <c r="C505" s="43">
        <v>997562221</v>
      </c>
      <c r="D505" s="17" t="s">
        <v>1049</v>
      </c>
      <c r="E505" s="39" t="s">
        <v>42</v>
      </c>
    </row>
    <row r="506" spans="1:5" x14ac:dyDescent="0.45">
      <c r="A506" s="43">
        <v>1717200016</v>
      </c>
      <c r="B506" s="43" t="s">
        <v>618</v>
      </c>
      <c r="C506" s="43">
        <v>991447583</v>
      </c>
      <c r="D506" s="17" t="s">
        <v>1101</v>
      </c>
      <c r="E506" s="39" t="s">
        <v>42</v>
      </c>
    </row>
    <row r="507" spans="1:5" x14ac:dyDescent="0.45">
      <c r="A507" s="40">
        <v>170795881</v>
      </c>
      <c r="B507" s="40" t="s">
        <v>570</v>
      </c>
      <c r="C507" s="40">
        <v>983501302</v>
      </c>
      <c r="D507" s="20" t="s">
        <v>1102</v>
      </c>
      <c r="E507" s="39" t="s">
        <v>42</v>
      </c>
    </row>
    <row r="508" spans="1:5" x14ac:dyDescent="0.45">
      <c r="A508" s="40"/>
      <c r="B508" s="40"/>
      <c r="C508" s="40"/>
      <c r="D508" s="20"/>
      <c r="E508" s="39" t="s">
        <v>42</v>
      </c>
    </row>
    <row r="509" spans="1:5" x14ac:dyDescent="0.45">
      <c r="A509" s="43"/>
      <c r="B509" s="43" t="s">
        <v>620</v>
      </c>
      <c r="C509" s="43">
        <v>987750025</v>
      </c>
      <c r="D509" s="43"/>
      <c r="E509" s="39" t="s">
        <v>42</v>
      </c>
    </row>
    <row r="510" spans="1:5" x14ac:dyDescent="0.45">
      <c r="A510" s="43"/>
      <c r="B510" s="43"/>
      <c r="C510" s="43"/>
      <c r="D510" s="43"/>
      <c r="E510" s="39" t="s">
        <v>42</v>
      </c>
    </row>
    <row r="511" spans="1:5" x14ac:dyDescent="0.45">
      <c r="A511" s="40">
        <v>1720222817</v>
      </c>
      <c r="B511" s="40" t="s">
        <v>621</v>
      </c>
      <c r="C511" s="40">
        <v>998764756</v>
      </c>
      <c r="D511" s="40" t="s">
        <v>1103</v>
      </c>
      <c r="E511" s="39" t="s">
        <v>42</v>
      </c>
    </row>
    <row r="512" spans="1:5" x14ac:dyDescent="0.45">
      <c r="A512" s="40"/>
      <c r="B512" s="40" t="s">
        <v>622</v>
      </c>
      <c r="C512" s="40"/>
      <c r="D512" s="40"/>
      <c r="E512" s="39" t="s">
        <v>42</v>
      </c>
    </row>
    <row r="513" spans="1:5" x14ac:dyDescent="0.45">
      <c r="A513" s="40"/>
      <c r="B513" s="40"/>
      <c r="C513" s="40"/>
      <c r="D513" s="40"/>
      <c r="E513" s="39" t="s">
        <v>42</v>
      </c>
    </row>
    <row r="514" spans="1:5" x14ac:dyDescent="0.45">
      <c r="A514" s="43">
        <v>1708380553</v>
      </c>
      <c r="B514" s="43" t="s">
        <v>624</v>
      </c>
      <c r="C514" s="43">
        <v>998386826</v>
      </c>
      <c r="D514" s="17" t="s">
        <v>1089</v>
      </c>
      <c r="E514" s="39" t="s">
        <v>42</v>
      </c>
    </row>
    <row r="515" spans="1:5" x14ac:dyDescent="0.45">
      <c r="A515" s="43">
        <v>905189890</v>
      </c>
      <c r="B515" s="43" t="s">
        <v>626</v>
      </c>
      <c r="C515" s="43">
        <v>998337564</v>
      </c>
      <c r="D515" s="43" t="s">
        <v>1104</v>
      </c>
      <c r="E515" s="39" t="s">
        <v>42</v>
      </c>
    </row>
    <row r="516" spans="1:5" x14ac:dyDescent="0.45">
      <c r="A516" s="43">
        <v>1714644817</v>
      </c>
      <c r="B516" s="43" t="s">
        <v>628</v>
      </c>
      <c r="C516" s="43">
        <v>995052916</v>
      </c>
      <c r="D516" s="17" t="s">
        <v>1105</v>
      </c>
      <c r="E516" s="39" t="s">
        <v>42</v>
      </c>
    </row>
    <row r="517" spans="1:5" x14ac:dyDescent="0.45">
      <c r="A517" s="43">
        <v>1800577700</v>
      </c>
      <c r="B517" s="43" t="s">
        <v>630</v>
      </c>
      <c r="C517" s="43">
        <v>999257208</v>
      </c>
      <c r="D517" s="17" t="s">
        <v>1106</v>
      </c>
      <c r="E517" s="39" t="s">
        <v>42</v>
      </c>
    </row>
    <row r="518" spans="1:5" x14ac:dyDescent="0.45">
      <c r="A518" s="56">
        <v>1707963227</v>
      </c>
      <c r="B518" s="40" t="s">
        <v>77</v>
      </c>
      <c r="C518" s="56">
        <v>962842721</v>
      </c>
      <c r="D518" s="56" t="s">
        <v>1107</v>
      </c>
      <c r="E518" s="39" t="s">
        <v>42</v>
      </c>
    </row>
    <row r="519" spans="1:5" x14ac:dyDescent="0.45">
      <c r="A519" s="40">
        <v>1722385430</v>
      </c>
      <c r="B519" s="40" t="s">
        <v>632</v>
      </c>
      <c r="C519" s="40">
        <v>992668117</v>
      </c>
      <c r="D519" s="20" t="s">
        <v>1108</v>
      </c>
      <c r="E519" s="39" t="s">
        <v>42</v>
      </c>
    </row>
    <row r="520" spans="1:5" x14ac:dyDescent="0.45">
      <c r="A520" s="43">
        <v>1712991023</v>
      </c>
      <c r="B520" s="43" t="s">
        <v>634</v>
      </c>
      <c r="C520" s="43">
        <v>958970192</v>
      </c>
      <c r="D520" s="17" t="s">
        <v>1109</v>
      </c>
      <c r="E520" s="39" t="s">
        <v>42</v>
      </c>
    </row>
    <row r="521" spans="1:5" x14ac:dyDescent="0.45">
      <c r="A521" s="43"/>
      <c r="B521" s="43"/>
      <c r="C521" s="43"/>
      <c r="D521" s="43"/>
      <c r="E521" s="39" t="s">
        <v>42</v>
      </c>
    </row>
    <row r="522" spans="1:5" x14ac:dyDescent="0.45">
      <c r="A522" s="40">
        <v>1718017302</v>
      </c>
      <c r="B522" s="40" t="s">
        <v>636</v>
      </c>
      <c r="C522" s="40">
        <v>98404356</v>
      </c>
      <c r="D522" s="20" t="s">
        <v>1029</v>
      </c>
      <c r="E522" s="39" t="s">
        <v>42</v>
      </c>
    </row>
    <row r="523" spans="1:5" x14ac:dyDescent="0.45">
      <c r="A523" s="40">
        <v>1718017302</v>
      </c>
      <c r="B523" s="60" t="s">
        <v>636</v>
      </c>
      <c r="C523" s="40">
        <v>98494356</v>
      </c>
      <c r="D523" s="40"/>
      <c r="E523" s="39" t="s">
        <v>42</v>
      </c>
    </row>
    <row r="524" spans="1:5" x14ac:dyDescent="0.45">
      <c r="A524" s="43">
        <v>1714650379</v>
      </c>
      <c r="B524" s="43" t="s">
        <v>637</v>
      </c>
      <c r="C524" s="43">
        <v>982663163</v>
      </c>
      <c r="D524" s="17" t="s">
        <v>1110</v>
      </c>
      <c r="E524" s="39" t="s">
        <v>42</v>
      </c>
    </row>
    <row r="525" spans="1:5" x14ac:dyDescent="0.45">
      <c r="A525" s="43"/>
      <c r="B525" s="43" t="s">
        <v>639</v>
      </c>
      <c r="C525" s="43"/>
      <c r="D525" s="43"/>
      <c r="E525" s="39" t="s">
        <v>42</v>
      </c>
    </row>
    <row r="526" spans="1:5" x14ac:dyDescent="0.45">
      <c r="A526" s="43"/>
      <c r="B526" s="43"/>
      <c r="C526" s="43"/>
      <c r="D526" s="43"/>
      <c r="E526" s="39" t="s">
        <v>42</v>
      </c>
    </row>
    <row r="527" spans="1:5" x14ac:dyDescent="0.45">
      <c r="A527" s="40"/>
      <c r="B527" s="40" t="s">
        <v>641</v>
      </c>
      <c r="C527" s="40">
        <v>992572884</v>
      </c>
      <c r="D527" s="40"/>
      <c r="E527" s="39" t="s">
        <v>42</v>
      </c>
    </row>
    <row r="528" spans="1:5" x14ac:dyDescent="0.45">
      <c r="A528" s="40">
        <v>1714400965</v>
      </c>
      <c r="B528" s="40" t="s">
        <v>642</v>
      </c>
      <c r="C528" s="40">
        <v>985305885</v>
      </c>
      <c r="D528" s="40"/>
      <c r="E528" s="39" t="s">
        <v>42</v>
      </c>
    </row>
    <row r="529" spans="1:5" x14ac:dyDescent="0.45">
      <c r="A529" s="43"/>
      <c r="B529" s="43" t="s">
        <v>644</v>
      </c>
      <c r="C529" s="43"/>
      <c r="D529" s="43"/>
      <c r="E529" s="39" t="s">
        <v>42</v>
      </c>
    </row>
    <row r="530" spans="1:5" x14ac:dyDescent="0.45">
      <c r="A530" s="43">
        <v>1718764119</v>
      </c>
      <c r="B530" s="43" t="s">
        <v>645</v>
      </c>
      <c r="C530" s="43">
        <v>999380328</v>
      </c>
      <c r="D530" s="17" t="s">
        <v>1111</v>
      </c>
      <c r="E530" s="39" t="s">
        <v>42</v>
      </c>
    </row>
    <row r="531" spans="1:5" x14ac:dyDescent="0.45">
      <c r="A531" s="43">
        <v>1716489586</v>
      </c>
      <c r="B531" s="43" t="s">
        <v>448</v>
      </c>
      <c r="C531" s="43"/>
      <c r="D531" s="43"/>
      <c r="E531" s="39" t="s">
        <v>42</v>
      </c>
    </row>
    <row r="532" spans="1:5" x14ac:dyDescent="0.45">
      <c r="A532" s="43">
        <v>1722211792</v>
      </c>
      <c r="B532" s="43" t="s">
        <v>648</v>
      </c>
      <c r="C532" s="43">
        <v>984044040</v>
      </c>
      <c r="D532" s="17" t="s">
        <v>1112</v>
      </c>
      <c r="E532" s="39" t="s">
        <v>42</v>
      </c>
    </row>
    <row r="533" spans="1:5" x14ac:dyDescent="0.45">
      <c r="A533" s="43"/>
      <c r="B533" s="43" t="s">
        <v>649</v>
      </c>
      <c r="C533" s="43"/>
      <c r="D533" s="43"/>
      <c r="E533" s="39" t="s">
        <v>42</v>
      </c>
    </row>
    <row r="534" spans="1:5" x14ac:dyDescent="0.45">
      <c r="A534" s="40">
        <v>103837001</v>
      </c>
      <c r="B534" s="40" t="s">
        <v>651</v>
      </c>
      <c r="C534" s="40">
        <v>998042155</v>
      </c>
      <c r="D534" s="20" t="s">
        <v>1113</v>
      </c>
      <c r="E534" s="39" t="s">
        <v>42</v>
      </c>
    </row>
    <row r="535" spans="1:5" x14ac:dyDescent="0.45">
      <c r="A535" s="40"/>
      <c r="B535" s="40" t="s">
        <v>410</v>
      </c>
      <c r="C535" s="40"/>
      <c r="D535" s="40"/>
      <c r="E535" s="39" t="s">
        <v>42</v>
      </c>
    </row>
    <row r="536" spans="1:5" x14ac:dyDescent="0.45">
      <c r="A536" s="40"/>
      <c r="B536" s="40"/>
      <c r="C536" s="40"/>
      <c r="D536" s="40"/>
      <c r="E536" s="39" t="s">
        <v>42</v>
      </c>
    </row>
    <row r="537" spans="1:5" x14ac:dyDescent="0.45">
      <c r="A537" s="43">
        <v>1704073939</v>
      </c>
      <c r="B537" s="43" t="s">
        <v>654</v>
      </c>
      <c r="C537" s="43">
        <v>960717026</v>
      </c>
      <c r="D537" s="17" t="s">
        <v>1114</v>
      </c>
      <c r="E537" s="39" t="s">
        <v>42</v>
      </c>
    </row>
    <row r="538" spans="1:5" x14ac:dyDescent="0.45">
      <c r="A538" s="43">
        <v>1723292700</v>
      </c>
      <c r="B538" s="43" t="s">
        <v>229</v>
      </c>
      <c r="C538" s="43">
        <v>981412864</v>
      </c>
      <c r="D538" s="17" t="s">
        <v>1115</v>
      </c>
      <c r="E538" s="39" t="s">
        <v>42</v>
      </c>
    </row>
    <row r="539" spans="1:5" x14ac:dyDescent="0.45">
      <c r="A539" s="43">
        <v>1713441408</v>
      </c>
      <c r="B539" s="43" t="s">
        <v>490</v>
      </c>
      <c r="C539" s="43">
        <v>995026048</v>
      </c>
      <c r="D539" s="17" t="s">
        <v>1116</v>
      </c>
      <c r="E539" s="39" t="s">
        <v>42</v>
      </c>
    </row>
    <row r="540" spans="1:5" x14ac:dyDescent="0.45">
      <c r="A540" s="43">
        <v>1724477300</v>
      </c>
      <c r="B540" s="43" t="s">
        <v>656</v>
      </c>
      <c r="C540" s="43">
        <v>985595618</v>
      </c>
      <c r="D540" s="17" t="s">
        <v>1117</v>
      </c>
      <c r="E540" s="39" t="s">
        <v>42</v>
      </c>
    </row>
    <row r="541" spans="1:5" x14ac:dyDescent="0.45">
      <c r="A541" s="40">
        <v>1721946067</v>
      </c>
      <c r="B541" s="40" t="s">
        <v>74</v>
      </c>
      <c r="C541" s="40">
        <v>997562221</v>
      </c>
      <c r="D541" s="20" t="s">
        <v>1049</v>
      </c>
      <c r="E541" s="39" t="s">
        <v>42</v>
      </c>
    </row>
    <row r="542" spans="1:5" x14ac:dyDescent="0.45">
      <c r="A542" s="40">
        <v>1721946067</v>
      </c>
      <c r="B542" s="40" t="s">
        <v>74</v>
      </c>
      <c r="C542" s="40">
        <v>997562221</v>
      </c>
      <c r="D542" s="20" t="s">
        <v>1049</v>
      </c>
      <c r="E542" s="39" t="s">
        <v>42</v>
      </c>
    </row>
    <row r="543" spans="1:5" x14ac:dyDescent="0.45">
      <c r="A543" s="40">
        <v>105334452</v>
      </c>
      <c r="B543" s="40" t="s">
        <v>41</v>
      </c>
      <c r="C543" s="40"/>
      <c r="D543" s="20" t="s">
        <v>1118</v>
      </c>
      <c r="E543" s="39" t="s">
        <v>42</v>
      </c>
    </row>
    <row r="544" spans="1:5" x14ac:dyDescent="0.45">
      <c r="A544" s="66">
        <v>1701432229</v>
      </c>
      <c r="B544" s="66" t="s">
        <v>503</v>
      </c>
      <c r="C544" s="66">
        <v>997562221</v>
      </c>
      <c r="D544" s="28" t="s">
        <v>1049</v>
      </c>
      <c r="E544" s="39" t="s">
        <v>42</v>
      </c>
    </row>
    <row r="545" spans="1:5" x14ac:dyDescent="0.45">
      <c r="A545" s="40">
        <v>1717177966</v>
      </c>
      <c r="B545" s="40" t="s">
        <v>661</v>
      </c>
      <c r="C545" s="40">
        <v>987830893</v>
      </c>
      <c r="D545" s="20" t="s">
        <v>1119</v>
      </c>
      <c r="E545" s="39" t="s">
        <v>42</v>
      </c>
    </row>
    <row r="546" spans="1:5" x14ac:dyDescent="0.45">
      <c r="A546" s="40">
        <v>1722633169</v>
      </c>
      <c r="B546" s="40" t="s">
        <v>663</v>
      </c>
      <c r="C546" s="40">
        <v>990336960</v>
      </c>
      <c r="D546" s="20" t="s">
        <v>1120</v>
      </c>
      <c r="E546" s="39" t="s">
        <v>42</v>
      </c>
    </row>
    <row r="547" spans="1:5" x14ac:dyDescent="0.45">
      <c r="A547" s="43"/>
      <c r="B547" s="43" t="s">
        <v>664</v>
      </c>
      <c r="C547" s="43"/>
      <c r="D547" s="43"/>
      <c r="E547" s="39" t="s">
        <v>42</v>
      </c>
    </row>
    <row r="548" spans="1:5" x14ac:dyDescent="0.45">
      <c r="A548" s="43"/>
      <c r="B548" s="43" t="s">
        <v>664</v>
      </c>
      <c r="C548" s="43"/>
      <c r="D548" s="43"/>
      <c r="E548" s="39" t="s">
        <v>42</v>
      </c>
    </row>
    <row r="549" spans="1:5" x14ac:dyDescent="0.45">
      <c r="A549" s="43"/>
      <c r="B549" s="43" t="s">
        <v>172</v>
      </c>
      <c r="C549" s="43"/>
      <c r="D549" s="43"/>
      <c r="E549" s="39" t="s">
        <v>42</v>
      </c>
    </row>
    <row r="550" spans="1:5" x14ac:dyDescent="0.45">
      <c r="A550" s="43">
        <v>1714063292</v>
      </c>
      <c r="B550" s="43" t="s">
        <v>71</v>
      </c>
      <c r="C550" s="43">
        <v>995674830</v>
      </c>
      <c r="D550" s="17" t="s">
        <v>1046</v>
      </c>
      <c r="E550" s="39" t="s">
        <v>42</v>
      </c>
    </row>
    <row r="551" spans="1:5" x14ac:dyDescent="0.45">
      <c r="A551" s="43"/>
      <c r="B551" s="43" t="s">
        <v>666</v>
      </c>
      <c r="C551" s="43"/>
      <c r="D551" s="43"/>
      <c r="E551" s="39" t="s">
        <v>42</v>
      </c>
    </row>
    <row r="552" spans="1:5" x14ac:dyDescent="0.45">
      <c r="A552" s="43"/>
      <c r="B552" s="43" t="s">
        <v>667</v>
      </c>
      <c r="C552" s="43"/>
      <c r="D552" s="43"/>
      <c r="E552" s="39" t="s">
        <v>42</v>
      </c>
    </row>
    <row r="553" spans="1:5" x14ac:dyDescent="0.45">
      <c r="A553" s="40">
        <v>1707963227</v>
      </c>
      <c r="B553" s="40" t="s">
        <v>77</v>
      </c>
      <c r="C553" s="40">
        <v>962842721</v>
      </c>
      <c r="D553" s="20" t="s">
        <v>1121</v>
      </c>
      <c r="E553" s="39" t="s">
        <v>42</v>
      </c>
    </row>
    <row r="554" spans="1:5" x14ac:dyDescent="0.45">
      <c r="A554" s="40"/>
      <c r="B554" s="40"/>
      <c r="C554" s="40"/>
      <c r="D554" s="20"/>
      <c r="E554" s="39" t="s">
        <v>42</v>
      </c>
    </row>
    <row r="555" spans="1:5" x14ac:dyDescent="0.45">
      <c r="A555" s="43">
        <v>179952289</v>
      </c>
      <c r="B555" s="43" t="s">
        <v>669</v>
      </c>
      <c r="C555" s="43"/>
      <c r="D555" s="17" t="s">
        <v>1122</v>
      </c>
      <c r="E555" s="39" t="s">
        <v>42</v>
      </c>
    </row>
    <row r="556" spans="1:5" x14ac:dyDescent="0.45">
      <c r="A556" s="43">
        <v>179952289</v>
      </c>
      <c r="B556" s="43" t="s">
        <v>669</v>
      </c>
      <c r="C556" s="43"/>
      <c r="D556" s="17" t="s">
        <v>1122</v>
      </c>
      <c r="E556" s="39" t="s">
        <v>42</v>
      </c>
    </row>
    <row r="557" spans="1:5" x14ac:dyDescent="0.45">
      <c r="A557" s="43">
        <v>1724534076</v>
      </c>
      <c r="B557" s="43" t="s">
        <v>672</v>
      </c>
      <c r="C557" s="43">
        <v>981437074</v>
      </c>
      <c r="D557" s="17" t="s">
        <v>1123</v>
      </c>
      <c r="E557" s="39" t="s">
        <v>42</v>
      </c>
    </row>
    <row r="558" spans="1:5" x14ac:dyDescent="0.45">
      <c r="A558" s="43">
        <v>1718530866</v>
      </c>
      <c r="B558" s="43" t="s">
        <v>674</v>
      </c>
      <c r="C558" s="43">
        <v>993005801</v>
      </c>
      <c r="D558" s="17" t="s">
        <v>1124</v>
      </c>
      <c r="E558" s="39" t="s">
        <v>42</v>
      </c>
    </row>
    <row r="559" spans="1:5" x14ac:dyDescent="0.45">
      <c r="A559" s="43">
        <v>17081205579</v>
      </c>
      <c r="B559" s="43" t="s">
        <v>675</v>
      </c>
      <c r="C559" s="43">
        <v>999915955</v>
      </c>
      <c r="D559" s="17" t="s">
        <v>1125</v>
      </c>
      <c r="E559" s="39" t="s">
        <v>42</v>
      </c>
    </row>
    <row r="560" spans="1:5" x14ac:dyDescent="0.45">
      <c r="A560" s="43"/>
      <c r="B560" s="43" t="s">
        <v>676</v>
      </c>
      <c r="C560" s="43">
        <v>992433299</v>
      </c>
      <c r="D560" s="43"/>
      <c r="E560" s="39" t="s">
        <v>42</v>
      </c>
    </row>
    <row r="561" spans="1:5" x14ac:dyDescent="0.45">
      <c r="A561" s="43">
        <v>1753632828</v>
      </c>
      <c r="B561" s="43" t="s">
        <v>677</v>
      </c>
      <c r="C561" s="43">
        <v>983900698</v>
      </c>
      <c r="D561" s="17" t="s">
        <v>1126</v>
      </c>
      <c r="E561" s="39" t="s">
        <v>42</v>
      </c>
    </row>
    <row r="562" spans="1:5" x14ac:dyDescent="0.45">
      <c r="A562" s="40">
        <v>1111508117</v>
      </c>
      <c r="B562" s="40" t="s">
        <v>679</v>
      </c>
      <c r="C562" s="40">
        <v>980552370</v>
      </c>
      <c r="D562" s="20" t="s">
        <v>1127</v>
      </c>
      <c r="E562" s="39" t="s">
        <v>42</v>
      </c>
    </row>
    <row r="563" spans="1:5" x14ac:dyDescent="0.45">
      <c r="A563" s="40"/>
      <c r="B563" s="40" t="s">
        <v>681</v>
      </c>
      <c r="C563" s="40"/>
      <c r="D563" s="20"/>
      <c r="E563" s="39" t="s">
        <v>42</v>
      </c>
    </row>
    <row r="564" spans="1:5" x14ac:dyDescent="0.45">
      <c r="A564" s="40">
        <v>1721675153</v>
      </c>
      <c r="B564" s="40" t="s">
        <v>426</v>
      </c>
      <c r="C564" s="40">
        <v>992877753</v>
      </c>
      <c r="D564" s="20" t="s">
        <v>1128</v>
      </c>
      <c r="E564" s="39" t="s">
        <v>42</v>
      </c>
    </row>
    <row r="565" spans="1:5" x14ac:dyDescent="0.45">
      <c r="A565" s="40"/>
      <c r="B565" s="40"/>
      <c r="C565" s="40"/>
      <c r="D565" s="20"/>
      <c r="E565" s="39" t="s">
        <v>42</v>
      </c>
    </row>
    <row r="566" spans="1:5" x14ac:dyDescent="0.45">
      <c r="A566" s="67">
        <v>1716270929</v>
      </c>
      <c r="B566" s="67" t="s">
        <v>682</v>
      </c>
      <c r="C566" s="67">
        <v>984913319</v>
      </c>
      <c r="D566" s="29" t="s">
        <v>1129</v>
      </c>
      <c r="E566" s="39" t="s">
        <v>42</v>
      </c>
    </row>
    <row r="567" spans="1:5" x14ac:dyDescent="0.45">
      <c r="A567" s="67">
        <v>1708343775</v>
      </c>
      <c r="B567" s="67" t="s">
        <v>683</v>
      </c>
      <c r="C567" s="67">
        <v>998682199</v>
      </c>
      <c r="D567" s="29"/>
      <c r="E567" s="39" t="s">
        <v>42</v>
      </c>
    </row>
    <row r="568" spans="1:5" x14ac:dyDescent="0.45">
      <c r="A568" s="40"/>
      <c r="B568" s="40"/>
      <c r="C568" s="40"/>
      <c r="D568" s="20"/>
      <c r="E568" s="39" t="s">
        <v>42</v>
      </c>
    </row>
    <row r="569" spans="1:5" x14ac:dyDescent="0.45">
      <c r="A569" s="40"/>
      <c r="B569" s="40"/>
      <c r="C569" s="40"/>
      <c r="D569" s="20"/>
      <c r="E569" s="39" t="s">
        <v>42</v>
      </c>
    </row>
    <row r="570" spans="1:5" x14ac:dyDescent="0.45">
      <c r="A570" s="68"/>
      <c r="B570" s="68"/>
      <c r="C570" s="68"/>
      <c r="D570" s="30"/>
      <c r="E570" s="39" t="s">
        <v>42</v>
      </c>
    </row>
    <row r="571" spans="1:5" x14ac:dyDescent="0.45">
      <c r="A571" s="40">
        <v>1717391971</v>
      </c>
      <c r="B571" s="40" t="s">
        <v>684</v>
      </c>
      <c r="C571" s="40">
        <v>984419199</v>
      </c>
      <c r="D571" s="20" t="s">
        <v>1130</v>
      </c>
      <c r="E571" s="39" t="s">
        <v>42</v>
      </c>
    </row>
    <row r="572" spans="1:5" x14ac:dyDescent="0.45">
      <c r="A572" s="40">
        <v>1722118344</v>
      </c>
      <c r="B572" s="40" t="s">
        <v>576</v>
      </c>
      <c r="C572" s="40">
        <v>984539697</v>
      </c>
      <c r="D572" s="20" t="s">
        <v>1082</v>
      </c>
      <c r="E572" s="39" t="s">
        <v>42</v>
      </c>
    </row>
    <row r="573" spans="1:5" x14ac:dyDescent="0.45">
      <c r="A573" s="40">
        <v>1714757224</v>
      </c>
      <c r="B573" s="40" t="s">
        <v>687</v>
      </c>
      <c r="C573" s="40">
        <v>984652563</v>
      </c>
      <c r="D573" s="20"/>
      <c r="E573" s="39" t="s">
        <v>42</v>
      </c>
    </row>
    <row r="574" spans="1:5" x14ac:dyDescent="0.45">
      <c r="A574" s="40">
        <v>1714757224</v>
      </c>
      <c r="B574" s="40" t="s">
        <v>688</v>
      </c>
      <c r="C574" s="40">
        <v>984652563</v>
      </c>
      <c r="D574" s="20"/>
      <c r="E574" s="39" t="s">
        <v>42</v>
      </c>
    </row>
    <row r="575" spans="1:5" x14ac:dyDescent="0.45">
      <c r="A575" s="40">
        <v>1725206369</v>
      </c>
      <c r="B575" s="40" t="s">
        <v>689</v>
      </c>
      <c r="C575" s="40">
        <v>992433299</v>
      </c>
      <c r="D575" s="20" t="s">
        <v>1131</v>
      </c>
      <c r="E575" s="39" t="s">
        <v>42</v>
      </c>
    </row>
    <row r="576" spans="1:5" x14ac:dyDescent="0.45">
      <c r="A576" s="40">
        <v>1725206369</v>
      </c>
      <c r="B576" s="40" t="s">
        <v>689</v>
      </c>
      <c r="C576" s="40">
        <v>992433299</v>
      </c>
      <c r="D576" s="20" t="s">
        <v>1131</v>
      </c>
      <c r="E576" s="39" t="s">
        <v>42</v>
      </c>
    </row>
    <row r="577" spans="1:5" x14ac:dyDescent="0.45">
      <c r="A577" s="40">
        <v>1725206369</v>
      </c>
      <c r="B577" s="40" t="s">
        <v>689</v>
      </c>
      <c r="C577" s="40">
        <v>992433299</v>
      </c>
      <c r="D577" s="20" t="s">
        <v>1131</v>
      </c>
      <c r="E577" s="39" t="s">
        <v>42</v>
      </c>
    </row>
    <row r="578" spans="1:5" x14ac:dyDescent="0.45">
      <c r="A578" s="68"/>
      <c r="B578" s="68"/>
      <c r="C578" s="68"/>
      <c r="D578" s="30"/>
      <c r="E578" s="39" t="s">
        <v>42</v>
      </c>
    </row>
    <row r="579" spans="1:5" x14ac:dyDescent="0.45">
      <c r="A579" s="40">
        <v>1714063292</v>
      </c>
      <c r="B579" s="40" t="s">
        <v>71</v>
      </c>
      <c r="C579" s="40">
        <v>995674830</v>
      </c>
      <c r="D579" s="20" t="s">
        <v>1046</v>
      </c>
      <c r="E579" s="39" t="s">
        <v>42</v>
      </c>
    </row>
    <row r="580" spans="1:5" x14ac:dyDescent="0.45">
      <c r="A580" s="40"/>
      <c r="B580" s="40" t="s">
        <v>691</v>
      </c>
      <c r="C580" s="40">
        <v>981850550</v>
      </c>
      <c r="D580" s="20"/>
      <c r="E580" s="39" t="s">
        <v>42</v>
      </c>
    </row>
    <row r="581" spans="1:5" x14ac:dyDescent="0.45">
      <c r="A581" s="40">
        <v>1717391971</v>
      </c>
      <c r="B581" s="40" t="s">
        <v>684</v>
      </c>
      <c r="C581" s="40">
        <v>984419199</v>
      </c>
      <c r="D581" s="20" t="s">
        <v>1130</v>
      </c>
      <c r="E581" s="39" t="s">
        <v>42</v>
      </c>
    </row>
    <row r="582" spans="1:5" x14ac:dyDescent="0.45">
      <c r="A582" s="40"/>
      <c r="B582" s="40" t="s">
        <v>81</v>
      </c>
      <c r="C582" s="40"/>
      <c r="D582" s="20"/>
      <c r="E582" s="39" t="s">
        <v>42</v>
      </c>
    </row>
    <row r="583" spans="1:5" x14ac:dyDescent="0.45">
      <c r="A583" s="40"/>
      <c r="B583" s="40" t="s">
        <v>694</v>
      </c>
      <c r="C583" s="40"/>
      <c r="D583" s="20"/>
      <c r="E583" s="39" t="s">
        <v>42</v>
      </c>
    </row>
    <row r="584" spans="1:5" x14ac:dyDescent="0.45">
      <c r="A584" s="40"/>
      <c r="B584" s="40" t="s">
        <v>81</v>
      </c>
      <c r="C584" s="40"/>
      <c r="D584" s="20"/>
      <c r="E584" s="39" t="s">
        <v>42</v>
      </c>
    </row>
    <row r="585" spans="1:5" x14ac:dyDescent="0.45">
      <c r="A585" s="68"/>
      <c r="B585" s="68"/>
      <c r="C585" s="68"/>
      <c r="D585" s="30"/>
      <c r="E585" s="39" t="s">
        <v>42</v>
      </c>
    </row>
    <row r="586" spans="1:5" x14ac:dyDescent="0.45">
      <c r="A586" s="40"/>
      <c r="B586" s="40"/>
      <c r="C586" s="40"/>
      <c r="D586" s="20"/>
      <c r="E586" s="39" t="s">
        <v>42</v>
      </c>
    </row>
    <row r="587" spans="1:5" x14ac:dyDescent="0.45">
      <c r="A587" s="40"/>
      <c r="B587" s="40"/>
      <c r="C587" s="40"/>
      <c r="D587" s="20"/>
      <c r="E587" s="39" t="s">
        <v>42</v>
      </c>
    </row>
    <row r="588" spans="1:5" x14ac:dyDescent="0.45">
      <c r="A588" s="40"/>
      <c r="B588" s="40"/>
      <c r="C588" s="40"/>
      <c r="D588" s="20"/>
      <c r="E588" s="39" t="s">
        <v>42</v>
      </c>
    </row>
    <row r="589" spans="1:5" x14ac:dyDescent="0.45">
      <c r="A589" s="69"/>
      <c r="B589" s="69"/>
      <c r="C589" s="69"/>
      <c r="D589" s="31"/>
      <c r="E589" s="39" t="s">
        <v>42</v>
      </c>
    </row>
    <row r="590" spans="1:5" x14ac:dyDescent="0.45">
      <c r="A590" s="40">
        <v>1716862840</v>
      </c>
      <c r="B590" s="40" t="s">
        <v>696</v>
      </c>
      <c r="C590" s="40">
        <v>984907880</v>
      </c>
      <c r="D590" s="20" t="s">
        <v>1132</v>
      </c>
      <c r="E590" s="39" t="s">
        <v>42</v>
      </c>
    </row>
    <row r="591" spans="1:5" x14ac:dyDescent="0.45">
      <c r="A591" s="40">
        <v>930394861</v>
      </c>
      <c r="B591" s="40" t="s">
        <v>697</v>
      </c>
      <c r="C591" s="40">
        <v>967477481</v>
      </c>
      <c r="D591" s="20" t="s">
        <v>1133</v>
      </c>
      <c r="E591" s="39" t="s">
        <v>42</v>
      </c>
    </row>
    <row r="592" spans="1:5" x14ac:dyDescent="0.45">
      <c r="A592" s="40">
        <v>1723862015</v>
      </c>
      <c r="B592" s="40" t="s">
        <v>699</v>
      </c>
      <c r="C592" s="40">
        <v>962905926</v>
      </c>
      <c r="D592" s="20" t="s">
        <v>1134</v>
      </c>
      <c r="E592" s="39" t="s">
        <v>42</v>
      </c>
    </row>
    <row r="593" spans="1:5" x14ac:dyDescent="0.45">
      <c r="A593" s="40">
        <v>2300642077</v>
      </c>
      <c r="B593" s="40" t="s">
        <v>700</v>
      </c>
      <c r="C593" s="40">
        <v>979508940</v>
      </c>
      <c r="D593" s="20" t="s">
        <v>1135</v>
      </c>
      <c r="E593" s="39" t="s">
        <v>42</v>
      </c>
    </row>
    <row r="594" spans="1:5" x14ac:dyDescent="0.45">
      <c r="A594" s="69"/>
      <c r="B594" s="69"/>
      <c r="C594" s="69"/>
      <c r="D594" s="31"/>
      <c r="E594" s="39" t="s">
        <v>42</v>
      </c>
    </row>
    <row r="595" spans="1:5" x14ac:dyDescent="0.45">
      <c r="A595" s="40">
        <v>1719279398</v>
      </c>
      <c r="B595" s="40" t="s">
        <v>703</v>
      </c>
      <c r="C595" s="40">
        <v>987109273</v>
      </c>
      <c r="D595" s="20" t="s">
        <v>1136</v>
      </c>
      <c r="E595" s="39" t="s">
        <v>42</v>
      </c>
    </row>
    <row r="596" spans="1:5" x14ac:dyDescent="0.45">
      <c r="A596" s="40">
        <v>1708380553</v>
      </c>
      <c r="B596" s="40" t="s">
        <v>597</v>
      </c>
      <c r="C596" s="40">
        <v>998386826</v>
      </c>
      <c r="D596" s="20" t="s">
        <v>1137</v>
      </c>
      <c r="E596" s="39" t="s">
        <v>42</v>
      </c>
    </row>
    <row r="597" spans="1:5" x14ac:dyDescent="0.45">
      <c r="A597" s="40">
        <v>1708380553</v>
      </c>
      <c r="B597" s="40" t="s">
        <v>597</v>
      </c>
      <c r="C597" s="40">
        <v>998386826</v>
      </c>
      <c r="D597" s="20" t="s">
        <v>1137</v>
      </c>
      <c r="E597" s="39" t="s">
        <v>42</v>
      </c>
    </row>
    <row r="598" spans="1:5" x14ac:dyDescent="0.45">
      <c r="A598" s="40"/>
      <c r="B598" s="40"/>
      <c r="C598" s="40"/>
      <c r="D598" s="20"/>
      <c r="E598" s="39" t="s">
        <v>42</v>
      </c>
    </row>
    <row r="599" spans="1:5" x14ac:dyDescent="0.45">
      <c r="A599" s="69"/>
      <c r="B599" s="69"/>
      <c r="C599" s="69"/>
      <c r="D599" s="31"/>
      <c r="E599" s="39" t="s">
        <v>42</v>
      </c>
    </row>
    <row r="600" spans="1:5" x14ac:dyDescent="0.45">
      <c r="A600" s="40">
        <v>1724534016</v>
      </c>
      <c r="B600" s="44" t="s">
        <v>708</v>
      </c>
      <c r="C600" s="40">
        <v>981437074</v>
      </c>
      <c r="D600" s="20" t="s">
        <v>1123</v>
      </c>
      <c r="E600" s="39" t="s">
        <v>42</v>
      </c>
    </row>
    <row r="601" spans="1:5" x14ac:dyDescent="0.45">
      <c r="A601" s="40">
        <v>1714674817</v>
      </c>
      <c r="B601" s="40" t="s">
        <v>628</v>
      </c>
      <c r="C601" s="40">
        <v>995052916</v>
      </c>
      <c r="D601" s="20" t="s">
        <v>1105</v>
      </c>
      <c r="E601" s="39" t="s">
        <v>42</v>
      </c>
    </row>
    <row r="602" spans="1:5" x14ac:dyDescent="0.45">
      <c r="A602" s="40">
        <v>1716954423</v>
      </c>
      <c r="B602" s="40" t="s">
        <v>710</v>
      </c>
      <c r="C602" s="40">
        <v>984634793</v>
      </c>
      <c r="D602" s="20" t="s">
        <v>1138</v>
      </c>
      <c r="E602" s="39" t="s">
        <v>42</v>
      </c>
    </row>
    <row r="603" spans="1:5" x14ac:dyDescent="0.45">
      <c r="A603" s="40"/>
      <c r="B603" s="40"/>
      <c r="C603" s="40"/>
      <c r="D603" s="20"/>
      <c r="E603" s="39" t="s">
        <v>42</v>
      </c>
    </row>
    <row r="604" spans="1:5" x14ac:dyDescent="0.45">
      <c r="A604" s="69"/>
      <c r="B604" s="69"/>
      <c r="C604" s="69"/>
      <c r="D604" s="31"/>
      <c r="E604" s="39" t="s">
        <v>42</v>
      </c>
    </row>
    <row r="605" spans="1:5" x14ac:dyDescent="0.45">
      <c r="A605" s="40"/>
      <c r="B605" s="40" t="s">
        <v>71</v>
      </c>
      <c r="C605" s="40"/>
      <c r="D605" s="20"/>
      <c r="E605" s="39" t="s">
        <v>42</v>
      </c>
    </row>
    <row r="606" spans="1:5" x14ac:dyDescent="0.45">
      <c r="A606" s="69"/>
      <c r="B606" s="69"/>
      <c r="C606" s="69"/>
      <c r="D606" s="31"/>
      <c r="E606" s="39" t="s">
        <v>42</v>
      </c>
    </row>
    <row r="607" spans="1:5" x14ac:dyDescent="0.45">
      <c r="A607" s="40"/>
      <c r="B607" s="40" t="s">
        <v>711</v>
      </c>
      <c r="C607" s="40"/>
      <c r="D607" s="20"/>
      <c r="E607" s="39" t="s">
        <v>42</v>
      </c>
    </row>
    <row r="608" spans="1:5" x14ac:dyDescent="0.45">
      <c r="A608" s="40"/>
      <c r="B608" s="40" t="s">
        <v>711</v>
      </c>
      <c r="C608" s="40"/>
      <c r="D608" s="20"/>
      <c r="E608" s="39" t="s">
        <v>42</v>
      </c>
    </row>
    <row r="609" spans="1:5" x14ac:dyDescent="0.45">
      <c r="A609" s="40">
        <v>1718346016</v>
      </c>
      <c r="B609" s="40" t="s">
        <v>715</v>
      </c>
      <c r="C609" s="40">
        <v>998578703</v>
      </c>
      <c r="D609" s="20" t="s">
        <v>1139</v>
      </c>
      <c r="E609" s="39" t="s">
        <v>42</v>
      </c>
    </row>
    <row r="610" spans="1:5" x14ac:dyDescent="0.45">
      <c r="A610" s="40">
        <v>1718346016</v>
      </c>
      <c r="B610" s="40" t="s">
        <v>715</v>
      </c>
      <c r="C610" s="40">
        <v>998578703</v>
      </c>
      <c r="D610" s="20" t="s">
        <v>1139</v>
      </c>
      <c r="E610" s="39" t="s">
        <v>42</v>
      </c>
    </row>
    <row r="611" spans="1:5" x14ac:dyDescent="0.45">
      <c r="A611" s="40"/>
      <c r="B611" s="40" t="s">
        <v>717</v>
      </c>
      <c r="C611" s="40"/>
      <c r="D611" s="20"/>
      <c r="E611" s="39" t="s">
        <v>42</v>
      </c>
    </row>
    <row r="612" spans="1:5" x14ac:dyDescent="0.45">
      <c r="A612" s="69"/>
      <c r="B612" s="69"/>
      <c r="C612" s="69"/>
      <c r="D612" s="31"/>
      <c r="E612" s="39" t="s">
        <v>42</v>
      </c>
    </row>
    <row r="613" spans="1:5" x14ac:dyDescent="0.45">
      <c r="A613" s="40">
        <v>1715338024</v>
      </c>
      <c r="B613" s="40" t="s">
        <v>719</v>
      </c>
      <c r="C613" s="40">
        <v>987501656</v>
      </c>
      <c r="D613" s="20" t="s">
        <v>1140</v>
      </c>
      <c r="E613" s="39" t="s">
        <v>42</v>
      </c>
    </row>
    <row r="614" spans="1:5" x14ac:dyDescent="0.45">
      <c r="A614" s="40"/>
      <c r="B614" s="40" t="s">
        <v>720</v>
      </c>
      <c r="C614" s="40">
        <v>979383966</v>
      </c>
      <c r="D614" s="20"/>
      <c r="E614" s="39" t="s">
        <v>42</v>
      </c>
    </row>
    <row r="615" spans="1:5" x14ac:dyDescent="0.45">
      <c r="A615" s="40">
        <v>1717933798</v>
      </c>
      <c r="B615" s="40" t="s">
        <v>454</v>
      </c>
      <c r="C615" s="40">
        <v>984700274</v>
      </c>
      <c r="D615" s="20" t="s">
        <v>1047</v>
      </c>
      <c r="E615" s="39" t="s">
        <v>42</v>
      </c>
    </row>
    <row r="616" spans="1:5" x14ac:dyDescent="0.45">
      <c r="A616" s="69"/>
      <c r="B616" s="69"/>
      <c r="C616" s="69"/>
      <c r="D616" s="31"/>
      <c r="E616" s="39" t="s">
        <v>42</v>
      </c>
    </row>
    <row r="617" spans="1:5" x14ac:dyDescent="0.45">
      <c r="A617" s="40">
        <v>1750481671</v>
      </c>
      <c r="B617" s="40" t="s">
        <v>723</v>
      </c>
      <c r="C617" s="40">
        <v>987934072</v>
      </c>
      <c r="D617" s="20" t="s">
        <v>1141</v>
      </c>
      <c r="E617" s="39" t="s">
        <v>42</v>
      </c>
    </row>
    <row r="618" spans="1:5" x14ac:dyDescent="0.45">
      <c r="A618" s="40">
        <v>1720222817</v>
      </c>
      <c r="B618" s="40" t="s">
        <v>724</v>
      </c>
      <c r="C618" s="40">
        <v>998764756</v>
      </c>
      <c r="D618" s="20" t="s">
        <v>1142</v>
      </c>
      <c r="E618" s="39" t="s">
        <v>42</v>
      </c>
    </row>
    <row r="619" spans="1:5" x14ac:dyDescent="0.45">
      <c r="A619" s="40"/>
      <c r="B619" s="40"/>
      <c r="C619" s="40"/>
      <c r="D619" s="20"/>
      <c r="E619" s="39" t="s">
        <v>42</v>
      </c>
    </row>
    <row r="620" spans="1:5" x14ac:dyDescent="0.45">
      <c r="A620" s="58"/>
      <c r="B620" s="58"/>
      <c r="C620" s="58"/>
      <c r="D620" s="32"/>
      <c r="E620" s="39" t="s">
        <v>42</v>
      </c>
    </row>
    <row r="621" spans="1:5" x14ac:dyDescent="0.45">
      <c r="A621" s="40">
        <v>1719051631</v>
      </c>
      <c r="B621" s="40" t="s">
        <v>584</v>
      </c>
      <c r="C621" s="40">
        <v>987066795</v>
      </c>
      <c r="D621" s="20" t="s">
        <v>1143</v>
      </c>
      <c r="E621" s="39" t="s">
        <v>42</v>
      </c>
    </row>
    <row r="622" spans="1:5" x14ac:dyDescent="0.45">
      <c r="A622" s="40">
        <v>1714400965</v>
      </c>
      <c r="B622" s="40" t="s">
        <v>725</v>
      </c>
      <c r="C622" s="40">
        <v>985305885</v>
      </c>
      <c r="D622" s="20" t="s">
        <v>1144</v>
      </c>
      <c r="E622" s="39" t="s">
        <v>42</v>
      </c>
    </row>
    <row r="623" spans="1:5" x14ac:dyDescent="0.45">
      <c r="A623" s="40">
        <v>1707963227</v>
      </c>
      <c r="B623" s="40" t="s">
        <v>77</v>
      </c>
      <c r="C623" s="40">
        <v>962842721</v>
      </c>
      <c r="D623" s="20" t="s">
        <v>1008</v>
      </c>
      <c r="E623" s="39" t="s">
        <v>42</v>
      </c>
    </row>
    <row r="624" spans="1:5" x14ac:dyDescent="0.45">
      <c r="A624" s="40">
        <v>1707124341</v>
      </c>
      <c r="B624" s="40" t="s">
        <v>726</v>
      </c>
      <c r="C624" s="40">
        <v>999947475</v>
      </c>
      <c r="D624" s="20" t="s">
        <v>1145</v>
      </c>
      <c r="E624" s="39" t="s">
        <v>42</v>
      </c>
    </row>
    <row r="625" spans="1:5" x14ac:dyDescent="0.45">
      <c r="A625" s="40"/>
      <c r="B625" s="40"/>
      <c r="C625" s="40"/>
      <c r="D625" s="20"/>
      <c r="E625" s="39" t="s">
        <v>42</v>
      </c>
    </row>
    <row r="626" spans="1:5" x14ac:dyDescent="0.45">
      <c r="A626" s="58"/>
      <c r="B626" s="58"/>
      <c r="C626" s="58"/>
      <c r="D626" s="32"/>
      <c r="E626" s="39" t="s">
        <v>42</v>
      </c>
    </row>
    <row r="627" spans="1:5" x14ac:dyDescent="0.45">
      <c r="A627" s="40">
        <v>1717603177</v>
      </c>
      <c r="B627" s="40" t="s">
        <v>727</v>
      </c>
      <c r="C627" s="40">
        <v>960642944</v>
      </c>
      <c r="D627" s="20" t="s">
        <v>1146</v>
      </c>
      <c r="E627" s="39" t="s">
        <v>42</v>
      </c>
    </row>
    <row r="628" spans="1:5" x14ac:dyDescent="0.45">
      <c r="A628" s="40">
        <v>1753278652</v>
      </c>
      <c r="B628" s="40" t="s">
        <v>729</v>
      </c>
      <c r="C628" s="40">
        <v>987131214</v>
      </c>
      <c r="D628" s="20" t="s">
        <v>1147</v>
      </c>
      <c r="E628" s="39" t="s">
        <v>42</v>
      </c>
    </row>
    <row r="629" spans="1:5" x14ac:dyDescent="0.45">
      <c r="A629" s="40">
        <v>802153023</v>
      </c>
      <c r="B629" s="40" t="s">
        <v>730</v>
      </c>
      <c r="C629" s="40">
        <v>998017513</v>
      </c>
      <c r="D629" s="20" t="s">
        <v>1148</v>
      </c>
      <c r="E629" s="39" t="s">
        <v>42</v>
      </c>
    </row>
    <row r="630" spans="1:5" x14ac:dyDescent="0.45">
      <c r="A630" s="40"/>
      <c r="B630" s="40"/>
      <c r="C630" s="40"/>
      <c r="D630" s="20"/>
      <c r="E630" s="39" t="s">
        <v>42</v>
      </c>
    </row>
    <row r="631" spans="1:5" x14ac:dyDescent="0.45">
      <c r="A631" s="40"/>
      <c r="B631" s="40"/>
      <c r="C631" s="40"/>
      <c r="D631" s="20"/>
      <c r="E631" s="39" t="s">
        <v>42</v>
      </c>
    </row>
    <row r="632" spans="1:5" x14ac:dyDescent="0.45">
      <c r="A632" s="58"/>
      <c r="B632" s="58"/>
      <c r="C632" s="58"/>
      <c r="D632" s="32"/>
      <c r="E632" s="39" t="s">
        <v>42</v>
      </c>
    </row>
    <row r="633" spans="1:5" x14ac:dyDescent="0.45">
      <c r="A633" s="40">
        <v>1719430991</v>
      </c>
      <c r="B633" s="40" t="s">
        <v>731</v>
      </c>
      <c r="C633" s="40">
        <v>998950453</v>
      </c>
      <c r="D633" s="20" t="s">
        <v>1149</v>
      </c>
      <c r="E633" s="39" t="s">
        <v>42</v>
      </c>
    </row>
    <row r="634" spans="1:5" x14ac:dyDescent="0.45">
      <c r="A634" s="40">
        <v>1707963227</v>
      </c>
      <c r="B634" s="40" t="s">
        <v>77</v>
      </c>
      <c r="C634" s="40">
        <v>962842721</v>
      </c>
      <c r="D634" s="20" t="s">
        <v>1008</v>
      </c>
      <c r="E634" s="39" t="s">
        <v>42</v>
      </c>
    </row>
    <row r="635" spans="1:5" x14ac:dyDescent="0.45">
      <c r="A635" s="40">
        <v>401388814</v>
      </c>
      <c r="B635" s="40" t="s">
        <v>732</v>
      </c>
      <c r="C635" s="40">
        <v>987346064</v>
      </c>
      <c r="D635" s="20" t="s">
        <v>1150</v>
      </c>
      <c r="E635" s="39" t="s">
        <v>42</v>
      </c>
    </row>
    <row r="636" spans="1:5" x14ac:dyDescent="0.45">
      <c r="A636" s="40">
        <v>502514128</v>
      </c>
      <c r="B636" s="40" t="s">
        <v>733</v>
      </c>
      <c r="C636" s="40">
        <v>996806872</v>
      </c>
      <c r="D636" s="20" t="s">
        <v>1151</v>
      </c>
      <c r="E636" s="39" t="s">
        <v>42</v>
      </c>
    </row>
    <row r="637" spans="1:5" x14ac:dyDescent="0.45">
      <c r="A637" s="40"/>
      <c r="B637" s="40"/>
      <c r="C637" s="40"/>
      <c r="D637" s="20"/>
      <c r="E637" s="39" t="s">
        <v>42</v>
      </c>
    </row>
    <row r="638" spans="1:5" x14ac:dyDescent="0.45">
      <c r="A638" s="40"/>
      <c r="B638" s="40"/>
      <c r="C638" s="40"/>
      <c r="D638" s="20"/>
      <c r="E638" s="39" t="s">
        <v>42</v>
      </c>
    </row>
    <row r="639" spans="1:5" x14ac:dyDescent="0.45">
      <c r="A639" s="58"/>
      <c r="B639" s="58"/>
      <c r="C639" s="58"/>
      <c r="D639" s="32"/>
      <c r="E639" s="39" t="s">
        <v>42</v>
      </c>
    </row>
    <row r="640" spans="1:5" x14ac:dyDescent="0.45">
      <c r="A640" s="40">
        <v>401388814</v>
      </c>
      <c r="B640" s="40" t="s">
        <v>734</v>
      </c>
      <c r="C640" s="40">
        <v>987346064</v>
      </c>
      <c r="D640" s="20" t="s">
        <v>1150</v>
      </c>
      <c r="E640" s="39" t="s">
        <v>42</v>
      </c>
    </row>
    <row r="641" spans="1:5" x14ac:dyDescent="0.45">
      <c r="A641" s="40">
        <v>1724928609</v>
      </c>
      <c r="B641" s="40" t="s">
        <v>735</v>
      </c>
      <c r="C641" s="40">
        <v>999761283</v>
      </c>
      <c r="D641" s="20" t="s">
        <v>1152</v>
      </c>
      <c r="E641" s="39" t="s">
        <v>42</v>
      </c>
    </row>
    <row r="642" spans="1:5" x14ac:dyDescent="0.45">
      <c r="A642" s="40"/>
      <c r="B642" s="40" t="s">
        <v>737</v>
      </c>
      <c r="C642" s="40"/>
      <c r="D642" s="20"/>
      <c r="E642" s="39" t="s">
        <v>42</v>
      </c>
    </row>
    <row r="643" spans="1:5" x14ac:dyDescent="0.45">
      <c r="A643" s="58"/>
      <c r="B643" s="58"/>
      <c r="C643" s="58"/>
      <c r="D643" s="32"/>
      <c r="E643" s="39" t="s">
        <v>42</v>
      </c>
    </row>
    <row r="644" spans="1:5" x14ac:dyDescent="0.45">
      <c r="A644" s="40">
        <v>1721946067</v>
      </c>
      <c r="B644" s="40" t="s">
        <v>74</v>
      </c>
      <c r="C644" s="40">
        <v>997562221</v>
      </c>
      <c r="D644" s="20"/>
      <c r="E644" s="39" t="s">
        <v>42</v>
      </c>
    </row>
    <row r="645" spans="1:5" x14ac:dyDescent="0.45">
      <c r="A645" s="40">
        <v>1724038862</v>
      </c>
      <c r="B645" s="40" t="s">
        <v>43</v>
      </c>
      <c r="C645" s="40"/>
      <c r="D645" s="20" t="s">
        <v>1153</v>
      </c>
      <c r="E645" s="39" t="s">
        <v>42</v>
      </c>
    </row>
    <row r="646" spans="1:5" x14ac:dyDescent="0.45">
      <c r="A646" s="40">
        <v>1724038862</v>
      </c>
      <c r="B646" s="40" t="s">
        <v>43</v>
      </c>
      <c r="C646" s="40"/>
      <c r="D646" s="20" t="s">
        <v>1153</v>
      </c>
      <c r="E646" s="39" t="s">
        <v>42</v>
      </c>
    </row>
    <row r="647" spans="1:5" x14ac:dyDescent="0.45">
      <c r="A647" s="40">
        <v>1713447157</v>
      </c>
      <c r="B647" s="40" t="s">
        <v>738</v>
      </c>
      <c r="C647" s="40">
        <v>995196834</v>
      </c>
      <c r="D647" s="20" t="s">
        <v>1154</v>
      </c>
      <c r="E647" s="39" t="s">
        <v>42</v>
      </c>
    </row>
    <row r="648" spans="1:5" x14ac:dyDescent="0.45">
      <c r="A648" s="40"/>
      <c r="B648" s="40"/>
      <c r="C648" s="40"/>
      <c r="D648" s="20"/>
      <c r="E648" s="39" t="s">
        <v>42</v>
      </c>
    </row>
    <row r="649" spans="1:5" x14ac:dyDescent="0.45">
      <c r="A649" s="70"/>
      <c r="B649" s="70"/>
      <c r="C649" s="70"/>
      <c r="D649" s="33"/>
      <c r="E649" s="39" t="s">
        <v>42</v>
      </c>
    </row>
    <row r="650" spans="1:5" x14ac:dyDescent="0.45">
      <c r="A650" s="40">
        <v>1721674098</v>
      </c>
      <c r="B650" s="40" t="s">
        <v>739</v>
      </c>
      <c r="C650" s="40">
        <v>963211333</v>
      </c>
      <c r="D650" s="20" t="s">
        <v>1155</v>
      </c>
      <c r="E650" s="39" t="s">
        <v>42</v>
      </c>
    </row>
    <row r="651" spans="1:5" x14ac:dyDescent="0.45">
      <c r="A651" s="40">
        <v>1714650379</v>
      </c>
      <c r="B651" s="40" t="s">
        <v>637</v>
      </c>
      <c r="C651" s="40"/>
      <c r="D651" s="20" t="s">
        <v>1110</v>
      </c>
      <c r="E651" s="39" t="s">
        <v>42</v>
      </c>
    </row>
    <row r="652" spans="1:5" x14ac:dyDescent="0.45">
      <c r="A652" s="40">
        <v>1721675153</v>
      </c>
      <c r="B652" s="40" t="s">
        <v>741</v>
      </c>
      <c r="C652" s="40">
        <v>992877753</v>
      </c>
      <c r="D652" s="20" t="s">
        <v>1128</v>
      </c>
      <c r="E652" s="39" t="s">
        <v>42</v>
      </c>
    </row>
    <row r="653" spans="1:5" x14ac:dyDescent="0.45">
      <c r="A653" s="40">
        <v>1721675153</v>
      </c>
      <c r="B653" s="40" t="s">
        <v>741</v>
      </c>
      <c r="C653" s="40">
        <v>992877753</v>
      </c>
      <c r="D653" s="20" t="s">
        <v>1128</v>
      </c>
      <c r="E653" s="39" t="s">
        <v>42</v>
      </c>
    </row>
    <row r="654" spans="1:5" x14ac:dyDescent="0.45">
      <c r="A654" s="40"/>
      <c r="B654" s="40"/>
      <c r="C654" s="40"/>
      <c r="D654" s="20"/>
      <c r="E654" s="39" t="s">
        <v>42</v>
      </c>
    </row>
    <row r="655" spans="1:5" x14ac:dyDescent="0.45">
      <c r="A655" s="58"/>
      <c r="B655" s="58"/>
      <c r="C655" s="58"/>
      <c r="D655" s="32"/>
      <c r="E655" s="39" t="s">
        <v>42</v>
      </c>
    </row>
    <row r="656" spans="1:5" x14ac:dyDescent="0.45">
      <c r="A656" s="40"/>
      <c r="B656" s="40" t="s">
        <v>743</v>
      </c>
      <c r="C656" s="40">
        <v>984708465</v>
      </c>
      <c r="D656" s="20" t="s">
        <v>1156</v>
      </c>
      <c r="E656" s="39" t="s">
        <v>42</v>
      </c>
    </row>
    <row r="657" spans="1:5" x14ac:dyDescent="0.45">
      <c r="A657" s="40"/>
      <c r="B657" s="40"/>
      <c r="C657" s="40"/>
      <c r="D657" s="20"/>
      <c r="E657" s="39" t="s">
        <v>42</v>
      </c>
    </row>
    <row r="658" spans="1:5" x14ac:dyDescent="0.45">
      <c r="A658" s="58"/>
      <c r="B658" s="58"/>
      <c r="C658" s="58"/>
      <c r="D658" s="32"/>
      <c r="E658" s="39" t="s">
        <v>42</v>
      </c>
    </row>
    <row r="659" spans="1:5" x14ac:dyDescent="0.45">
      <c r="A659" s="40"/>
      <c r="B659" s="40" t="s">
        <v>744</v>
      </c>
      <c r="C659" s="40">
        <v>995635866</v>
      </c>
      <c r="D659" s="20" t="s">
        <v>1157</v>
      </c>
      <c r="E659" s="39" t="s">
        <v>42</v>
      </c>
    </row>
    <row r="660" spans="1:5" x14ac:dyDescent="0.45">
      <c r="A660" s="40"/>
      <c r="B660" s="40" t="s">
        <v>744</v>
      </c>
      <c r="C660" s="40">
        <v>995635866</v>
      </c>
      <c r="D660" s="20" t="s">
        <v>1157</v>
      </c>
      <c r="E660" s="39" t="s">
        <v>42</v>
      </c>
    </row>
    <row r="661" spans="1:5" x14ac:dyDescent="0.45">
      <c r="A661" s="40">
        <v>1721946067</v>
      </c>
      <c r="B661" s="40" t="s">
        <v>74</v>
      </c>
      <c r="C661" s="40">
        <v>997562221</v>
      </c>
      <c r="D661" s="20"/>
      <c r="E661" s="39" t="s">
        <v>42</v>
      </c>
    </row>
    <row r="662" spans="1:5" x14ac:dyDescent="0.45">
      <c r="A662" s="40"/>
      <c r="B662" s="40"/>
      <c r="C662" s="40"/>
      <c r="D662" s="20"/>
      <c r="E662" s="39" t="s">
        <v>42</v>
      </c>
    </row>
    <row r="663" spans="1:5" x14ac:dyDescent="0.45">
      <c r="A663" s="58"/>
      <c r="B663" s="58"/>
      <c r="C663" s="58"/>
      <c r="D663" s="32"/>
      <c r="E663" s="39" t="s">
        <v>42</v>
      </c>
    </row>
    <row r="664" spans="1:5" x14ac:dyDescent="0.45">
      <c r="A664" s="40"/>
      <c r="B664" s="40"/>
      <c r="C664" s="40"/>
      <c r="D664" s="20"/>
      <c r="E664" s="39" t="s">
        <v>42</v>
      </c>
    </row>
    <row r="665" spans="1:5" x14ac:dyDescent="0.45">
      <c r="A665" s="40"/>
      <c r="B665" s="40"/>
      <c r="C665" s="40"/>
      <c r="D665" s="20"/>
      <c r="E665" s="39" t="s">
        <v>42</v>
      </c>
    </row>
    <row r="666" spans="1:5" x14ac:dyDescent="0.45">
      <c r="A666" s="58"/>
      <c r="B666" s="58"/>
      <c r="C666" s="58"/>
      <c r="D666" s="32"/>
      <c r="E666" s="39" t="s">
        <v>42</v>
      </c>
    </row>
    <row r="667" spans="1:5" x14ac:dyDescent="0.45">
      <c r="A667" s="40">
        <v>1703826188</v>
      </c>
      <c r="B667" s="40" t="s">
        <v>748</v>
      </c>
      <c r="C667" s="40">
        <v>987714098</v>
      </c>
      <c r="D667" s="20" t="s">
        <v>1158</v>
      </c>
      <c r="E667" s="39" t="s">
        <v>42</v>
      </c>
    </row>
    <row r="668" spans="1:5" x14ac:dyDescent="0.45">
      <c r="A668" s="40">
        <v>1701432229</v>
      </c>
      <c r="B668" s="40" t="s">
        <v>749</v>
      </c>
      <c r="C668" s="40"/>
      <c r="D668" s="20"/>
      <c r="E668" s="39" t="s">
        <v>42</v>
      </c>
    </row>
    <row r="669" spans="1:5" x14ac:dyDescent="0.45">
      <c r="A669" s="40">
        <v>1709577199</v>
      </c>
      <c r="B669" s="40" t="s">
        <v>44</v>
      </c>
      <c r="C669" s="40">
        <v>995408762</v>
      </c>
      <c r="D669" s="20"/>
      <c r="E669" s="39" t="s">
        <v>42</v>
      </c>
    </row>
    <row r="670" spans="1:5" x14ac:dyDescent="0.45">
      <c r="A670" s="58"/>
      <c r="B670" s="58"/>
      <c r="C670" s="58"/>
      <c r="D670" s="32"/>
      <c r="E670" s="39" t="s">
        <v>42</v>
      </c>
    </row>
    <row r="671" spans="1:5" x14ac:dyDescent="0.45">
      <c r="A671" s="40"/>
      <c r="B671" s="40"/>
      <c r="C671" s="40"/>
      <c r="D671" s="20"/>
      <c r="E671" s="39" t="s">
        <v>42</v>
      </c>
    </row>
    <row r="672" spans="1:5" x14ac:dyDescent="0.45">
      <c r="A672" s="40"/>
      <c r="B672" s="40" t="s">
        <v>751</v>
      </c>
      <c r="C672" s="40">
        <v>983815656</v>
      </c>
      <c r="D672" s="20" t="s">
        <v>1159</v>
      </c>
      <c r="E672" s="39" t="s">
        <v>42</v>
      </c>
    </row>
    <row r="673" spans="1:5" x14ac:dyDescent="0.45">
      <c r="A673" s="40">
        <v>1720035284</v>
      </c>
      <c r="B673" s="40" t="s">
        <v>752</v>
      </c>
      <c r="C673" s="40">
        <v>998506328</v>
      </c>
      <c r="D673" s="20" t="s">
        <v>1160</v>
      </c>
      <c r="E673" s="39" t="s">
        <v>42</v>
      </c>
    </row>
    <row r="674" spans="1:5" x14ac:dyDescent="0.45">
      <c r="A674" s="40">
        <v>1722462965</v>
      </c>
      <c r="B674" s="40" t="s">
        <v>754</v>
      </c>
      <c r="C674" s="40">
        <v>983566239</v>
      </c>
      <c r="D674" s="20" t="s">
        <v>1161</v>
      </c>
      <c r="E674" s="39" t="s">
        <v>42</v>
      </c>
    </row>
    <row r="675" spans="1:5" x14ac:dyDescent="0.45">
      <c r="A675" s="40"/>
      <c r="B675" s="40" t="s">
        <v>751</v>
      </c>
      <c r="C675" s="40">
        <v>983815656</v>
      </c>
      <c r="D675" s="20" t="s">
        <v>1159</v>
      </c>
      <c r="E675" s="39" t="s">
        <v>42</v>
      </c>
    </row>
    <row r="676" spans="1:5" x14ac:dyDescent="0.45">
      <c r="A676" s="58"/>
      <c r="B676" s="58"/>
      <c r="C676" s="58"/>
      <c r="D676" s="32"/>
      <c r="E676" s="39" t="s">
        <v>42</v>
      </c>
    </row>
    <row r="677" spans="1:5" x14ac:dyDescent="0.45">
      <c r="A677" s="40">
        <v>1705610085</v>
      </c>
      <c r="B677" s="40" t="s">
        <v>757</v>
      </c>
      <c r="C677" s="40"/>
      <c r="D677" s="20" t="s">
        <v>1162</v>
      </c>
      <c r="E677" s="39" t="s">
        <v>42</v>
      </c>
    </row>
    <row r="678" spans="1:5" x14ac:dyDescent="0.45">
      <c r="A678" s="40">
        <v>1705610085</v>
      </c>
      <c r="B678" s="40" t="s">
        <v>757</v>
      </c>
      <c r="C678" s="40"/>
      <c r="D678" s="20" t="s">
        <v>1162</v>
      </c>
      <c r="E678" s="39" t="s">
        <v>42</v>
      </c>
    </row>
    <row r="679" spans="1:5" x14ac:dyDescent="0.45">
      <c r="A679" s="40">
        <v>1705610085</v>
      </c>
      <c r="B679" s="40" t="s">
        <v>758</v>
      </c>
      <c r="C679" s="40"/>
      <c r="D679" s="20" t="s">
        <v>1162</v>
      </c>
      <c r="E679" s="39" t="s">
        <v>42</v>
      </c>
    </row>
    <row r="680" spans="1:5" x14ac:dyDescent="0.45">
      <c r="A680" s="40">
        <v>1705610085</v>
      </c>
      <c r="B680" s="40" t="s">
        <v>757</v>
      </c>
      <c r="C680" s="40"/>
      <c r="D680" s="20" t="s">
        <v>1162</v>
      </c>
      <c r="E680" s="39" t="s">
        <v>42</v>
      </c>
    </row>
    <row r="681" spans="1:5" x14ac:dyDescent="0.45">
      <c r="A681" s="40">
        <v>1312423450</v>
      </c>
      <c r="B681" s="40" t="s">
        <v>466</v>
      </c>
      <c r="C681" s="40">
        <v>969090094</v>
      </c>
      <c r="D681" s="20" t="s">
        <v>1051</v>
      </c>
      <c r="E681" s="39" t="s">
        <v>42</v>
      </c>
    </row>
    <row r="682" spans="1:5" x14ac:dyDescent="0.45">
      <c r="A682" s="40">
        <v>1312423450</v>
      </c>
      <c r="B682" s="40" t="s">
        <v>466</v>
      </c>
      <c r="C682" s="40">
        <v>969090094</v>
      </c>
      <c r="D682" s="20" t="s">
        <v>1051</v>
      </c>
      <c r="E682" s="39" t="s">
        <v>42</v>
      </c>
    </row>
    <row r="683" spans="1:5" x14ac:dyDescent="0.45">
      <c r="A683" s="40">
        <v>1312423450</v>
      </c>
      <c r="B683" s="40" t="s">
        <v>466</v>
      </c>
      <c r="C683" s="40">
        <v>969090094</v>
      </c>
      <c r="D683" s="20" t="s">
        <v>1051</v>
      </c>
      <c r="E683" s="39" t="s">
        <v>42</v>
      </c>
    </row>
    <row r="684" spans="1:5" x14ac:dyDescent="0.45">
      <c r="A684" s="40">
        <v>1715703052</v>
      </c>
      <c r="B684" s="40" t="s">
        <v>760</v>
      </c>
      <c r="C684" s="40">
        <v>983501265</v>
      </c>
      <c r="D684" s="20" t="s">
        <v>1163</v>
      </c>
      <c r="E684" s="39" t="s">
        <v>42</v>
      </c>
    </row>
    <row r="685" spans="1:5" x14ac:dyDescent="0.45">
      <c r="A685" s="58"/>
      <c r="B685" s="58"/>
      <c r="C685" s="58"/>
      <c r="D685" s="32"/>
      <c r="E685" s="39" t="s">
        <v>42</v>
      </c>
    </row>
    <row r="686" spans="1:5" x14ac:dyDescent="0.45">
      <c r="A686" s="40">
        <v>1722115738</v>
      </c>
      <c r="B686" s="40" t="s">
        <v>556</v>
      </c>
      <c r="C686" s="40">
        <v>984919299</v>
      </c>
      <c r="D686" s="20" t="s">
        <v>1164</v>
      </c>
      <c r="E686" s="39" t="s">
        <v>42</v>
      </c>
    </row>
    <row r="687" spans="1:5" x14ac:dyDescent="0.45">
      <c r="A687" s="40">
        <v>1724467210</v>
      </c>
      <c r="B687" s="40" t="s">
        <v>763</v>
      </c>
      <c r="C687" s="40">
        <v>963372093</v>
      </c>
      <c r="D687" s="20" t="s">
        <v>1165</v>
      </c>
      <c r="E687" s="39" t="s">
        <v>42</v>
      </c>
    </row>
    <row r="688" spans="1:5" x14ac:dyDescent="0.45">
      <c r="A688" s="40">
        <v>1712530813</v>
      </c>
      <c r="B688" s="40" t="s">
        <v>765</v>
      </c>
      <c r="C688" s="40">
        <v>987102367</v>
      </c>
      <c r="D688" s="20" t="s">
        <v>1166</v>
      </c>
      <c r="E688" s="39" t="s">
        <v>42</v>
      </c>
    </row>
    <row r="689" spans="1:5" x14ac:dyDescent="0.45">
      <c r="A689" s="40">
        <v>1712530813</v>
      </c>
      <c r="B689" s="40" t="s">
        <v>765</v>
      </c>
      <c r="C689" s="40">
        <v>987102367</v>
      </c>
      <c r="D689" s="20" t="s">
        <v>1166</v>
      </c>
      <c r="E689" s="39" t="s">
        <v>42</v>
      </c>
    </row>
    <row r="690" spans="1:5" x14ac:dyDescent="0.45">
      <c r="A690" s="40">
        <v>1712530805</v>
      </c>
      <c r="B690" s="40" t="s">
        <v>766</v>
      </c>
      <c r="C690" s="40">
        <v>958903058</v>
      </c>
      <c r="D690" s="20" t="s">
        <v>1167</v>
      </c>
      <c r="E690" s="39" t="s">
        <v>42</v>
      </c>
    </row>
    <row r="691" spans="1:5" x14ac:dyDescent="0.45">
      <c r="A691" s="40">
        <v>1712530805</v>
      </c>
      <c r="B691" s="71" t="s">
        <v>766</v>
      </c>
      <c r="C691" s="40">
        <v>958903058</v>
      </c>
      <c r="D691" s="20" t="s">
        <v>1167</v>
      </c>
      <c r="E691" s="39" t="s">
        <v>42</v>
      </c>
    </row>
    <row r="692" spans="1:5" x14ac:dyDescent="0.45">
      <c r="A692" s="58"/>
      <c r="B692" s="58"/>
      <c r="C692" s="58"/>
      <c r="D692" s="32"/>
      <c r="E692" s="39" t="s">
        <v>42</v>
      </c>
    </row>
    <row r="693" spans="1:5" x14ac:dyDescent="0.45">
      <c r="A693" s="40">
        <v>1708228880</v>
      </c>
      <c r="B693" s="40" t="s">
        <v>767</v>
      </c>
      <c r="C693" s="40">
        <v>963817248</v>
      </c>
      <c r="D693" s="20" t="s">
        <v>1168</v>
      </c>
      <c r="E693" s="39" t="s">
        <v>42</v>
      </c>
    </row>
    <row r="694" spans="1:5" x14ac:dyDescent="0.45">
      <c r="A694" s="40">
        <v>930394861</v>
      </c>
      <c r="B694" s="40" t="s">
        <v>697</v>
      </c>
      <c r="C694" s="40">
        <v>967477481</v>
      </c>
      <c r="D694" s="20" t="s">
        <v>1133</v>
      </c>
      <c r="E694" s="39" t="s">
        <v>42</v>
      </c>
    </row>
    <row r="695" spans="1:5" x14ac:dyDescent="0.45">
      <c r="A695" s="58"/>
      <c r="B695" s="58"/>
      <c r="C695" s="58"/>
      <c r="D695" s="32"/>
      <c r="E695" s="39" t="s">
        <v>42</v>
      </c>
    </row>
    <row r="696" spans="1:5" x14ac:dyDescent="0.45">
      <c r="A696" s="40">
        <v>1720537651</v>
      </c>
      <c r="B696" s="40" t="s">
        <v>454</v>
      </c>
      <c r="C696" s="40">
        <v>984700274</v>
      </c>
      <c r="D696" s="20" t="s">
        <v>1047</v>
      </c>
      <c r="E696" s="39" t="s">
        <v>42</v>
      </c>
    </row>
    <row r="697" spans="1:5" x14ac:dyDescent="0.45">
      <c r="A697" s="58"/>
      <c r="B697" s="58"/>
      <c r="C697" s="58"/>
      <c r="D697" s="32"/>
      <c r="E697" s="39" t="s">
        <v>42</v>
      </c>
    </row>
    <row r="698" spans="1:5" x14ac:dyDescent="0.45">
      <c r="A698" s="40">
        <v>1707963227</v>
      </c>
      <c r="B698" s="40" t="s">
        <v>77</v>
      </c>
      <c r="C698" s="40">
        <v>962842721</v>
      </c>
      <c r="D698" s="20" t="s">
        <v>1008</v>
      </c>
      <c r="E698" s="39" t="s">
        <v>42</v>
      </c>
    </row>
    <row r="699" spans="1:5" x14ac:dyDescent="0.45">
      <c r="A699" s="40">
        <v>40099587</v>
      </c>
      <c r="B699" s="40" t="s">
        <v>475</v>
      </c>
      <c r="C699" s="40">
        <v>981396657</v>
      </c>
      <c r="D699" s="20"/>
      <c r="E699" s="39" t="s">
        <v>42</v>
      </c>
    </row>
    <row r="700" spans="1:5" x14ac:dyDescent="0.45">
      <c r="A700" s="40"/>
      <c r="B700" s="40" t="s">
        <v>180</v>
      </c>
      <c r="C700" s="40"/>
      <c r="D700" s="20"/>
      <c r="E700" s="39" t="s">
        <v>42</v>
      </c>
    </row>
    <row r="701" spans="1:5" x14ac:dyDescent="0.45">
      <c r="A701" s="40">
        <v>1721674098</v>
      </c>
      <c r="B701" s="40" t="s">
        <v>519</v>
      </c>
      <c r="C701" s="40">
        <v>963211333</v>
      </c>
      <c r="D701" s="20" t="s">
        <v>1155</v>
      </c>
      <c r="E701" s="39" t="s">
        <v>42</v>
      </c>
    </row>
    <row r="702" spans="1:5" x14ac:dyDescent="0.45">
      <c r="A702" s="40">
        <v>1720226214</v>
      </c>
      <c r="B702" s="40" t="s">
        <v>772</v>
      </c>
      <c r="C702" s="40">
        <v>984342245</v>
      </c>
      <c r="D702" s="20" t="s">
        <v>1169</v>
      </c>
      <c r="E702" s="39" t="s">
        <v>42</v>
      </c>
    </row>
    <row r="703" spans="1:5" x14ac:dyDescent="0.45">
      <c r="A703" s="40">
        <v>1714986860</v>
      </c>
      <c r="B703" s="40" t="s">
        <v>774</v>
      </c>
      <c r="C703" s="40">
        <v>983019963</v>
      </c>
      <c r="D703" s="20" t="s">
        <v>1170</v>
      </c>
      <c r="E703" s="39" t="s">
        <v>42</v>
      </c>
    </row>
    <row r="704" spans="1:5" x14ac:dyDescent="0.45">
      <c r="A704" s="40"/>
      <c r="B704" s="40" t="s">
        <v>776</v>
      </c>
      <c r="C704" s="40"/>
      <c r="D704" s="20"/>
      <c r="E704" s="39" t="s">
        <v>42</v>
      </c>
    </row>
    <row r="705" spans="1:5" x14ac:dyDescent="0.45">
      <c r="A705" s="40"/>
      <c r="B705" s="40" t="s">
        <v>777</v>
      </c>
      <c r="C705" s="40"/>
      <c r="D705" s="20"/>
      <c r="E705" s="39" t="s">
        <v>42</v>
      </c>
    </row>
    <row r="706" spans="1:5" x14ac:dyDescent="0.45">
      <c r="A706" s="40">
        <v>1718740796</v>
      </c>
      <c r="B706" s="40" t="s">
        <v>778</v>
      </c>
      <c r="C706" s="40">
        <v>984039489</v>
      </c>
      <c r="D706" s="20" t="s">
        <v>1171</v>
      </c>
      <c r="E706" s="39" t="s">
        <v>42</v>
      </c>
    </row>
    <row r="707" spans="1:5" x14ac:dyDescent="0.45">
      <c r="A707" s="40">
        <v>1721182903</v>
      </c>
      <c r="B707" s="40" t="s">
        <v>256</v>
      </c>
      <c r="C707" s="40">
        <v>998420775</v>
      </c>
      <c r="D707" s="20" t="s">
        <v>1172</v>
      </c>
      <c r="E707" s="39" t="s">
        <v>42</v>
      </c>
    </row>
    <row r="708" spans="1:5" x14ac:dyDescent="0.45">
      <c r="A708" s="40">
        <v>1721182903</v>
      </c>
      <c r="B708" s="40" t="s">
        <v>256</v>
      </c>
      <c r="C708" s="40">
        <v>998420775</v>
      </c>
      <c r="D708" s="20" t="s">
        <v>1172</v>
      </c>
      <c r="E708" s="39" t="s">
        <v>42</v>
      </c>
    </row>
    <row r="709" spans="1:5" x14ac:dyDescent="0.45">
      <c r="A709" s="40">
        <v>1721182903</v>
      </c>
      <c r="B709" s="40" t="s">
        <v>256</v>
      </c>
      <c r="C709" s="40">
        <v>998420775</v>
      </c>
      <c r="D709" s="20" t="s">
        <v>1172</v>
      </c>
      <c r="E709" s="39" t="s">
        <v>42</v>
      </c>
    </row>
    <row r="710" spans="1:5" x14ac:dyDescent="0.45">
      <c r="A710" s="40">
        <v>1708000698</v>
      </c>
      <c r="B710" s="40" t="s">
        <v>780</v>
      </c>
      <c r="C710" s="40">
        <v>999782426</v>
      </c>
      <c r="D710" s="20" t="s">
        <v>1173</v>
      </c>
      <c r="E710" s="39" t="s">
        <v>42</v>
      </c>
    </row>
    <row r="711" spans="1:5" x14ac:dyDescent="0.45">
      <c r="A711" s="40">
        <v>1717869984</v>
      </c>
      <c r="B711" s="40" t="s">
        <v>781</v>
      </c>
      <c r="C711" s="40">
        <v>984253456</v>
      </c>
      <c r="D711" s="20" t="s">
        <v>1174</v>
      </c>
      <c r="E711" s="39" t="s">
        <v>42</v>
      </c>
    </row>
    <row r="712" spans="1:5" x14ac:dyDescent="0.45">
      <c r="A712" s="40">
        <v>1716954423</v>
      </c>
      <c r="B712" s="40" t="s">
        <v>710</v>
      </c>
      <c r="C712" s="40">
        <v>984634793</v>
      </c>
      <c r="D712" s="20" t="s">
        <v>1175</v>
      </c>
      <c r="E712" s="39" t="s">
        <v>42</v>
      </c>
    </row>
    <row r="713" spans="1:5" x14ac:dyDescent="0.45">
      <c r="A713" s="40">
        <v>1720222817</v>
      </c>
      <c r="B713" s="40" t="s">
        <v>621</v>
      </c>
      <c r="C713" s="40">
        <v>998764756</v>
      </c>
      <c r="D713" s="20" t="s">
        <v>1176</v>
      </c>
      <c r="E713" s="39" t="s">
        <v>42</v>
      </c>
    </row>
    <row r="714" spans="1:5" x14ac:dyDescent="0.45">
      <c r="A714" s="40">
        <v>1714400965</v>
      </c>
      <c r="B714" s="40" t="s">
        <v>783</v>
      </c>
      <c r="C714" s="40">
        <v>985305885</v>
      </c>
      <c r="D714" s="20" t="s">
        <v>1144</v>
      </c>
      <c r="E714" s="39" t="s">
        <v>42</v>
      </c>
    </row>
    <row r="715" spans="1:5" x14ac:dyDescent="0.45">
      <c r="A715" s="40">
        <v>1721480851</v>
      </c>
      <c r="B715" s="40" t="s">
        <v>785</v>
      </c>
      <c r="C715" s="40">
        <v>984083649</v>
      </c>
      <c r="D715" s="20" t="s">
        <v>1177</v>
      </c>
      <c r="E715" s="39" t="s">
        <v>42</v>
      </c>
    </row>
    <row r="716" spans="1:5" x14ac:dyDescent="0.45">
      <c r="A716" s="40">
        <v>1712514031</v>
      </c>
      <c r="B716" s="40" t="s">
        <v>786</v>
      </c>
      <c r="C716" s="40">
        <v>990220801</v>
      </c>
      <c r="D716" s="20" t="s">
        <v>1030</v>
      </c>
      <c r="E716" s="39" t="s">
        <v>42</v>
      </c>
    </row>
    <row r="717" spans="1:5" x14ac:dyDescent="0.45">
      <c r="A717" s="40"/>
      <c r="B717" s="40" t="s">
        <v>499</v>
      </c>
      <c r="C717" s="40"/>
      <c r="D717" s="20"/>
      <c r="E717" s="39" t="s">
        <v>42</v>
      </c>
    </row>
    <row r="718" spans="1:5" x14ac:dyDescent="0.45">
      <c r="A718" s="40"/>
      <c r="B718" s="40" t="s">
        <v>499</v>
      </c>
      <c r="C718" s="40"/>
      <c r="D718" s="20"/>
      <c r="E718" s="39" t="s">
        <v>42</v>
      </c>
    </row>
    <row r="719" spans="1:5" x14ac:dyDescent="0.45">
      <c r="A719" s="40">
        <v>1751746262</v>
      </c>
      <c r="B719" s="40" t="s">
        <v>788</v>
      </c>
      <c r="C719" s="40"/>
      <c r="D719" s="20"/>
      <c r="E719" s="39" t="s">
        <v>42</v>
      </c>
    </row>
    <row r="720" spans="1:5" x14ac:dyDescent="0.45">
      <c r="A720" s="40">
        <v>716636871</v>
      </c>
      <c r="B720" s="40" t="s">
        <v>790</v>
      </c>
      <c r="C720" s="40">
        <v>984204864</v>
      </c>
      <c r="D720" s="20" t="s">
        <v>1178</v>
      </c>
      <c r="E720" s="39" t="s">
        <v>42</v>
      </c>
    </row>
    <row r="721" spans="1:5" x14ac:dyDescent="0.45">
      <c r="A721" s="40">
        <v>703191148</v>
      </c>
      <c r="B721" s="40" t="s">
        <v>792</v>
      </c>
      <c r="C721" s="40">
        <v>988807531</v>
      </c>
      <c r="D721" s="20" t="s">
        <v>1179</v>
      </c>
      <c r="E721" s="39" t="s">
        <v>42</v>
      </c>
    </row>
    <row r="722" spans="1:5" x14ac:dyDescent="0.45">
      <c r="A722" s="40">
        <v>706708302</v>
      </c>
      <c r="B722" s="40" t="s">
        <v>795</v>
      </c>
      <c r="C722" s="40"/>
      <c r="D722" s="20" t="s">
        <v>1180</v>
      </c>
      <c r="E722" s="39" t="s">
        <v>42</v>
      </c>
    </row>
    <row r="723" spans="1:5" x14ac:dyDescent="0.45">
      <c r="A723" s="40"/>
      <c r="B723" s="40" t="s">
        <v>797</v>
      </c>
      <c r="C723" s="40"/>
      <c r="D723" s="20"/>
      <c r="E723" s="39" t="s">
        <v>42</v>
      </c>
    </row>
    <row r="724" spans="1:5" x14ac:dyDescent="0.45">
      <c r="A724" s="40">
        <v>1705374740</v>
      </c>
      <c r="B724" s="40" t="s">
        <v>799</v>
      </c>
      <c r="C724" s="40">
        <v>999226285</v>
      </c>
      <c r="D724" s="20"/>
      <c r="E724" s="39" t="s">
        <v>42</v>
      </c>
    </row>
    <row r="725" spans="1:5" x14ac:dyDescent="0.45">
      <c r="A725" s="40"/>
      <c r="B725" s="40" t="s">
        <v>800</v>
      </c>
      <c r="C725" s="40"/>
      <c r="D725" s="20"/>
      <c r="E725" s="39" t="s">
        <v>42</v>
      </c>
    </row>
    <row r="726" spans="1:5" x14ac:dyDescent="0.45">
      <c r="A726" s="40">
        <v>1720116506</v>
      </c>
      <c r="B726" s="40" t="s">
        <v>802</v>
      </c>
      <c r="C726" s="40">
        <v>983894595</v>
      </c>
      <c r="D726" s="20" t="s">
        <v>1181</v>
      </c>
      <c r="E726" s="39" t="s">
        <v>42</v>
      </c>
    </row>
    <row r="727" spans="1:5" x14ac:dyDescent="0.45">
      <c r="A727" s="40">
        <v>401388814</v>
      </c>
      <c r="B727" s="40" t="s">
        <v>734</v>
      </c>
      <c r="C727" s="40">
        <v>987346064</v>
      </c>
      <c r="D727" s="20" t="s">
        <v>1150</v>
      </c>
      <c r="E727" s="39" t="s">
        <v>42</v>
      </c>
    </row>
    <row r="728" spans="1:5" x14ac:dyDescent="0.45">
      <c r="A728" s="40">
        <v>1721675153</v>
      </c>
      <c r="B728" s="40" t="s">
        <v>426</v>
      </c>
      <c r="C728" s="40">
        <v>992877753</v>
      </c>
      <c r="D728" s="20" t="s">
        <v>1093</v>
      </c>
      <c r="E728" s="39" t="s">
        <v>42</v>
      </c>
    </row>
    <row r="729" spans="1:5" x14ac:dyDescent="0.45">
      <c r="A729" s="40"/>
      <c r="B729" s="40" t="s">
        <v>71</v>
      </c>
      <c r="C729" s="40"/>
      <c r="D729" s="20"/>
      <c r="E729" s="39" t="s">
        <v>42</v>
      </c>
    </row>
    <row r="730" spans="1:5" x14ac:dyDescent="0.45">
      <c r="A730" s="40">
        <v>1719430991</v>
      </c>
      <c r="B730" s="40" t="s">
        <v>731</v>
      </c>
      <c r="C730" s="40">
        <v>998950453</v>
      </c>
      <c r="D730" s="20" t="s">
        <v>1149</v>
      </c>
      <c r="E730" s="39" t="s">
        <v>42</v>
      </c>
    </row>
    <row r="731" spans="1:5" x14ac:dyDescent="0.45">
      <c r="A731" s="40"/>
      <c r="B731" s="40" t="s">
        <v>808</v>
      </c>
      <c r="C731" s="40"/>
      <c r="D731" s="20"/>
      <c r="E731" s="39" t="s">
        <v>42</v>
      </c>
    </row>
    <row r="732" spans="1:5" x14ac:dyDescent="0.45">
      <c r="A732" s="40">
        <v>1724928609</v>
      </c>
      <c r="B732" s="40" t="s">
        <v>809</v>
      </c>
      <c r="C732" s="40">
        <v>999761283</v>
      </c>
      <c r="D732" s="20" t="s">
        <v>1182</v>
      </c>
      <c r="E732" s="39" t="s">
        <v>42</v>
      </c>
    </row>
    <row r="733" spans="1:5" x14ac:dyDescent="0.45">
      <c r="A733" s="40"/>
      <c r="B733" s="40" t="s">
        <v>812</v>
      </c>
      <c r="C733" s="40"/>
      <c r="D733" s="20"/>
      <c r="E733" s="39" t="s">
        <v>42</v>
      </c>
    </row>
    <row r="734" spans="1:5" x14ac:dyDescent="0.45">
      <c r="A734" s="40">
        <v>1724928609</v>
      </c>
      <c r="B734" s="40" t="s">
        <v>814</v>
      </c>
      <c r="C734" s="40">
        <v>999761283</v>
      </c>
      <c r="D734" s="20" t="s">
        <v>1182</v>
      </c>
      <c r="E734" s="39" t="s">
        <v>42</v>
      </c>
    </row>
    <row r="735" spans="1:5" x14ac:dyDescent="0.45">
      <c r="A735" s="40">
        <v>1718740796</v>
      </c>
      <c r="B735" s="40" t="s">
        <v>815</v>
      </c>
      <c r="C735" s="40">
        <v>984039489</v>
      </c>
      <c r="D735" s="20" t="s">
        <v>1183</v>
      </c>
      <c r="E735" s="39" t="s">
        <v>42</v>
      </c>
    </row>
    <row r="736" spans="1:5" x14ac:dyDescent="0.45">
      <c r="A736" s="40">
        <v>1701432229</v>
      </c>
      <c r="B736" s="40" t="s">
        <v>503</v>
      </c>
      <c r="C736" s="40">
        <v>997562221</v>
      </c>
      <c r="D736" s="20" t="s">
        <v>1049</v>
      </c>
      <c r="E736" s="39" t="s">
        <v>42</v>
      </c>
    </row>
    <row r="737" spans="1:5" x14ac:dyDescent="0.45">
      <c r="A737" s="40">
        <v>1717630113</v>
      </c>
      <c r="B737" s="40" t="s">
        <v>816</v>
      </c>
      <c r="C737" s="40">
        <v>987425149</v>
      </c>
      <c r="D737" s="20" t="s">
        <v>1034</v>
      </c>
      <c r="E737" s="39" t="s">
        <v>42</v>
      </c>
    </row>
    <row r="738" spans="1:5" x14ac:dyDescent="0.45">
      <c r="A738" s="40">
        <v>1712145372</v>
      </c>
      <c r="B738" s="40" t="s">
        <v>817</v>
      </c>
      <c r="C738" s="40">
        <v>999708708</v>
      </c>
      <c r="D738" s="20" t="s">
        <v>1184</v>
      </c>
      <c r="E738" s="39" t="s">
        <v>42</v>
      </c>
    </row>
    <row r="739" spans="1:5" x14ac:dyDescent="0.45">
      <c r="A739" s="40">
        <v>1712145372</v>
      </c>
      <c r="B739" s="40" t="s">
        <v>817</v>
      </c>
      <c r="C739" s="40">
        <v>999708708</v>
      </c>
      <c r="D739" s="20" t="s">
        <v>1184</v>
      </c>
      <c r="E739" s="39" t="s">
        <v>42</v>
      </c>
    </row>
    <row r="740" spans="1:5" x14ac:dyDescent="0.45">
      <c r="A740" s="40">
        <v>1718590746</v>
      </c>
      <c r="B740" s="40" t="s">
        <v>499</v>
      </c>
      <c r="C740" s="40"/>
      <c r="D740" s="20"/>
      <c r="E740" s="39" t="s">
        <v>42</v>
      </c>
    </row>
    <row r="741" spans="1:5" x14ac:dyDescent="0.45">
      <c r="A741" s="40">
        <v>1717349970</v>
      </c>
      <c r="B741" s="40" t="s">
        <v>822</v>
      </c>
      <c r="C741" s="40">
        <v>963525590</v>
      </c>
      <c r="D741" s="20" t="s">
        <v>1185</v>
      </c>
      <c r="E741" s="39" t="s">
        <v>42</v>
      </c>
    </row>
    <row r="742" spans="1:5" x14ac:dyDescent="0.45">
      <c r="A742" s="40">
        <v>1713424479</v>
      </c>
      <c r="B742" s="40" t="s">
        <v>824</v>
      </c>
      <c r="C742" s="40">
        <v>960027353</v>
      </c>
      <c r="D742" s="20" t="s">
        <v>1186</v>
      </c>
      <c r="E742" s="39" t="s">
        <v>42</v>
      </c>
    </row>
    <row r="743" spans="1:5" x14ac:dyDescent="0.45">
      <c r="A743" s="40">
        <v>1722109178</v>
      </c>
      <c r="B743" s="40" t="s">
        <v>826</v>
      </c>
      <c r="C743" s="40">
        <v>984205468</v>
      </c>
      <c r="D743" s="20" t="s">
        <v>1187</v>
      </c>
      <c r="E743" s="39" t="s">
        <v>42</v>
      </c>
    </row>
    <row r="744" spans="1:5" x14ac:dyDescent="0.45">
      <c r="A744" s="40"/>
      <c r="B744" s="40" t="s">
        <v>265</v>
      </c>
      <c r="C744" s="40"/>
      <c r="D744" s="20"/>
      <c r="E744" s="39" t="s">
        <v>42</v>
      </c>
    </row>
    <row r="745" spans="1:5" x14ac:dyDescent="0.45">
      <c r="A745" s="40">
        <v>1725622516</v>
      </c>
      <c r="B745" s="40" t="s">
        <v>828</v>
      </c>
      <c r="C745" s="40">
        <v>998874726</v>
      </c>
      <c r="D745" s="20" t="s">
        <v>1188</v>
      </c>
      <c r="E745" s="39" t="s">
        <v>42</v>
      </c>
    </row>
    <row r="746" spans="1:5" x14ac:dyDescent="0.45">
      <c r="A746" s="40"/>
      <c r="B746" s="40" t="s">
        <v>428</v>
      </c>
      <c r="C746" s="40"/>
      <c r="D746" s="20"/>
      <c r="E746" s="39" t="s">
        <v>42</v>
      </c>
    </row>
    <row r="747" spans="1:5" x14ac:dyDescent="0.45">
      <c r="A747" s="40">
        <v>1600371480</v>
      </c>
      <c r="B747" s="40" t="s">
        <v>830</v>
      </c>
      <c r="C747" s="40">
        <v>997520009</v>
      </c>
      <c r="D747" s="20" t="s">
        <v>1189</v>
      </c>
      <c r="E747" s="39" t="s">
        <v>42</v>
      </c>
    </row>
    <row r="748" spans="1:5" x14ac:dyDescent="0.45">
      <c r="A748" s="40">
        <v>1720201472</v>
      </c>
      <c r="B748" s="40" t="s">
        <v>831</v>
      </c>
      <c r="C748" s="40">
        <v>999032224</v>
      </c>
      <c r="D748" s="20" t="s">
        <v>1190</v>
      </c>
      <c r="E748" s="39" t="s">
        <v>42</v>
      </c>
    </row>
    <row r="749" spans="1:5" x14ac:dyDescent="0.45">
      <c r="A749" s="40"/>
      <c r="B749" s="40"/>
      <c r="C749" s="40"/>
      <c r="D749" s="20"/>
      <c r="E749" s="39" t="s">
        <v>42</v>
      </c>
    </row>
    <row r="750" spans="1:5" x14ac:dyDescent="0.45">
      <c r="A750" s="40"/>
      <c r="B750" s="40"/>
      <c r="C750" s="40"/>
      <c r="D750" s="20"/>
      <c r="E750" s="39" t="s">
        <v>42</v>
      </c>
    </row>
    <row r="751" spans="1:5" x14ac:dyDescent="0.45">
      <c r="A751" s="40">
        <v>1719279398</v>
      </c>
      <c r="B751" s="40" t="s">
        <v>703</v>
      </c>
      <c r="C751" s="40">
        <v>987109273</v>
      </c>
      <c r="D751" s="20" t="s">
        <v>1191</v>
      </c>
      <c r="E751" s="39" t="s">
        <v>42</v>
      </c>
    </row>
    <row r="752" spans="1:5" x14ac:dyDescent="0.45">
      <c r="A752" s="40">
        <v>1718896580</v>
      </c>
      <c r="B752" s="40" t="s">
        <v>833</v>
      </c>
      <c r="C752" s="40">
        <v>987605942</v>
      </c>
      <c r="D752" s="20" t="s">
        <v>1192</v>
      </c>
      <c r="E752" s="39" t="s">
        <v>42</v>
      </c>
    </row>
    <row r="753" spans="1:5" x14ac:dyDescent="0.45">
      <c r="A753" s="40">
        <v>1707963227</v>
      </c>
      <c r="B753" s="40" t="s">
        <v>77</v>
      </c>
      <c r="C753" s="40">
        <v>962842721</v>
      </c>
      <c r="D753" s="20" t="s">
        <v>1008</v>
      </c>
      <c r="E753" s="39" t="s">
        <v>42</v>
      </c>
    </row>
    <row r="754" spans="1:5" x14ac:dyDescent="0.45">
      <c r="A754" s="40">
        <v>171943099</v>
      </c>
      <c r="B754" s="40" t="s">
        <v>731</v>
      </c>
      <c r="C754" s="40">
        <v>998950453</v>
      </c>
      <c r="D754" s="20" t="s">
        <v>1149</v>
      </c>
      <c r="E754" s="39" t="s">
        <v>42</v>
      </c>
    </row>
    <row r="755" spans="1:5" x14ac:dyDescent="0.45">
      <c r="A755" s="40"/>
      <c r="B755" s="40" t="s">
        <v>836</v>
      </c>
      <c r="C755" s="40"/>
      <c r="D755" s="20"/>
      <c r="E755" s="39" t="s">
        <v>42</v>
      </c>
    </row>
    <row r="756" spans="1:5" x14ac:dyDescent="0.45">
      <c r="A756" s="40">
        <v>1721402657</v>
      </c>
      <c r="B756" s="40" t="s">
        <v>838</v>
      </c>
      <c r="C756" s="40">
        <v>3431233</v>
      </c>
      <c r="D756" s="20" t="s">
        <v>1193</v>
      </c>
      <c r="E756" s="39" t="s">
        <v>42</v>
      </c>
    </row>
    <row r="757" spans="1:5" x14ac:dyDescent="0.45">
      <c r="A757" s="40">
        <v>1717349970</v>
      </c>
      <c r="B757" s="40" t="s">
        <v>822</v>
      </c>
      <c r="C757" s="40">
        <v>963525590</v>
      </c>
      <c r="D757" s="20" t="s">
        <v>1185</v>
      </c>
      <c r="E757" s="39" t="s">
        <v>42</v>
      </c>
    </row>
    <row r="758" spans="1:5" x14ac:dyDescent="0.45">
      <c r="A758" s="40">
        <v>1717630113</v>
      </c>
      <c r="B758" s="40" t="s">
        <v>816</v>
      </c>
      <c r="C758" s="40">
        <v>987425149</v>
      </c>
      <c r="D758" s="20" t="s">
        <v>1034</v>
      </c>
      <c r="E758" s="39" t="s">
        <v>42</v>
      </c>
    </row>
    <row r="759" spans="1:5" x14ac:dyDescent="0.45">
      <c r="A759" s="40"/>
      <c r="B759" s="40" t="s">
        <v>71</v>
      </c>
      <c r="C759" s="40"/>
      <c r="D759" s="20"/>
      <c r="E759" s="39" t="s">
        <v>42</v>
      </c>
    </row>
    <row r="760" spans="1:5" x14ac:dyDescent="0.45">
      <c r="A760" s="40">
        <v>1718848987</v>
      </c>
      <c r="B760" s="40" t="s">
        <v>842</v>
      </c>
      <c r="C760" s="40">
        <v>998600589</v>
      </c>
      <c r="D760" s="20" t="s">
        <v>1194</v>
      </c>
      <c r="E760" s="39" t="s">
        <v>42</v>
      </c>
    </row>
    <row r="761" spans="1:5" x14ac:dyDescent="0.45">
      <c r="A761" s="40"/>
      <c r="B761" s="40" t="s">
        <v>843</v>
      </c>
      <c r="C761" s="40"/>
      <c r="D761" s="20"/>
      <c r="E761" s="39" t="s">
        <v>42</v>
      </c>
    </row>
    <row r="762" spans="1:5" x14ac:dyDescent="0.45">
      <c r="A762" s="40"/>
      <c r="B762" s="40" t="s">
        <v>844</v>
      </c>
      <c r="C762" s="40"/>
      <c r="D762" s="20"/>
      <c r="E762" s="39" t="s">
        <v>42</v>
      </c>
    </row>
    <row r="763" spans="1:5" x14ac:dyDescent="0.45">
      <c r="A763" s="40"/>
      <c r="B763" s="40" t="s">
        <v>845</v>
      </c>
      <c r="C763" s="40"/>
      <c r="D763" s="20"/>
      <c r="E763" s="39" t="s">
        <v>42</v>
      </c>
    </row>
    <row r="764" spans="1:5" x14ac:dyDescent="0.45">
      <c r="A764" s="40"/>
      <c r="B764" s="40" t="s">
        <v>846</v>
      </c>
      <c r="C764" s="40"/>
      <c r="D764" s="20"/>
      <c r="E764" s="39" t="s">
        <v>42</v>
      </c>
    </row>
    <row r="765" spans="1:5" x14ac:dyDescent="0.45">
      <c r="A765" s="40"/>
      <c r="B765" s="40" t="s">
        <v>848</v>
      </c>
      <c r="C765" s="40"/>
      <c r="D765" s="20"/>
      <c r="E765" s="39" t="s">
        <v>42</v>
      </c>
    </row>
    <row r="766" spans="1:5" x14ac:dyDescent="0.45">
      <c r="A766" s="40">
        <v>1713781126</v>
      </c>
      <c r="B766" s="40" t="s">
        <v>849</v>
      </c>
      <c r="C766" s="40">
        <v>993360523</v>
      </c>
      <c r="D766" s="20" t="s">
        <v>1195</v>
      </c>
      <c r="E766" s="39" t="s">
        <v>42</v>
      </c>
    </row>
    <row r="767" spans="1:5" x14ac:dyDescent="0.45">
      <c r="A767" s="40">
        <v>1713781126</v>
      </c>
      <c r="B767" s="40" t="s">
        <v>849</v>
      </c>
      <c r="C767" s="40">
        <v>993360523</v>
      </c>
      <c r="D767" s="20" t="s">
        <v>1195</v>
      </c>
      <c r="E767" s="39" t="s">
        <v>42</v>
      </c>
    </row>
    <row r="768" spans="1:5" x14ac:dyDescent="0.45">
      <c r="A768" s="40">
        <v>1712865870</v>
      </c>
      <c r="B768" s="40" t="s">
        <v>852</v>
      </c>
      <c r="C768" s="40">
        <v>995266643</v>
      </c>
      <c r="D768" s="20" t="s">
        <v>1196</v>
      </c>
      <c r="E768" s="39" t="s">
        <v>42</v>
      </c>
    </row>
    <row r="769" spans="1:5" x14ac:dyDescent="0.45">
      <c r="A769" s="40">
        <v>1712865870</v>
      </c>
      <c r="B769" s="40" t="s">
        <v>852</v>
      </c>
      <c r="C769" s="40">
        <v>995266643</v>
      </c>
      <c r="D769" s="20" t="s">
        <v>1196</v>
      </c>
      <c r="E769" s="39" t="s">
        <v>42</v>
      </c>
    </row>
    <row r="770" spans="1:5" x14ac:dyDescent="0.45">
      <c r="A770" s="40">
        <v>930394861</v>
      </c>
      <c r="B770" s="40" t="s">
        <v>854</v>
      </c>
      <c r="C770" s="40">
        <v>967477481</v>
      </c>
      <c r="D770" s="20" t="s">
        <v>1197</v>
      </c>
      <c r="E770" s="39" t="s">
        <v>42</v>
      </c>
    </row>
    <row r="771" spans="1:5" x14ac:dyDescent="0.45">
      <c r="A771" s="40"/>
      <c r="B771" s="40" t="s">
        <v>82</v>
      </c>
      <c r="C771" s="40"/>
      <c r="D771" s="20"/>
      <c r="E771" s="39" t="s">
        <v>42</v>
      </c>
    </row>
    <row r="772" spans="1:5" x14ac:dyDescent="0.45">
      <c r="A772" s="40"/>
      <c r="B772" s="40" t="s">
        <v>856</v>
      </c>
      <c r="C772" s="40"/>
      <c r="D772" s="20"/>
      <c r="E772" s="39" t="s">
        <v>42</v>
      </c>
    </row>
    <row r="773" spans="1:5" x14ac:dyDescent="0.45">
      <c r="A773" s="40">
        <v>172665534</v>
      </c>
      <c r="B773" s="40" t="s">
        <v>808</v>
      </c>
      <c r="C773" s="40">
        <v>999207538</v>
      </c>
      <c r="D773" s="20" t="s">
        <v>1198</v>
      </c>
      <c r="E773" s="39" t="s">
        <v>42</v>
      </c>
    </row>
    <row r="774" spans="1:5" x14ac:dyDescent="0.45">
      <c r="A774" s="40">
        <v>172665534</v>
      </c>
      <c r="B774" s="40" t="s">
        <v>808</v>
      </c>
      <c r="C774" s="40">
        <v>999207538</v>
      </c>
      <c r="D774" s="20" t="s">
        <v>1198</v>
      </c>
      <c r="E774" s="39" t="s">
        <v>42</v>
      </c>
    </row>
    <row r="775" spans="1:5" x14ac:dyDescent="0.45">
      <c r="A775" s="40">
        <v>1702327655</v>
      </c>
      <c r="B775" s="40" t="s">
        <v>859</v>
      </c>
      <c r="C775" s="40">
        <v>994988133</v>
      </c>
      <c r="D775" s="20" t="s">
        <v>1199</v>
      </c>
      <c r="E775" s="39" t="s">
        <v>42</v>
      </c>
    </row>
    <row r="776" spans="1:5" x14ac:dyDescent="0.45">
      <c r="A776" s="40">
        <v>1707124341</v>
      </c>
      <c r="B776" s="40" t="s">
        <v>726</v>
      </c>
      <c r="C776" s="40">
        <v>999947475</v>
      </c>
      <c r="D776" s="20" t="s">
        <v>1200</v>
      </c>
      <c r="E776" s="39" t="s">
        <v>42</v>
      </c>
    </row>
    <row r="777" spans="1:5" x14ac:dyDescent="0.45">
      <c r="A777" s="40">
        <v>1711306199</v>
      </c>
      <c r="B777" s="40" t="s">
        <v>860</v>
      </c>
      <c r="C777" s="40">
        <v>998135335</v>
      </c>
      <c r="D777" s="20" t="s">
        <v>1201</v>
      </c>
      <c r="E777" s="39" t="s">
        <v>42</v>
      </c>
    </row>
    <row r="778" spans="1:5" x14ac:dyDescent="0.45">
      <c r="A778" s="40">
        <v>901090167</v>
      </c>
      <c r="B778" s="40" t="s">
        <v>862</v>
      </c>
      <c r="C778" s="40">
        <v>988591003</v>
      </c>
      <c r="D778" s="20"/>
      <c r="E778" s="39" t="s">
        <v>42</v>
      </c>
    </row>
    <row r="779" spans="1:5" x14ac:dyDescent="0.45">
      <c r="A779" s="40">
        <v>3050432586</v>
      </c>
      <c r="B779" s="40" t="s">
        <v>863</v>
      </c>
      <c r="C779" s="40">
        <v>959988138</v>
      </c>
      <c r="D779" s="20" t="s">
        <v>1202</v>
      </c>
      <c r="E779" s="39" t="s">
        <v>42</v>
      </c>
    </row>
    <row r="780" spans="1:5" x14ac:dyDescent="0.45">
      <c r="A780" s="40">
        <v>3050432586</v>
      </c>
      <c r="B780" s="40" t="s">
        <v>863</v>
      </c>
      <c r="C780" s="40">
        <v>959988138</v>
      </c>
      <c r="D780" s="20" t="s">
        <v>1202</v>
      </c>
      <c r="E780" s="39" t="s">
        <v>42</v>
      </c>
    </row>
    <row r="781" spans="1:5" x14ac:dyDescent="0.45">
      <c r="A781" s="40"/>
      <c r="B781" s="40" t="s">
        <v>475</v>
      </c>
      <c r="C781" s="40">
        <v>981396657</v>
      </c>
      <c r="D781" s="20"/>
      <c r="E781" s="39" t="s">
        <v>42</v>
      </c>
    </row>
    <row r="782" spans="1:5" x14ac:dyDescent="0.45">
      <c r="A782" s="40"/>
      <c r="B782" s="40" t="s">
        <v>475</v>
      </c>
      <c r="C782" s="40">
        <v>981396657</v>
      </c>
      <c r="D782" s="20"/>
      <c r="E782" s="39" t="s">
        <v>42</v>
      </c>
    </row>
    <row r="783" spans="1:5" x14ac:dyDescent="0.45">
      <c r="A783" s="40">
        <v>502138340</v>
      </c>
      <c r="B783" s="40" t="s">
        <v>866</v>
      </c>
      <c r="C783" s="40">
        <v>996439660</v>
      </c>
      <c r="D783" s="20" t="s">
        <v>1203</v>
      </c>
      <c r="E783" s="39" t="s">
        <v>42</v>
      </c>
    </row>
    <row r="784" spans="1:5" x14ac:dyDescent="0.45">
      <c r="A784" s="40">
        <v>1706811757</v>
      </c>
      <c r="B784" s="40" t="s">
        <v>867</v>
      </c>
      <c r="C784" s="40">
        <v>987710400</v>
      </c>
      <c r="D784" s="20" t="s">
        <v>1204</v>
      </c>
      <c r="E784" s="39" t="s">
        <v>42</v>
      </c>
    </row>
    <row r="785" spans="1:5" x14ac:dyDescent="0.45">
      <c r="A785" s="40">
        <v>1713660825</v>
      </c>
      <c r="B785" s="40" t="s">
        <v>868</v>
      </c>
      <c r="C785" s="40">
        <v>999091551</v>
      </c>
      <c r="D785" s="20" t="s">
        <v>1205</v>
      </c>
      <c r="E785" s="39" t="s">
        <v>42</v>
      </c>
    </row>
    <row r="786" spans="1:5" x14ac:dyDescent="0.45">
      <c r="A786" s="40">
        <v>1708634033</v>
      </c>
      <c r="B786" s="40" t="s">
        <v>870</v>
      </c>
      <c r="C786" s="40">
        <v>982347887</v>
      </c>
      <c r="D786" s="20" t="s">
        <v>1206</v>
      </c>
      <c r="E786" s="39" t="s">
        <v>42</v>
      </c>
    </row>
    <row r="787" spans="1:5" x14ac:dyDescent="0.45">
      <c r="A787" s="40">
        <v>1757151921</v>
      </c>
      <c r="B787" s="40" t="s">
        <v>871</v>
      </c>
      <c r="C787" s="40">
        <v>939698814</v>
      </c>
      <c r="D787" s="20" t="s">
        <v>1207</v>
      </c>
      <c r="E787" s="39" t="s">
        <v>42</v>
      </c>
    </row>
    <row r="788" spans="1:5" x14ac:dyDescent="0.45">
      <c r="A788" s="40">
        <v>1003432422</v>
      </c>
      <c r="B788" s="40" t="s">
        <v>873</v>
      </c>
      <c r="C788" s="40">
        <v>982241388</v>
      </c>
      <c r="D788" s="20" t="s">
        <v>1208</v>
      </c>
      <c r="E788" s="39" t="s">
        <v>42</v>
      </c>
    </row>
    <row r="789" spans="1:5" x14ac:dyDescent="0.45">
      <c r="A789" s="40">
        <v>1003432422</v>
      </c>
      <c r="B789" s="40" t="s">
        <v>873</v>
      </c>
      <c r="C789" s="40">
        <v>982241388</v>
      </c>
      <c r="D789" s="20" t="s">
        <v>1208</v>
      </c>
      <c r="E789" s="39" t="s">
        <v>42</v>
      </c>
    </row>
    <row r="790" spans="1:5" x14ac:dyDescent="0.45">
      <c r="A790" s="40">
        <v>1718245012</v>
      </c>
      <c r="B790" s="40" t="s">
        <v>876</v>
      </c>
      <c r="C790" s="40"/>
      <c r="D790" s="20"/>
      <c r="E790" s="39" t="s">
        <v>42</v>
      </c>
    </row>
    <row r="791" spans="1:5" x14ac:dyDescent="0.45">
      <c r="A791" s="40"/>
      <c r="B791" s="40" t="s">
        <v>781</v>
      </c>
      <c r="C791" s="40"/>
      <c r="D791" s="20"/>
      <c r="E791" s="39" t="s">
        <v>42</v>
      </c>
    </row>
    <row r="792" spans="1:5" x14ac:dyDescent="0.45">
      <c r="A792" s="40">
        <v>1720226214</v>
      </c>
      <c r="B792" s="40" t="s">
        <v>878</v>
      </c>
      <c r="C792" s="40">
        <v>984342245</v>
      </c>
      <c r="D792" s="20" t="s">
        <v>1169</v>
      </c>
      <c r="E792" s="39" t="s">
        <v>42</v>
      </c>
    </row>
    <row r="793" spans="1:5" x14ac:dyDescent="0.45">
      <c r="A793" s="40">
        <v>1724828932</v>
      </c>
      <c r="B793" s="40" t="s">
        <v>880</v>
      </c>
      <c r="C793" s="40">
        <v>980683465</v>
      </c>
      <c r="D793" s="20" t="s">
        <v>1209</v>
      </c>
      <c r="E793" s="39" t="s">
        <v>42</v>
      </c>
    </row>
    <row r="794" spans="1:5" x14ac:dyDescent="0.45">
      <c r="A794" s="40">
        <v>1719051631</v>
      </c>
      <c r="B794" s="40" t="s">
        <v>881</v>
      </c>
      <c r="C794" s="40">
        <v>987066795</v>
      </c>
      <c r="D794" s="20" t="s">
        <v>1085</v>
      </c>
      <c r="E794" s="39" t="s">
        <v>42</v>
      </c>
    </row>
    <row r="795" spans="1:5" x14ac:dyDescent="0.45">
      <c r="A795" s="40">
        <v>1717932964</v>
      </c>
      <c r="B795" s="40" t="s">
        <v>882</v>
      </c>
      <c r="C795" s="40">
        <v>995403522</v>
      </c>
      <c r="D795" s="20" t="s">
        <v>1210</v>
      </c>
      <c r="E795" s="39" t="s">
        <v>42</v>
      </c>
    </row>
    <row r="796" spans="1:5" x14ac:dyDescent="0.45">
      <c r="A796" s="40">
        <v>1717177966</v>
      </c>
      <c r="B796" s="40" t="s">
        <v>158</v>
      </c>
      <c r="C796" s="40">
        <v>987830893</v>
      </c>
      <c r="D796" s="20" t="s">
        <v>1211</v>
      </c>
      <c r="E796" s="39" t="s">
        <v>42</v>
      </c>
    </row>
    <row r="797" spans="1:5" x14ac:dyDescent="0.45">
      <c r="A797" s="40">
        <v>1717177966</v>
      </c>
      <c r="B797" s="40" t="s">
        <v>158</v>
      </c>
      <c r="C797" s="40">
        <v>987830893</v>
      </c>
      <c r="D797" s="20" t="s">
        <v>1211</v>
      </c>
      <c r="E797" s="39" t="s">
        <v>42</v>
      </c>
    </row>
    <row r="798" spans="1:5" x14ac:dyDescent="0.45">
      <c r="A798" s="40">
        <v>1721946067</v>
      </c>
      <c r="B798" s="40" t="s">
        <v>74</v>
      </c>
      <c r="C798" s="40">
        <v>997562221</v>
      </c>
      <c r="D798" s="20" t="s">
        <v>1049</v>
      </c>
      <c r="E798" s="39" t="s">
        <v>42</v>
      </c>
    </row>
    <row r="799" spans="1:5" x14ac:dyDescent="0.45">
      <c r="A799" s="40">
        <v>2300544950</v>
      </c>
      <c r="B799" s="40" t="s">
        <v>883</v>
      </c>
      <c r="C799" s="40">
        <v>997375983</v>
      </c>
      <c r="D799" s="20" t="s">
        <v>1212</v>
      </c>
      <c r="E799" s="39" t="s">
        <v>42</v>
      </c>
    </row>
    <row r="800" spans="1:5" x14ac:dyDescent="0.45">
      <c r="A800" s="40">
        <v>1707063227</v>
      </c>
      <c r="B800" s="40" t="s">
        <v>77</v>
      </c>
      <c r="C800" s="40">
        <v>962842721</v>
      </c>
      <c r="D800" s="20" t="s">
        <v>1213</v>
      </c>
      <c r="E800" s="39" t="s">
        <v>42</v>
      </c>
    </row>
    <row r="801" spans="1:5" x14ac:dyDescent="0.45">
      <c r="A801" s="40">
        <v>1716862840</v>
      </c>
      <c r="B801" s="40" t="s">
        <v>696</v>
      </c>
      <c r="C801" s="40">
        <v>984907880</v>
      </c>
      <c r="D801" s="20" t="s">
        <v>1132</v>
      </c>
      <c r="E801" s="39" t="s">
        <v>42</v>
      </c>
    </row>
    <row r="802" spans="1:5" x14ac:dyDescent="0.45">
      <c r="A802" s="40">
        <v>1716862840</v>
      </c>
      <c r="B802" s="40" t="s">
        <v>696</v>
      </c>
      <c r="C802" s="40">
        <v>984907880</v>
      </c>
      <c r="D802" s="20" t="s">
        <v>1132</v>
      </c>
      <c r="E802" s="39" t="s">
        <v>42</v>
      </c>
    </row>
    <row r="803" spans="1:5" x14ac:dyDescent="0.45">
      <c r="A803" s="40">
        <v>1726528696</v>
      </c>
      <c r="B803" s="40" t="s">
        <v>885</v>
      </c>
      <c r="C803" s="40">
        <v>96931896</v>
      </c>
      <c r="D803" s="20" t="s">
        <v>1214</v>
      </c>
      <c r="E803" s="39" t="s">
        <v>42</v>
      </c>
    </row>
    <row r="804" spans="1:5" x14ac:dyDescent="0.45">
      <c r="A804" s="40"/>
      <c r="B804" s="40" t="s">
        <v>887</v>
      </c>
      <c r="C804" s="40">
        <v>997235655</v>
      </c>
      <c r="D804" s="20"/>
      <c r="E804" s="39" t="s">
        <v>42</v>
      </c>
    </row>
    <row r="805" spans="1:5" x14ac:dyDescent="0.45">
      <c r="A805" s="40">
        <v>1701127514</v>
      </c>
      <c r="B805" s="40" t="s">
        <v>888</v>
      </c>
      <c r="C805" s="40">
        <v>983974701</v>
      </c>
      <c r="D805" s="20" t="s">
        <v>1215</v>
      </c>
      <c r="E805" s="39" t="s">
        <v>42</v>
      </c>
    </row>
    <row r="806" spans="1:5" x14ac:dyDescent="0.45">
      <c r="A806" s="40">
        <v>2000054730</v>
      </c>
      <c r="B806" s="40" t="s">
        <v>889</v>
      </c>
      <c r="C806" s="40">
        <v>999460965</v>
      </c>
      <c r="D806" s="20" t="s">
        <v>1216</v>
      </c>
      <c r="E806" s="39" t="s">
        <v>42</v>
      </c>
    </row>
    <row r="807" spans="1:5" x14ac:dyDescent="0.45">
      <c r="A807" s="40">
        <v>2000054730</v>
      </c>
      <c r="B807" s="40" t="s">
        <v>889</v>
      </c>
      <c r="C807" s="40">
        <v>999460965</v>
      </c>
      <c r="D807" s="20" t="s">
        <v>1216</v>
      </c>
      <c r="E807" s="39" t="s">
        <v>42</v>
      </c>
    </row>
    <row r="808" spans="1:5" x14ac:dyDescent="0.45">
      <c r="A808" s="40">
        <v>1721555850</v>
      </c>
      <c r="B808" s="40" t="s">
        <v>891</v>
      </c>
      <c r="C808" s="40">
        <v>997942349</v>
      </c>
      <c r="D808" s="20" t="s">
        <v>1217</v>
      </c>
      <c r="E808" s="39" t="s">
        <v>42</v>
      </c>
    </row>
    <row r="809" spans="1:5" x14ac:dyDescent="0.45">
      <c r="A809" s="40">
        <v>1721555850</v>
      </c>
      <c r="B809" s="40" t="s">
        <v>891</v>
      </c>
      <c r="C809" s="40">
        <v>997942349</v>
      </c>
      <c r="D809" s="20" t="s">
        <v>1217</v>
      </c>
      <c r="E809" s="39" t="s">
        <v>42</v>
      </c>
    </row>
    <row r="810" spans="1:5" x14ac:dyDescent="0.45">
      <c r="A810" s="40"/>
      <c r="B810" s="40" t="s">
        <v>71</v>
      </c>
      <c r="C810" s="40"/>
      <c r="D810" s="20"/>
      <c r="E810" s="39" t="s">
        <v>42</v>
      </c>
    </row>
    <row r="811" spans="1:5" x14ac:dyDescent="0.45">
      <c r="A811" s="40"/>
      <c r="B811" s="40" t="s">
        <v>71</v>
      </c>
      <c r="C811" s="40"/>
      <c r="D811" s="20"/>
      <c r="E811" s="39" t="s">
        <v>42</v>
      </c>
    </row>
    <row r="812" spans="1:5" x14ac:dyDescent="0.45">
      <c r="A812" s="40">
        <v>1723007686</v>
      </c>
      <c r="B812" s="40" t="s">
        <v>892</v>
      </c>
      <c r="C812" s="40">
        <v>2341783</v>
      </c>
      <c r="D812" s="20" t="s">
        <v>1218</v>
      </c>
      <c r="E812" s="39" t="s">
        <v>42</v>
      </c>
    </row>
    <row r="813" spans="1:5" x14ac:dyDescent="0.45">
      <c r="A813" s="40">
        <v>1709047482</v>
      </c>
      <c r="B813" s="40" t="s">
        <v>894</v>
      </c>
      <c r="C813" s="40">
        <v>995066792</v>
      </c>
      <c r="D813" s="20" t="s">
        <v>1219</v>
      </c>
      <c r="E813" s="39" t="s">
        <v>42</v>
      </c>
    </row>
    <row r="814" spans="1:5" x14ac:dyDescent="0.45">
      <c r="A814" s="58">
        <v>1705687948</v>
      </c>
      <c r="B814" s="40" t="s">
        <v>895</v>
      </c>
      <c r="C814" s="40"/>
      <c r="D814" s="20"/>
      <c r="E814" s="39" t="s">
        <v>42</v>
      </c>
    </row>
    <row r="815" spans="1:5" x14ac:dyDescent="0.45">
      <c r="A815" s="40">
        <v>1717991879</v>
      </c>
      <c r="B815" s="40" t="s">
        <v>896</v>
      </c>
      <c r="C815" s="44">
        <v>991330563</v>
      </c>
      <c r="D815" s="21" t="s">
        <v>1220</v>
      </c>
      <c r="E815" s="39" t="s">
        <v>42</v>
      </c>
    </row>
    <row r="816" spans="1:5" x14ac:dyDescent="0.45">
      <c r="A816" s="40">
        <v>1705996229</v>
      </c>
      <c r="B816" s="40" t="s">
        <v>897</v>
      </c>
      <c r="C816" s="40">
        <v>958891795</v>
      </c>
      <c r="D816" s="21" t="s">
        <v>1221</v>
      </c>
      <c r="E816" s="39" t="s">
        <v>42</v>
      </c>
    </row>
    <row r="817" spans="1:5" x14ac:dyDescent="0.45">
      <c r="A817" s="58">
        <v>1600377980</v>
      </c>
      <c r="B817" s="40" t="s">
        <v>830</v>
      </c>
      <c r="C817" s="40">
        <v>997520009</v>
      </c>
      <c r="D817" s="21" t="s">
        <v>1222</v>
      </c>
      <c r="E817" s="39" t="s">
        <v>42</v>
      </c>
    </row>
    <row r="818" spans="1:5" x14ac:dyDescent="0.45">
      <c r="A818" s="40">
        <v>1704180577</v>
      </c>
      <c r="B818" s="40" t="s">
        <v>898</v>
      </c>
      <c r="C818" s="40">
        <v>982267410</v>
      </c>
      <c r="D818" s="21" t="s">
        <v>1223</v>
      </c>
      <c r="E818" s="39" t="s">
        <v>42</v>
      </c>
    </row>
    <row r="819" spans="1:5" x14ac:dyDescent="0.45">
      <c r="A819" s="40">
        <v>1350764880</v>
      </c>
      <c r="B819" s="40" t="s">
        <v>899</v>
      </c>
      <c r="C819" s="40">
        <v>963942797</v>
      </c>
      <c r="D819" s="44" t="s">
        <v>1224</v>
      </c>
      <c r="E819" s="39" t="s">
        <v>42</v>
      </c>
    </row>
    <row r="820" spans="1:5" x14ac:dyDescent="0.45">
      <c r="A820" s="40">
        <v>1720921368</v>
      </c>
      <c r="B820" s="40" t="s">
        <v>900</v>
      </c>
      <c r="C820" s="40">
        <v>998583955</v>
      </c>
      <c r="D820" s="21" t="s">
        <v>1225</v>
      </c>
      <c r="E820" s="39" t="s">
        <v>42</v>
      </c>
    </row>
    <row r="821" spans="1:5" x14ac:dyDescent="0.45">
      <c r="A821" s="40">
        <v>1715780837</v>
      </c>
      <c r="B821" s="40" t="s">
        <v>901</v>
      </c>
      <c r="C821" s="44"/>
      <c r="D821" s="21" t="s">
        <v>1226</v>
      </c>
      <c r="E821" s="39" t="s">
        <v>42</v>
      </c>
    </row>
    <row r="822" spans="1:5" x14ac:dyDescent="0.45">
      <c r="A822" s="40">
        <v>1704180577</v>
      </c>
      <c r="B822" s="40" t="s">
        <v>903</v>
      </c>
      <c r="C822" s="40">
        <v>982267410</v>
      </c>
      <c r="D822" s="21" t="s">
        <v>1223</v>
      </c>
      <c r="E822" s="39" t="s">
        <v>42</v>
      </c>
    </row>
    <row r="823" spans="1:5" x14ac:dyDescent="0.45">
      <c r="A823" s="40">
        <v>1708000698</v>
      </c>
      <c r="B823" s="40" t="s">
        <v>905</v>
      </c>
      <c r="C823" s="44"/>
      <c r="D823" s="21" t="s">
        <v>1173</v>
      </c>
      <c r="E823" s="39" t="s">
        <v>42</v>
      </c>
    </row>
    <row r="824" spans="1:5" x14ac:dyDescent="0.45">
      <c r="A824" s="40">
        <v>1350764880</v>
      </c>
      <c r="B824" s="40" t="s">
        <v>906</v>
      </c>
      <c r="C824" s="44">
        <v>963942797</v>
      </c>
      <c r="D824" s="44" t="s">
        <v>1227</v>
      </c>
      <c r="E824" s="39" t="s">
        <v>42</v>
      </c>
    </row>
    <row r="825" spans="1:5" x14ac:dyDescent="0.45">
      <c r="A825" s="40">
        <v>1315499424</v>
      </c>
      <c r="B825" s="40" t="s">
        <v>908</v>
      </c>
      <c r="C825" s="44">
        <v>958664774</v>
      </c>
      <c r="D825" s="21" t="s">
        <v>1228</v>
      </c>
      <c r="E825" s="39" t="s">
        <v>42</v>
      </c>
    </row>
    <row r="826" spans="1:5" x14ac:dyDescent="0.45">
      <c r="A826" s="40">
        <v>1753633344</v>
      </c>
      <c r="B826" s="40" t="s">
        <v>909</v>
      </c>
      <c r="C826" s="44">
        <v>995652190</v>
      </c>
      <c r="D826" s="21" t="s">
        <v>1229</v>
      </c>
      <c r="E826" s="39" t="s">
        <v>42</v>
      </c>
    </row>
    <row r="827" spans="1:5" x14ac:dyDescent="0.45">
      <c r="A827" s="40">
        <v>1713498507</v>
      </c>
      <c r="B827" s="40" t="s">
        <v>913</v>
      </c>
      <c r="C827" s="44">
        <v>984878267</v>
      </c>
      <c r="D827" s="21" t="s">
        <v>1230</v>
      </c>
      <c r="E827" s="39" t="s">
        <v>42</v>
      </c>
    </row>
    <row r="828" spans="1:5" x14ac:dyDescent="0.45">
      <c r="A828" s="72">
        <v>800610388</v>
      </c>
      <c r="B828" s="72" t="s">
        <v>915</v>
      </c>
      <c r="C828" s="73">
        <v>983514810</v>
      </c>
      <c r="D828" s="34" t="s">
        <v>1231</v>
      </c>
      <c r="E828" s="39" t="s">
        <v>42</v>
      </c>
    </row>
    <row r="829" spans="1:5" x14ac:dyDescent="0.45">
      <c r="A829" s="72">
        <v>800610388</v>
      </c>
      <c r="B829" s="72" t="s">
        <v>916</v>
      </c>
      <c r="C829" s="73">
        <v>983514810</v>
      </c>
      <c r="D829" s="34" t="s">
        <v>1231</v>
      </c>
      <c r="E829" s="39" t="s">
        <v>42</v>
      </c>
    </row>
    <row r="830" spans="1:5" x14ac:dyDescent="0.45">
      <c r="B830" s="36" t="s">
        <v>751</v>
      </c>
      <c r="E830" s="39" t="s">
        <v>42</v>
      </c>
    </row>
    <row r="831" spans="1:5" x14ac:dyDescent="0.45">
      <c r="B831" s="36" t="s">
        <v>772</v>
      </c>
      <c r="E831" s="39" t="s">
        <v>42</v>
      </c>
    </row>
    <row r="832" spans="1:5" x14ac:dyDescent="0.45">
      <c r="B832" s="36" t="s">
        <v>918</v>
      </c>
      <c r="E832" s="39" t="s">
        <v>42</v>
      </c>
    </row>
    <row r="833" spans="1:5" x14ac:dyDescent="0.45">
      <c r="A833" s="36">
        <v>1721946067</v>
      </c>
      <c r="B833" s="36" t="s">
        <v>74</v>
      </c>
      <c r="C833" s="36">
        <v>997562221</v>
      </c>
      <c r="D833" s="34" t="s">
        <v>1026</v>
      </c>
      <c r="E833" s="39" t="s">
        <v>42</v>
      </c>
    </row>
    <row r="834" spans="1:5" x14ac:dyDescent="0.45">
      <c r="A834" s="36">
        <v>1721946067</v>
      </c>
      <c r="B834" s="36" t="s">
        <v>74</v>
      </c>
      <c r="C834" s="36">
        <v>997562221</v>
      </c>
      <c r="D834" s="34" t="s">
        <v>1026</v>
      </c>
      <c r="E834" s="39" t="s">
        <v>42</v>
      </c>
    </row>
    <row r="835" spans="1:5" x14ac:dyDescent="0.45">
      <c r="A835" s="36">
        <v>1719932079</v>
      </c>
      <c r="B835" s="36" t="s">
        <v>921</v>
      </c>
      <c r="C835" s="36">
        <v>987510455</v>
      </c>
      <c r="E835" s="39" t="s">
        <v>42</v>
      </c>
    </row>
    <row r="836" spans="1:5" x14ac:dyDescent="0.45">
      <c r="A836" s="36">
        <v>1716497159</v>
      </c>
      <c r="B836" s="36" t="s">
        <v>608</v>
      </c>
      <c r="C836" s="36">
        <v>991951765</v>
      </c>
      <c r="D836" s="34" t="s">
        <v>1096</v>
      </c>
      <c r="E836" s="39" t="s">
        <v>42</v>
      </c>
    </row>
    <row r="837" spans="1:5" x14ac:dyDescent="0.45">
      <c r="A837" s="36">
        <v>1725899734</v>
      </c>
      <c r="B837" s="36" t="s">
        <v>924</v>
      </c>
      <c r="C837" s="36">
        <v>984108310</v>
      </c>
      <c r="D837" s="34" t="s">
        <v>1232</v>
      </c>
      <c r="E837" s="39" t="s">
        <v>42</v>
      </c>
    </row>
    <row r="838" spans="1:5" x14ac:dyDescent="0.45">
      <c r="A838" s="36">
        <v>1317975173</v>
      </c>
      <c r="B838" s="36" t="s">
        <v>926</v>
      </c>
      <c r="C838" s="36">
        <v>984412304</v>
      </c>
      <c r="D838" s="34" t="s">
        <v>1233</v>
      </c>
      <c r="E838" s="39" t="s">
        <v>42</v>
      </c>
    </row>
    <row r="839" spans="1:5" x14ac:dyDescent="0.45">
      <c r="A839" s="36">
        <v>60466193</v>
      </c>
      <c r="B839" s="36" t="s">
        <v>928</v>
      </c>
      <c r="C839" s="36">
        <v>963569877</v>
      </c>
      <c r="D839" s="34" t="s">
        <v>1234</v>
      </c>
      <c r="E839" s="39" t="s">
        <v>42</v>
      </c>
    </row>
    <row r="840" spans="1:5" x14ac:dyDescent="0.45">
      <c r="A840" s="36">
        <v>502138340</v>
      </c>
      <c r="B840" s="36" t="s">
        <v>929</v>
      </c>
      <c r="C840" s="36">
        <v>996439669</v>
      </c>
      <c r="D840" s="34" t="s">
        <v>1235</v>
      </c>
      <c r="E840" s="39" t="s">
        <v>42</v>
      </c>
    </row>
    <row r="841" spans="1:5" x14ac:dyDescent="0.45">
      <c r="A841" s="36">
        <v>502138340</v>
      </c>
      <c r="B841" s="36" t="s">
        <v>929</v>
      </c>
      <c r="C841" s="36">
        <v>996439669</v>
      </c>
      <c r="D841" s="34" t="s">
        <v>1235</v>
      </c>
      <c r="E841" s="39" t="s">
        <v>42</v>
      </c>
    </row>
    <row r="842" spans="1:5" x14ac:dyDescent="0.45">
      <c r="A842" s="36">
        <v>930394861</v>
      </c>
      <c r="B842" s="36" t="s">
        <v>697</v>
      </c>
      <c r="C842" s="36">
        <v>967477481</v>
      </c>
      <c r="D842" s="34" t="s">
        <v>1236</v>
      </c>
      <c r="E842" s="39" t="s">
        <v>42</v>
      </c>
    </row>
    <row r="843" spans="1:5" x14ac:dyDescent="0.45">
      <c r="A843" s="36">
        <v>930394861</v>
      </c>
      <c r="B843" s="36" t="s">
        <v>697</v>
      </c>
      <c r="C843" s="36">
        <v>967477481</v>
      </c>
      <c r="D843" s="34" t="s">
        <v>1236</v>
      </c>
      <c r="E843" s="39" t="s">
        <v>42</v>
      </c>
    </row>
    <row r="844" spans="1:5" x14ac:dyDescent="0.45">
      <c r="A844" s="36">
        <v>1714348651</v>
      </c>
      <c r="B844" s="36" t="s">
        <v>931</v>
      </c>
      <c r="C844" s="36">
        <v>997767882</v>
      </c>
      <c r="D844" s="34" t="s">
        <v>1237</v>
      </c>
      <c r="E844" s="39" t="s">
        <v>42</v>
      </c>
    </row>
    <row r="845" spans="1:5" x14ac:dyDescent="0.45">
      <c r="A845" s="36">
        <v>1801336106</v>
      </c>
      <c r="B845" s="36" t="s">
        <v>932</v>
      </c>
      <c r="C845" s="36">
        <v>998371527</v>
      </c>
      <c r="D845" s="34" t="s">
        <v>1238</v>
      </c>
      <c r="E845" s="39" t="s">
        <v>42</v>
      </c>
    </row>
    <row r="846" spans="1:5" x14ac:dyDescent="0.45">
      <c r="A846" s="36">
        <v>1712750023</v>
      </c>
      <c r="B846" s="36" t="s">
        <v>933</v>
      </c>
      <c r="C846" s="36">
        <v>993547192</v>
      </c>
      <c r="D846" s="34" t="s">
        <v>1239</v>
      </c>
      <c r="E846" s="39" t="s">
        <v>42</v>
      </c>
    </row>
    <row r="847" spans="1:5" x14ac:dyDescent="0.45">
      <c r="A847" s="36">
        <v>1722909361</v>
      </c>
      <c r="B847" s="36" t="s">
        <v>935</v>
      </c>
      <c r="C847" s="36">
        <v>939541882</v>
      </c>
      <c r="D847" s="34" t="s">
        <v>1240</v>
      </c>
      <c r="E847" s="39" t="s">
        <v>42</v>
      </c>
    </row>
    <row r="848" spans="1:5" x14ac:dyDescent="0.45">
      <c r="A848" s="36">
        <v>1712750023</v>
      </c>
      <c r="B848" s="36" t="s">
        <v>933</v>
      </c>
      <c r="C848" s="36">
        <v>993547192</v>
      </c>
      <c r="D848" s="34" t="s">
        <v>1239</v>
      </c>
      <c r="E848" s="39" t="s">
        <v>42</v>
      </c>
    </row>
    <row r="849" spans="1:5" x14ac:dyDescent="0.45">
      <c r="A849" s="36">
        <v>1717932964</v>
      </c>
      <c r="B849" s="36" t="s">
        <v>882</v>
      </c>
      <c r="C849" s="36">
        <v>995403522</v>
      </c>
      <c r="D849" s="34" t="s">
        <v>1210</v>
      </c>
      <c r="E849" s="39" t="s">
        <v>42</v>
      </c>
    </row>
    <row r="850" spans="1:5" x14ac:dyDescent="0.45">
      <c r="A850" s="36">
        <v>1717151136</v>
      </c>
      <c r="B850" s="36" t="s">
        <v>939</v>
      </c>
      <c r="C850" s="36">
        <v>987066415</v>
      </c>
      <c r="D850" s="34" t="s">
        <v>1241</v>
      </c>
      <c r="E850" s="39" t="s">
        <v>42</v>
      </c>
    </row>
    <row r="851" spans="1:5" x14ac:dyDescent="0.45">
      <c r="A851" s="36">
        <v>1756301618</v>
      </c>
      <c r="B851" s="36" t="s">
        <v>941</v>
      </c>
      <c r="C851" s="36">
        <v>987761571</v>
      </c>
      <c r="D851" s="34" t="s">
        <v>1242</v>
      </c>
      <c r="E851" s="39" t="s">
        <v>42</v>
      </c>
    </row>
    <row r="852" spans="1:5" x14ac:dyDescent="0.45">
      <c r="A852" s="36">
        <v>1723424790</v>
      </c>
      <c r="B852" s="36" t="s">
        <v>439</v>
      </c>
      <c r="C852" s="36">
        <v>998142119</v>
      </c>
      <c r="D852" s="34" t="s">
        <v>1243</v>
      </c>
      <c r="E852" s="39" t="s">
        <v>42</v>
      </c>
    </row>
    <row r="853" spans="1:5" x14ac:dyDescent="0.45">
      <c r="A853" s="36">
        <v>1723424790</v>
      </c>
      <c r="B853" s="36" t="s">
        <v>439</v>
      </c>
      <c r="C853" s="36">
        <v>998142119</v>
      </c>
      <c r="D853" s="34" t="s">
        <v>1243</v>
      </c>
      <c r="E853" s="39" t="s">
        <v>42</v>
      </c>
    </row>
    <row r="854" spans="1:5" x14ac:dyDescent="0.45">
      <c r="A854" s="36">
        <v>1756301618</v>
      </c>
      <c r="B854" s="36" t="s">
        <v>941</v>
      </c>
      <c r="C854" s="36">
        <v>987761571</v>
      </c>
      <c r="D854" s="34" t="s">
        <v>1242</v>
      </c>
      <c r="E854" s="39" t="s">
        <v>42</v>
      </c>
    </row>
    <row r="855" spans="1:5" x14ac:dyDescent="0.45">
      <c r="A855" s="36">
        <v>1718093238</v>
      </c>
      <c r="B855" s="36" t="s">
        <v>486</v>
      </c>
      <c r="C855" s="36">
        <v>959997754</v>
      </c>
      <c r="D855" s="34" t="s">
        <v>1078</v>
      </c>
      <c r="E855" s="39" t="s">
        <v>42</v>
      </c>
    </row>
    <row r="856" spans="1:5" x14ac:dyDescent="0.45">
      <c r="A856" s="36">
        <v>1725206369</v>
      </c>
      <c r="B856" s="36" t="s">
        <v>945</v>
      </c>
      <c r="C856" s="36">
        <v>992433299</v>
      </c>
      <c r="D856" s="34" t="s">
        <v>1244</v>
      </c>
      <c r="E856" s="39" t="s">
        <v>42</v>
      </c>
    </row>
    <row r="857" spans="1:5" x14ac:dyDescent="0.45">
      <c r="A857" s="36">
        <v>1725206369</v>
      </c>
      <c r="B857" s="36" t="s">
        <v>945</v>
      </c>
      <c r="C857" s="36">
        <v>992433299</v>
      </c>
      <c r="D857" s="34" t="s">
        <v>1244</v>
      </c>
      <c r="E857" s="39" t="s">
        <v>42</v>
      </c>
    </row>
    <row r="858" spans="1:5" x14ac:dyDescent="0.45">
      <c r="A858" s="36">
        <v>1725206369</v>
      </c>
      <c r="B858" s="36" t="s">
        <v>945</v>
      </c>
      <c r="C858" s="36">
        <v>992433299</v>
      </c>
      <c r="D858" s="34" t="s">
        <v>1244</v>
      </c>
      <c r="E858" s="39" t="s">
        <v>42</v>
      </c>
    </row>
    <row r="859" spans="1:5" x14ac:dyDescent="0.45">
      <c r="B859" s="36" t="s">
        <v>949</v>
      </c>
      <c r="D859" s="35"/>
      <c r="E859" s="39" t="s">
        <v>42</v>
      </c>
    </row>
    <row r="860" spans="1:5" x14ac:dyDescent="0.45">
      <c r="A860" s="36">
        <v>1752842184</v>
      </c>
      <c r="B860" s="36" t="s">
        <v>950</v>
      </c>
      <c r="C860" s="36">
        <v>983702942</v>
      </c>
      <c r="D860" s="34" t="s">
        <v>1245</v>
      </c>
      <c r="E860" s="39" t="s">
        <v>42</v>
      </c>
    </row>
    <row r="861" spans="1:5" x14ac:dyDescent="0.45">
      <c r="A861" s="36">
        <v>1751554377</v>
      </c>
      <c r="B861" s="36" t="s">
        <v>951</v>
      </c>
      <c r="C861" s="36">
        <v>987186254</v>
      </c>
      <c r="D861" s="34" t="s">
        <v>1246</v>
      </c>
      <c r="E861" s="39" t="s">
        <v>42</v>
      </c>
    </row>
    <row r="862" spans="1:5" x14ac:dyDescent="0.45">
      <c r="A862" s="36">
        <v>1718764119</v>
      </c>
      <c r="B862" s="36" t="s">
        <v>645</v>
      </c>
      <c r="C862" s="36">
        <v>999380328</v>
      </c>
      <c r="D862" s="34" t="s">
        <v>1009</v>
      </c>
      <c r="E862" s="39" t="s">
        <v>42</v>
      </c>
    </row>
    <row r="863" spans="1:5" x14ac:dyDescent="0.45">
      <c r="A863" s="36">
        <v>1718764119</v>
      </c>
      <c r="B863" s="36" t="s">
        <v>645</v>
      </c>
      <c r="C863" s="36">
        <v>999380328</v>
      </c>
      <c r="D863" s="34" t="s">
        <v>1009</v>
      </c>
      <c r="E863" s="39" t="s">
        <v>42</v>
      </c>
    </row>
    <row r="864" spans="1:5" x14ac:dyDescent="0.45">
      <c r="A864" s="36">
        <v>1718764119</v>
      </c>
      <c r="B864" s="36" t="s">
        <v>645</v>
      </c>
      <c r="C864" s="36">
        <v>999380328</v>
      </c>
      <c r="D864" s="34" t="s">
        <v>1009</v>
      </c>
      <c r="E864" s="39" t="s">
        <v>42</v>
      </c>
    </row>
    <row r="865" spans="1:5" x14ac:dyDescent="0.45">
      <c r="A865" s="36">
        <v>1718764119</v>
      </c>
      <c r="B865" s="36" t="s">
        <v>645</v>
      </c>
      <c r="C865" s="36">
        <v>999380328</v>
      </c>
      <c r="D865" s="34" t="s">
        <v>1009</v>
      </c>
      <c r="E865" s="39" t="s">
        <v>42</v>
      </c>
    </row>
    <row r="866" spans="1:5" x14ac:dyDescent="0.45">
      <c r="A866" s="36">
        <v>1718764119</v>
      </c>
      <c r="B866" s="36" t="s">
        <v>645</v>
      </c>
      <c r="C866" s="36">
        <v>999380328</v>
      </c>
      <c r="D866" s="34" t="s">
        <v>1009</v>
      </c>
      <c r="E866" s="39" t="s">
        <v>42</v>
      </c>
    </row>
    <row r="867" spans="1:5" x14ac:dyDescent="0.45">
      <c r="A867" s="36">
        <v>2000054730</v>
      </c>
      <c r="B867" s="36" t="s">
        <v>953</v>
      </c>
      <c r="C867" s="36">
        <v>994075804</v>
      </c>
      <c r="D867" s="34" t="s">
        <v>1247</v>
      </c>
      <c r="E867" s="39" t="s">
        <v>42</v>
      </c>
    </row>
    <row r="868" spans="1:5" x14ac:dyDescent="0.45">
      <c r="A868" s="36">
        <v>2000054730</v>
      </c>
      <c r="B868" s="36" t="s">
        <v>953</v>
      </c>
      <c r="C868" s="36">
        <v>994075804</v>
      </c>
      <c r="D868" s="34" t="s">
        <v>1247</v>
      </c>
      <c r="E868" s="39" t="s">
        <v>42</v>
      </c>
    </row>
    <row r="869" spans="1:5" x14ac:dyDescent="0.45">
      <c r="A869" s="36">
        <v>1724355944</v>
      </c>
      <c r="B869" s="36" t="s">
        <v>954</v>
      </c>
      <c r="C869" s="36">
        <v>984932066</v>
      </c>
      <c r="D869" s="34" t="s">
        <v>1248</v>
      </c>
      <c r="E869" s="39" t="s">
        <v>42</v>
      </c>
    </row>
    <row r="870" spans="1:5" x14ac:dyDescent="0.45">
      <c r="E870" s="39" t="s">
        <v>42</v>
      </c>
    </row>
    <row r="871" spans="1:5" x14ac:dyDescent="0.45">
      <c r="A871" s="36">
        <v>1714735311</v>
      </c>
      <c r="B871" s="36" t="s">
        <v>955</v>
      </c>
      <c r="C871" s="36">
        <v>987779851</v>
      </c>
      <c r="D871" s="34" t="s">
        <v>1249</v>
      </c>
      <c r="E871" s="39" t="s">
        <v>42</v>
      </c>
    </row>
    <row r="872" spans="1:5" x14ac:dyDescent="0.45">
      <c r="A872" s="36">
        <v>1724076037</v>
      </c>
      <c r="B872" s="36" t="s">
        <v>957</v>
      </c>
      <c r="C872" s="36">
        <v>984912381</v>
      </c>
      <c r="D872" s="34" t="s">
        <v>1250</v>
      </c>
      <c r="E872" s="39" t="s">
        <v>42</v>
      </c>
    </row>
    <row r="873" spans="1:5" x14ac:dyDescent="0.45">
      <c r="A873" s="36">
        <v>401388814</v>
      </c>
      <c r="B873" s="36" t="s">
        <v>734</v>
      </c>
      <c r="C873" s="36">
        <v>987346064</v>
      </c>
      <c r="D873" s="34" t="s">
        <v>1150</v>
      </c>
      <c r="E873" s="39" t="s">
        <v>42</v>
      </c>
    </row>
    <row r="874" spans="1:5" x14ac:dyDescent="0.45">
      <c r="B874" s="36" t="s">
        <v>959</v>
      </c>
      <c r="E874" s="39" t="s">
        <v>42</v>
      </c>
    </row>
    <row r="875" spans="1:5" x14ac:dyDescent="0.45">
      <c r="B875" s="36" t="s">
        <v>961</v>
      </c>
      <c r="C875" s="36">
        <v>983325288</v>
      </c>
      <c r="D875" s="34" t="s">
        <v>1251</v>
      </c>
      <c r="E875" s="39" t="s">
        <v>42</v>
      </c>
    </row>
    <row r="876" spans="1:5" x14ac:dyDescent="0.45">
      <c r="A876" s="36">
        <v>1716954423</v>
      </c>
      <c r="B876" s="36" t="s">
        <v>710</v>
      </c>
      <c r="C876" s="36">
        <v>984634793</v>
      </c>
      <c r="D876" s="34" t="s">
        <v>1252</v>
      </c>
      <c r="E876" s="39" t="s">
        <v>42</v>
      </c>
    </row>
    <row r="877" spans="1:5" x14ac:dyDescent="0.45">
      <c r="B877" s="36" t="s">
        <v>962</v>
      </c>
      <c r="C877" s="36">
        <v>992949688</v>
      </c>
      <c r="D877" s="34" t="s">
        <v>1253</v>
      </c>
      <c r="E877" s="39" t="s">
        <v>42</v>
      </c>
    </row>
    <row r="878" spans="1:5" x14ac:dyDescent="0.45">
      <c r="B878" s="36" t="s">
        <v>963</v>
      </c>
      <c r="C878" s="36">
        <v>958859443</v>
      </c>
      <c r="D878" s="34" t="s">
        <v>1254</v>
      </c>
      <c r="E878" s="39" t="s">
        <v>42</v>
      </c>
    </row>
    <row r="879" spans="1:5" x14ac:dyDescent="0.45">
      <c r="B879" s="36" t="s">
        <v>963</v>
      </c>
      <c r="C879" s="36">
        <v>958859443</v>
      </c>
      <c r="D879" s="34" t="s">
        <v>1254</v>
      </c>
      <c r="E879" s="39" t="s">
        <v>42</v>
      </c>
    </row>
    <row r="880" spans="1:5" x14ac:dyDescent="0.45">
      <c r="A880" s="74">
        <v>1750095802</v>
      </c>
      <c r="B880" s="74" t="s">
        <v>965</v>
      </c>
      <c r="C880" s="36">
        <v>960296996</v>
      </c>
      <c r="D880" s="34" t="s">
        <v>1255</v>
      </c>
      <c r="E880" s="39" t="s">
        <v>42</v>
      </c>
    </row>
    <row r="881" spans="1:5" x14ac:dyDescent="0.45">
      <c r="A881" s="36">
        <v>1707779961</v>
      </c>
      <c r="B881" s="36" t="s">
        <v>966</v>
      </c>
      <c r="C881" s="36">
        <v>999600900</v>
      </c>
      <c r="E881" s="39" t="s">
        <v>42</v>
      </c>
    </row>
    <row r="882" spans="1:5" x14ac:dyDescent="0.45">
      <c r="A882" s="36">
        <v>1707779961</v>
      </c>
      <c r="B882" s="36" t="s">
        <v>966</v>
      </c>
      <c r="C882" s="36">
        <v>999600900</v>
      </c>
      <c r="E882" s="39" t="s">
        <v>42</v>
      </c>
    </row>
    <row r="883" spans="1:5" x14ac:dyDescent="0.45">
      <c r="B883" s="36" t="s">
        <v>71</v>
      </c>
      <c r="E883" s="39" t="s">
        <v>42</v>
      </c>
    </row>
    <row r="884" spans="1:5" x14ac:dyDescent="0.45">
      <c r="A884" s="36">
        <v>1709047482</v>
      </c>
      <c r="B884" s="36" t="s">
        <v>967</v>
      </c>
      <c r="C884" s="36">
        <v>995066742</v>
      </c>
      <c r="D884" s="36" t="s">
        <v>1256</v>
      </c>
      <c r="E884" s="39" t="s">
        <v>42</v>
      </c>
    </row>
    <row r="885" spans="1:5" x14ac:dyDescent="0.45">
      <c r="B885" s="36" t="s">
        <v>968</v>
      </c>
      <c r="E885" s="39" t="s">
        <v>42</v>
      </c>
    </row>
    <row r="886" spans="1:5" x14ac:dyDescent="0.45">
      <c r="A886" s="36">
        <v>1719118695</v>
      </c>
      <c r="B886" s="36" t="s">
        <v>347</v>
      </c>
      <c r="C886" s="36">
        <v>984163500</v>
      </c>
      <c r="D886" s="34" t="s">
        <v>1037</v>
      </c>
      <c r="E886" s="39" t="s">
        <v>42</v>
      </c>
    </row>
    <row r="887" spans="1:5" x14ac:dyDescent="0.45">
      <c r="A887" s="36">
        <v>1715072128</v>
      </c>
      <c r="B887" s="36" t="s">
        <v>970</v>
      </c>
      <c r="C887" s="36">
        <v>98413152</v>
      </c>
      <c r="D887" s="34" t="s">
        <v>1257</v>
      </c>
      <c r="E887" s="39" t="s">
        <v>42</v>
      </c>
    </row>
    <row r="888" spans="1:5" x14ac:dyDescent="0.45">
      <c r="B888" s="36" t="s">
        <v>971</v>
      </c>
      <c r="E888" s="39" t="s">
        <v>42</v>
      </c>
    </row>
    <row r="889" spans="1:5" x14ac:dyDescent="0.45">
      <c r="A889" s="36">
        <v>1721946067</v>
      </c>
      <c r="B889" s="36" t="s">
        <v>74</v>
      </c>
      <c r="C889" s="36">
        <v>997562221</v>
      </c>
      <c r="D889" s="34" t="s">
        <v>1049</v>
      </c>
      <c r="E889" s="39" t="s">
        <v>42</v>
      </c>
    </row>
    <row r="890" spans="1:5" x14ac:dyDescent="0.45">
      <c r="A890" s="36">
        <v>1721946067</v>
      </c>
      <c r="B890" s="36" t="s">
        <v>74</v>
      </c>
      <c r="C890" s="36">
        <v>997562221</v>
      </c>
      <c r="D890" s="34" t="s">
        <v>1049</v>
      </c>
      <c r="E890" s="39" t="s">
        <v>42</v>
      </c>
    </row>
    <row r="891" spans="1:5" x14ac:dyDescent="0.45">
      <c r="A891" s="36">
        <v>1716971575</v>
      </c>
      <c r="B891" s="36" t="s">
        <v>975</v>
      </c>
      <c r="C891" s="36">
        <v>984073409</v>
      </c>
      <c r="D891" s="34" t="s">
        <v>1258</v>
      </c>
      <c r="E891" s="39" t="s">
        <v>42</v>
      </c>
    </row>
    <row r="892" spans="1:5" x14ac:dyDescent="0.45">
      <c r="A892" s="36">
        <v>1716971575</v>
      </c>
      <c r="B892" s="36" t="s">
        <v>975</v>
      </c>
      <c r="C892" s="36">
        <v>984073409</v>
      </c>
      <c r="D892" s="34" t="s">
        <v>1258</v>
      </c>
      <c r="E892" s="39" t="s">
        <v>42</v>
      </c>
    </row>
    <row r="893" spans="1:5" x14ac:dyDescent="0.45">
      <c r="A893" s="36">
        <v>601166193</v>
      </c>
      <c r="B893" s="36" t="s">
        <v>928</v>
      </c>
      <c r="C893" s="36">
        <v>963569877</v>
      </c>
      <c r="D893" s="34" t="s">
        <v>1234</v>
      </c>
      <c r="E893" s="39" t="s">
        <v>42</v>
      </c>
    </row>
    <row r="894" spans="1:5" x14ac:dyDescent="0.45">
      <c r="B894" s="36" t="s">
        <v>267</v>
      </c>
      <c r="D894" s="34"/>
      <c r="E894" s="39" t="s">
        <v>42</v>
      </c>
    </row>
    <row r="895" spans="1:5" x14ac:dyDescent="0.45">
      <c r="B895" s="36" t="s">
        <v>751</v>
      </c>
      <c r="C895" s="36">
        <v>983815656</v>
      </c>
      <c r="D895" s="36" t="s">
        <v>1259</v>
      </c>
      <c r="E895" s="39" t="s">
        <v>42</v>
      </c>
    </row>
    <row r="896" spans="1:5" x14ac:dyDescent="0.45">
      <c r="A896" s="36">
        <v>1721675153</v>
      </c>
      <c r="B896" s="36" t="s">
        <v>426</v>
      </c>
      <c r="C896" s="36">
        <v>992877753</v>
      </c>
      <c r="D896" s="34" t="s">
        <v>1260</v>
      </c>
      <c r="E896" s="39" t="s">
        <v>42</v>
      </c>
    </row>
    <row r="897" spans="1:5" x14ac:dyDescent="0.45">
      <c r="A897" s="36">
        <v>1712991023</v>
      </c>
      <c r="B897" s="36" t="s">
        <v>977</v>
      </c>
      <c r="C897" s="36">
        <v>958970192</v>
      </c>
      <c r="D897" s="34" t="s">
        <v>1109</v>
      </c>
      <c r="E897" s="39" t="s">
        <v>42</v>
      </c>
    </row>
    <row r="898" spans="1:5" x14ac:dyDescent="0.45">
      <c r="A898" s="36">
        <v>1719320655</v>
      </c>
      <c r="B898" s="36" t="s">
        <v>978</v>
      </c>
      <c r="C898" s="36">
        <v>969043463</v>
      </c>
      <c r="D898" s="34" t="s">
        <v>1261</v>
      </c>
      <c r="E898" s="39" t="s">
        <v>42</v>
      </c>
    </row>
    <row r="899" spans="1:5" x14ac:dyDescent="0.45">
      <c r="A899" s="36">
        <v>1721555850</v>
      </c>
      <c r="B899" s="36" t="s">
        <v>891</v>
      </c>
      <c r="C899" s="36">
        <v>997942349</v>
      </c>
      <c r="D899" s="34" t="s">
        <v>1262</v>
      </c>
      <c r="E899" s="39" t="s">
        <v>42</v>
      </c>
    </row>
    <row r="900" spans="1:5" x14ac:dyDescent="0.45">
      <c r="A900" s="36">
        <v>1714650379</v>
      </c>
      <c r="B900" s="36" t="s">
        <v>637</v>
      </c>
      <c r="C900" s="36">
        <v>982663163</v>
      </c>
      <c r="D900" s="34" t="s">
        <v>1263</v>
      </c>
      <c r="E900" s="39" t="s">
        <v>42</v>
      </c>
    </row>
    <row r="901" spans="1:5" x14ac:dyDescent="0.45">
      <c r="A901" s="36">
        <v>1726893504</v>
      </c>
      <c r="B901" s="36" t="s">
        <v>981</v>
      </c>
      <c r="C901" s="36">
        <v>987043550</v>
      </c>
      <c r="D901" s="34" t="s">
        <v>1264</v>
      </c>
      <c r="E901" s="39" t="s">
        <v>42</v>
      </c>
    </row>
    <row r="902" spans="1:5" x14ac:dyDescent="0.45">
      <c r="A902" s="36">
        <v>179952289</v>
      </c>
      <c r="B902" s="36" t="s">
        <v>982</v>
      </c>
      <c r="C902" s="36">
        <v>973943694</v>
      </c>
      <c r="D902" s="34" t="s">
        <v>1265</v>
      </c>
      <c r="E902" s="39" t="s">
        <v>42</v>
      </c>
    </row>
    <row r="903" spans="1:5" x14ac:dyDescent="0.45">
      <c r="A903" s="36">
        <v>179952289</v>
      </c>
      <c r="B903" s="36" t="s">
        <v>982</v>
      </c>
      <c r="C903" s="36">
        <v>973943694</v>
      </c>
      <c r="D903" s="34" t="s">
        <v>1265</v>
      </c>
      <c r="E903" s="39" t="s">
        <v>42</v>
      </c>
    </row>
    <row r="904" spans="1:5" x14ac:dyDescent="0.45">
      <c r="A904" s="36">
        <v>1707963227</v>
      </c>
      <c r="B904" s="36" t="s">
        <v>77</v>
      </c>
      <c r="C904" s="36">
        <v>962842721</v>
      </c>
      <c r="D904" s="34" t="s">
        <v>1008</v>
      </c>
      <c r="E904" s="39" t="s">
        <v>42</v>
      </c>
    </row>
    <row r="905" spans="1:5" x14ac:dyDescent="0.45">
      <c r="A905" s="36">
        <v>930394861</v>
      </c>
      <c r="B905" s="36" t="s">
        <v>983</v>
      </c>
      <c r="C905" s="36">
        <v>967477481</v>
      </c>
      <c r="D905" s="34" t="s">
        <v>1236</v>
      </c>
      <c r="E905" s="39" t="s">
        <v>42</v>
      </c>
    </row>
    <row r="906" spans="1:5" x14ac:dyDescent="0.45">
      <c r="A906" s="36">
        <v>1753278652</v>
      </c>
      <c r="B906" s="36" t="s">
        <v>984</v>
      </c>
      <c r="C906" s="36">
        <v>987131214</v>
      </c>
      <c r="D906" s="34" t="s">
        <v>1147</v>
      </c>
      <c r="E906" s="39" t="s">
        <v>42</v>
      </c>
    </row>
    <row r="907" spans="1:5" x14ac:dyDescent="0.45">
      <c r="A907" s="36">
        <v>1716270929</v>
      </c>
      <c r="B907" s="36" t="s">
        <v>985</v>
      </c>
      <c r="C907" s="36">
        <v>984913319</v>
      </c>
      <c r="D907" s="34" t="s">
        <v>1129</v>
      </c>
      <c r="E907" s="39" t="s">
        <v>42</v>
      </c>
    </row>
    <row r="908" spans="1:5" x14ac:dyDescent="0.45">
      <c r="A908" s="36">
        <v>1716270929</v>
      </c>
      <c r="B908" s="36" t="s">
        <v>985</v>
      </c>
      <c r="C908" s="36">
        <v>984913319</v>
      </c>
      <c r="D908" s="34" t="s">
        <v>1129</v>
      </c>
      <c r="E908" s="39" t="s">
        <v>42</v>
      </c>
    </row>
    <row r="909" spans="1:5" x14ac:dyDescent="0.45">
      <c r="B909" s="36" t="s">
        <v>986</v>
      </c>
      <c r="E909" s="39" t="s">
        <v>42</v>
      </c>
    </row>
    <row r="910" spans="1:5" x14ac:dyDescent="0.45">
      <c r="A910" s="36">
        <v>1713498507</v>
      </c>
      <c r="B910" s="36" t="s">
        <v>987</v>
      </c>
      <c r="C910" s="36">
        <v>984878267</v>
      </c>
      <c r="D910" s="34" t="s">
        <v>1266</v>
      </c>
      <c r="E910" s="39" t="s">
        <v>42</v>
      </c>
    </row>
    <row r="911" spans="1:5" x14ac:dyDescent="0.45">
      <c r="A911" s="36">
        <v>1713498507</v>
      </c>
      <c r="B911" s="36" t="s">
        <v>987</v>
      </c>
      <c r="C911" s="36">
        <v>984878267</v>
      </c>
      <c r="D911" s="34" t="s">
        <v>1266</v>
      </c>
      <c r="E911" s="39" t="s">
        <v>42</v>
      </c>
    </row>
    <row r="912" spans="1:5" x14ac:dyDescent="0.45">
      <c r="A912" s="36">
        <v>1720921368</v>
      </c>
      <c r="B912" s="36" t="s">
        <v>988</v>
      </c>
      <c r="C912" s="36">
        <v>998583955</v>
      </c>
      <c r="D912" s="34" t="s">
        <v>1225</v>
      </c>
      <c r="E912" s="39" t="s">
        <v>42</v>
      </c>
    </row>
    <row r="913" spans="1:5" x14ac:dyDescent="0.45">
      <c r="A913" s="36">
        <v>1751817857</v>
      </c>
      <c r="B913" s="36" t="s">
        <v>989</v>
      </c>
      <c r="C913" s="36">
        <v>992802984</v>
      </c>
      <c r="D913" s="34" t="s">
        <v>1267</v>
      </c>
      <c r="E913" s="39" t="s">
        <v>42</v>
      </c>
    </row>
    <row r="914" spans="1:5" x14ac:dyDescent="0.45">
      <c r="A914" s="36">
        <v>1707733745</v>
      </c>
      <c r="B914" s="36" t="s">
        <v>991</v>
      </c>
      <c r="C914" s="36">
        <v>989420590</v>
      </c>
      <c r="E914" s="39" t="s">
        <v>42</v>
      </c>
    </row>
    <row r="915" spans="1:5" x14ac:dyDescent="0.45">
      <c r="A915" s="36">
        <v>1705676912001</v>
      </c>
      <c r="B915" s="36" t="s">
        <v>993</v>
      </c>
      <c r="C915" s="36">
        <v>992526658</v>
      </c>
      <c r="D915" s="34" t="s">
        <v>1268</v>
      </c>
      <c r="E915" s="39" t="s">
        <v>42</v>
      </c>
    </row>
    <row r="916" spans="1:5" x14ac:dyDescent="0.45">
      <c r="A916" s="36">
        <v>1714735311</v>
      </c>
      <c r="B916" s="36" t="s">
        <v>995</v>
      </c>
      <c r="C916" s="36">
        <v>987779851</v>
      </c>
      <c r="D916" s="34" t="s">
        <v>1249</v>
      </c>
      <c r="E916" s="39" t="s">
        <v>42</v>
      </c>
    </row>
    <row r="917" spans="1:5" x14ac:dyDescent="0.45">
      <c r="B917" s="36" t="s">
        <v>996</v>
      </c>
      <c r="C917" s="36">
        <v>963651967</v>
      </c>
      <c r="D917" s="36" t="s">
        <v>1269</v>
      </c>
      <c r="E917" s="39" t="s">
        <v>42</v>
      </c>
    </row>
    <row r="918" spans="1:5" x14ac:dyDescent="0.45">
      <c r="A918" s="36">
        <v>1713498507</v>
      </c>
      <c r="B918" s="36" t="s">
        <v>998</v>
      </c>
      <c r="C918" s="36">
        <v>984878267</v>
      </c>
      <c r="D918" s="34" t="s">
        <v>1266</v>
      </c>
      <c r="E918" s="39" t="s">
        <v>42</v>
      </c>
    </row>
    <row r="919" spans="1:5" x14ac:dyDescent="0.45">
      <c r="A919" s="36">
        <v>1713498507</v>
      </c>
      <c r="B919" s="36" t="s">
        <v>1000</v>
      </c>
      <c r="C919" s="36">
        <v>984878267</v>
      </c>
      <c r="D919" s="34" t="s">
        <v>1266</v>
      </c>
      <c r="E919" s="39" t="s">
        <v>42</v>
      </c>
    </row>
    <row r="920" spans="1:5" x14ac:dyDescent="0.45">
      <c r="A920" s="36">
        <v>1720226214</v>
      </c>
      <c r="B920" s="36" t="s">
        <v>772</v>
      </c>
      <c r="C920" s="36">
        <v>984342245</v>
      </c>
      <c r="D920" s="34" t="s">
        <v>1169</v>
      </c>
      <c r="E920" s="39" t="s">
        <v>42</v>
      </c>
    </row>
    <row r="921" spans="1:5" x14ac:dyDescent="0.45">
      <c r="A921" s="36">
        <v>1720226214</v>
      </c>
      <c r="B921" s="36" t="s">
        <v>772</v>
      </c>
      <c r="C921" s="36">
        <v>984342245</v>
      </c>
      <c r="D921" s="34" t="s">
        <v>1169</v>
      </c>
      <c r="E921" s="39" t="s">
        <v>42</v>
      </c>
    </row>
    <row r="922" spans="1:5" x14ac:dyDescent="0.45">
      <c r="A922" s="36">
        <v>1709047482</v>
      </c>
      <c r="B922" s="36" t="s">
        <v>894</v>
      </c>
      <c r="C922" s="36">
        <v>995066742</v>
      </c>
      <c r="D922" s="34" t="s">
        <v>1270</v>
      </c>
      <c r="E922" s="39" t="s">
        <v>42</v>
      </c>
    </row>
    <row r="923" spans="1:5" x14ac:dyDescent="0.45">
      <c r="A923" s="36">
        <v>1709047482</v>
      </c>
      <c r="B923" s="36" t="s">
        <v>894</v>
      </c>
      <c r="C923" s="36">
        <v>995066742</v>
      </c>
      <c r="D923" s="34" t="s">
        <v>1270</v>
      </c>
      <c r="E923" s="39" t="s">
        <v>42</v>
      </c>
    </row>
    <row r="924" spans="1:5" x14ac:dyDescent="0.45">
      <c r="B924" s="36" t="s">
        <v>74</v>
      </c>
      <c r="E924" s="39" t="s">
        <v>42</v>
      </c>
    </row>
    <row r="925" spans="1:5" x14ac:dyDescent="0.45">
      <c r="A925" s="36">
        <v>1750946731</v>
      </c>
      <c r="B925" s="36" t="s">
        <v>1003</v>
      </c>
      <c r="C925" s="36">
        <v>987084344</v>
      </c>
      <c r="D925" s="34" t="s">
        <v>1271</v>
      </c>
      <c r="E925" s="39" t="s">
        <v>42</v>
      </c>
    </row>
    <row r="926" spans="1:5" x14ac:dyDescent="0.45">
      <c r="A926" s="36">
        <v>1713500245</v>
      </c>
      <c r="B926" s="36" t="s">
        <v>1004</v>
      </c>
      <c r="C926" s="36">
        <v>992949688</v>
      </c>
      <c r="D926" s="34" t="s">
        <v>1253</v>
      </c>
      <c r="E926" s="39" t="s">
        <v>42</v>
      </c>
    </row>
    <row r="927" spans="1:5" x14ac:dyDescent="0.45">
      <c r="A927" s="36">
        <v>1718740796</v>
      </c>
      <c r="B927" s="36" t="s">
        <v>778</v>
      </c>
      <c r="C927" s="36">
        <v>984039489</v>
      </c>
      <c r="D927" s="34" t="s">
        <v>1171</v>
      </c>
      <c r="E927" s="39" t="s">
        <v>42</v>
      </c>
    </row>
  </sheetData>
  <mergeCells count="1">
    <mergeCell ref="A1:E1"/>
  </mergeCells>
  <hyperlinks>
    <hyperlink ref="D66" r:id="rId1"/>
    <hyperlink ref="D67" r:id="rId2"/>
    <hyperlink ref="D70" r:id="rId3"/>
    <hyperlink ref="D71" r:id="rId4"/>
    <hyperlink ref="D72" r:id="rId5"/>
    <hyperlink ref="D73" r:id="rId6"/>
    <hyperlink ref="D74" r:id="rId7"/>
    <hyperlink ref="D75" r:id="rId8"/>
    <hyperlink ref="D99" r:id="rId9"/>
    <hyperlink ref="D100" r:id="rId10"/>
    <hyperlink ref="D152" r:id="rId11"/>
    <hyperlink ref="D64" r:id="rId12"/>
    <hyperlink ref="D65" r:id="rId13"/>
    <hyperlink ref="D150" r:id="rId14"/>
    <hyperlink ref="D189" r:id="rId15"/>
    <hyperlink ref="D185" r:id="rId16"/>
    <hyperlink ref="D187" r:id="rId17"/>
    <hyperlink ref="D192" r:id="rId18"/>
    <hyperlink ref="D200" r:id="rId19"/>
    <hyperlink ref="D201" r:id="rId20"/>
    <hyperlink ref="D202" r:id="rId21"/>
    <hyperlink ref="D224" r:id="rId22"/>
    <hyperlink ref="D298" r:id="rId23"/>
    <hyperlink ref="D299" r:id="rId24"/>
    <hyperlink ref="D307" r:id="rId25"/>
    <hyperlink ref="D229" r:id="rId26"/>
    <hyperlink ref="D232" r:id="rId27"/>
    <hyperlink ref="D233" r:id="rId28"/>
    <hyperlink ref="D236" r:id="rId29"/>
    <hyperlink ref="D237" r:id="rId30"/>
    <hyperlink ref="D238" r:id="rId31"/>
    <hyperlink ref="D239" r:id="rId32"/>
    <hyperlink ref="D240" r:id="rId33"/>
    <hyperlink ref="D254" r:id="rId34"/>
    <hyperlink ref="D255" r:id="rId35"/>
    <hyperlink ref="D262" r:id="rId36"/>
    <hyperlink ref="D261" r:id="rId37"/>
    <hyperlink ref="D266" r:id="rId38"/>
    <hyperlink ref="D268" r:id="rId39"/>
    <hyperlink ref="D294" r:id="rId40"/>
    <hyperlink ref="D295" r:id="rId41"/>
    <hyperlink ref="D296" r:id="rId42"/>
    <hyperlink ref="D297" r:id="rId43"/>
    <hyperlink ref="D328" r:id="rId44"/>
    <hyperlink ref="D329" r:id="rId45"/>
    <hyperlink ref="D331" r:id="rId46"/>
    <hyperlink ref="D333" r:id="rId47"/>
    <hyperlink ref="D334" r:id="rId48"/>
    <hyperlink ref="D336" r:id="rId49"/>
    <hyperlink ref="D337" r:id="rId50"/>
    <hyperlink ref="D338" r:id="rId51"/>
    <hyperlink ref="D339" r:id="rId52"/>
    <hyperlink ref="D342" r:id="rId53"/>
    <hyperlink ref="D345" r:id="rId54"/>
    <hyperlink ref="D349" r:id="rId55"/>
    <hyperlink ref="D350" r:id="rId56"/>
    <hyperlink ref="D353" r:id="rId57"/>
    <hyperlink ref="D357" r:id="rId58"/>
    <hyperlink ref="D359" r:id="rId59"/>
    <hyperlink ref="D360" r:id="rId60"/>
    <hyperlink ref="D364" r:id="rId61"/>
    <hyperlink ref="D365" r:id="rId62"/>
    <hyperlink ref="D363" r:id="rId63"/>
    <hyperlink ref="D369" r:id="rId64"/>
    <hyperlink ref="D372" r:id="rId65"/>
    <hyperlink ref="D371" r:id="rId66"/>
    <hyperlink ref="D384" r:id="rId67"/>
    <hyperlink ref="D387" r:id="rId68"/>
    <hyperlink ref="D388" r:id="rId69"/>
    <hyperlink ref="D389" r:id="rId70"/>
    <hyperlink ref="D392" r:id="rId71"/>
    <hyperlink ref="D391" r:id="rId72"/>
    <hyperlink ref="D395" r:id="rId73"/>
    <hyperlink ref="D398" r:id="rId74"/>
    <hyperlink ref="D399" r:id="rId75"/>
    <hyperlink ref="D401" r:id="rId76"/>
    <hyperlink ref="D405" r:id="rId77"/>
    <hyperlink ref="D407" r:id="rId78"/>
    <hyperlink ref="D408" r:id="rId79"/>
    <hyperlink ref="D415" r:id="rId80"/>
    <hyperlink ref="D421" r:id="rId81"/>
    <hyperlink ref="D422" r:id="rId82"/>
    <hyperlink ref="D427" r:id="rId83"/>
    <hyperlink ref="D432" r:id="rId84"/>
    <hyperlink ref="D431" r:id="rId85"/>
    <hyperlink ref="D429" r:id="rId86"/>
    <hyperlink ref="D435" r:id="rId87"/>
    <hyperlink ref="D439" r:id="rId88"/>
    <hyperlink ref="D438" r:id="rId89"/>
    <hyperlink ref="D416" r:id="rId90"/>
    <hyperlink ref="D417" r:id="rId91"/>
    <hyperlink ref="D418" r:id="rId92"/>
    <hyperlink ref="D440" r:id="rId93"/>
    <hyperlink ref="D430" r:id="rId94"/>
    <hyperlink ref="D433" r:id="rId95"/>
    <hyperlink ref="D442" r:id="rId96"/>
    <hyperlink ref="D443" r:id="rId97"/>
    <hyperlink ref="D270" r:id="rId98"/>
    <hyperlink ref="D456" r:id="rId99"/>
    <hyperlink ref="D461" r:id="rId100"/>
    <hyperlink ref="D464" r:id="rId101"/>
    <hyperlink ref="D462" r:id="rId102"/>
    <hyperlink ref="D473" r:id="rId103"/>
    <hyperlink ref="D474" r:id="rId104"/>
    <hyperlink ref="D475" r:id="rId105"/>
    <hyperlink ref="D476" r:id="rId106"/>
    <hyperlink ref="D483" r:id="rId107"/>
    <hyperlink ref="D485" r:id="rId108"/>
    <hyperlink ref="D486" r:id="rId109"/>
    <hyperlink ref="D487" r:id="rId110"/>
    <hyperlink ref="D489" r:id="rId111"/>
    <hyperlink ref="D490" r:id="rId112"/>
    <hyperlink ref="D491" r:id="rId113"/>
    <hyperlink ref="D492" r:id="rId114"/>
    <hyperlink ref="D494" r:id="rId115"/>
    <hyperlink ref="D499" r:id="rId116"/>
    <hyperlink ref="D497" r:id="rId117"/>
    <hyperlink ref="D498" r:id="rId118"/>
    <hyperlink ref="D500" r:id="rId119"/>
    <hyperlink ref="D501" r:id="rId120"/>
    <hyperlink ref="D502" r:id="rId121"/>
    <hyperlink ref="D503" r:id="rId122"/>
    <hyperlink ref="D504" r:id="rId123"/>
    <hyperlink ref="D505" r:id="rId124"/>
    <hyperlink ref="D506" r:id="rId125"/>
    <hyperlink ref="D507" r:id="rId126"/>
    <hyperlink ref="D514" r:id="rId127"/>
    <hyperlink ref="D516" r:id="rId128"/>
    <hyperlink ref="D517" r:id="rId129"/>
    <hyperlink ref="D519" r:id="rId130"/>
    <hyperlink ref="D520" r:id="rId131"/>
    <hyperlink ref="D524" r:id="rId132"/>
    <hyperlink ref="D522" r:id="rId133"/>
    <hyperlink ref="D530" r:id="rId134"/>
    <hyperlink ref="D532" r:id="rId135"/>
    <hyperlink ref="D534" r:id="rId136"/>
    <hyperlink ref="D537" r:id="rId137"/>
    <hyperlink ref="D538" r:id="rId138"/>
    <hyperlink ref="D539" r:id="rId139"/>
    <hyperlink ref="D540" r:id="rId140"/>
    <hyperlink ref="D541" r:id="rId141"/>
    <hyperlink ref="D543" r:id="rId142"/>
    <hyperlink ref="D544" r:id="rId143"/>
    <hyperlink ref="D542" r:id="rId144"/>
    <hyperlink ref="D545" r:id="rId145"/>
    <hyperlink ref="D546" r:id="rId146"/>
    <hyperlink ref="D550" r:id="rId147"/>
    <hyperlink ref="D553" r:id="rId148"/>
    <hyperlink ref="D555" r:id="rId149"/>
    <hyperlink ref="D556" r:id="rId150"/>
    <hyperlink ref="D557" r:id="rId151"/>
    <hyperlink ref="D558" r:id="rId152"/>
    <hyperlink ref="D559" r:id="rId153"/>
    <hyperlink ref="D561" r:id="rId154"/>
    <hyperlink ref="D39" r:id="rId155"/>
    <hyperlink ref="D562" r:id="rId156"/>
    <hyperlink ref="D571" r:id="rId157"/>
    <hyperlink ref="D572" r:id="rId158"/>
    <hyperlink ref="D576" r:id="rId159"/>
    <hyperlink ref="D575" r:id="rId160"/>
    <hyperlink ref="D577" r:id="rId161"/>
    <hyperlink ref="D579" r:id="rId162"/>
    <hyperlink ref="D581" r:id="rId163"/>
    <hyperlink ref="D590" r:id="rId164"/>
    <hyperlink ref="D591" r:id="rId165"/>
    <hyperlink ref="D592" r:id="rId166"/>
    <hyperlink ref="D595" r:id="rId167"/>
    <hyperlink ref="D596" r:id="rId168"/>
    <hyperlink ref="D597" r:id="rId169"/>
    <hyperlink ref="D600" r:id="rId170"/>
    <hyperlink ref="D601" r:id="rId171"/>
    <hyperlink ref="D602" r:id="rId172"/>
    <hyperlink ref="D609" r:id="rId173"/>
    <hyperlink ref="D610" r:id="rId174"/>
    <hyperlink ref="D613" r:id="rId175"/>
    <hyperlink ref="D621" r:id="rId176"/>
    <hyperlink ref="D623" r:id="rId177"/>
    <hyperlink ref="D624" r:id="rId178"/>
    <hyperlink ref="D627" r:id="rId179"/>
    <hyperlink ref="D628" r:id="rId180"/>
    <hyperlink ref="D629" r:id="rId181"/>
    <hyperlink ref="D633" r:id="rId182"/>
    <hyperlink ref="D634" r:id="rId183"/>
    <hyperlink ref="D635" r:id="rId184"/>
    <hyperlink ref="D636" r:id="rId185"/>
    <hyperlink ref="D640" r:id="rId186"/>
    <hyperlink ref="D641" r:id="rId187"/>
    <hyperlink ref="D615" r:id="rId188"/>
    <hyperlink ref="D645" r:id="rId189"/>
    <hyperlink ref="D646" r:id="rId190"/>
    <hyperlink ref="D647" r:id="rId191"/>
    <hyperlink ref="D650" r:id="rId192"/>
    <hyperlink ref="D651" r:id="rId193"/>
    <hyperlink ref="D652" r:id="rId194"/>
    <hyperlink ref="D653" r:id="rId195"/>
    <hyperlink ref="D656" r:id="rId196"/>
    <hyperlink ref="D659" r:id="rId197"/>
    <hyperlink ref="D660" r:id="rId198"/>
    <hyperlink ref="D667" r:id="rId199"/>
    <hyperlink ref="D672" r:id="rId200"/>
    <hyperlink ref="D673" r:id="rId201"/>
    <hyperlink ref="D674" r:id="rId202"/>
    <hyperlink ref="D675" r:id="rId203"/>
    <hyperlink ref="D677" r:id="rId204"/>
    <hyperlink ref="D678" r:id="rId205"/>
    <hyperlink ref="D679" r:id="rId206"/>
    <hyperlink ref="D680" r:id="rId207"/>
    <hyperlink ref="D683" r:id="rId208"/>
    <hyperlink ref="D682" r:id="rId209"/>
    <hyperlink ref="D681" r:id="rId210"/>
    <hyperlink ref="D684" r:id="rId211"/>
    <hyperlink ref="D686" r:id="rId212"/>
    <hyperlink ref="D687" r:id="rId213"/>
    <hyperlink ref="D688" r:id="rId214"/>
    <hyperlink ref="D689" r:id="rId215"/>
    <hyperlink ref="D690" r:id="rId216"/>
    <hyperlink ref="D691" r:id="rId217"/>
    <hyperlink ref="D693" r:id="rId218"/>
    <hyperlink ref="D694" r:id="rId219"/>
    <hyperlink ref="D696" r:id="rId220"/>
    <hyperlink ref="D698" r:id="rId221"/>
    <hyperlink ref="D701" r:id="rId222"/>
    <hyperlink ref="D702" r:id="rId223"/>
    <hyperlink ref="D703" r:id="rId224"/>
    <hyperlink ref="D706" r:id="rId225"/>
    <hyperlink ref="D707" r:id="rId226"/>
    <hyperlink ref="D708" r:id="rId227"/>
    <hyperlink ref="D709" r:id="rId228"/>
    <hyperlink ref="D710" r:id="rId229"/>
    <hyperlink ref="D711" r:id="rId230"/>
    <hyperlink ref="D712" r:id="rId231"/>
    <hyperlink ref="D713" r:id="rId232"/>
    <hyperlink ref="D714" r:id="rId233"/>
    <hyperlink ref="D715" r:id="rId234"/>
    <hyperlink ref="D716" r:id="rId235"/>
    <hyperlink ref="D720" r:id="rId236"/>
    <hyperlink ref="D721" r:id="rId237"/>
    <hyperlink ref="D722" r:id="rId238"/>
    <hyperlink ref="D726" r:id="rId239"/>
    <hyperlink ref="D727" r:id="rId240"/>
    <hyperlink ref="D728" r:id="rId241"/>
    <hyperlink ref="D730" r:id="rId242"/>
    <hyperlink ref="D732" r:id="rId243"/>
    <hyperlink ref="D734" r:id="rId244"/>
    <hyperlink ref="D735" r:id="rId245"/>
    <hyperlink ref="D736" r:id="rId246"/>
    <hyperlink ref="D737" r:id="rId247"/>
    <hyperlink ref="D738" r:id="rId248"/>
    <hyperlink ref="D739" r:id="rId249"/>
    <hyperlink ref="D741" r:id="rId250"/>
    <hyperlink ref="D742" r:id="rId251"/>
    <hyperlink ref="D743" r:id="rId252"/>
    <hyperlink ref="D745" r:id="rId253"/>
    <hyperlink ref="D747" r:id="rId254"/>
    <hyperlink ref="D748" r:id="rId255"/>
    <hyperlink ref="D766" r:id="rId256"/>
    <hyperlink ref="D767" r:id="rId257"/>
    <hyperlink ref="D770" r:id="rId258"/>
    <hyperlink ref="D768" r:id="rId259"/>
    <hyperlink ref="D769" r:id="rId260"/>
    <hyperlink ref="D760" r:id="rId261"/>
    <hyperlink ref="D751" r:id="rId262"/>
    <hyperlink ref="D752" r:id="rId263"/>
    <hyperlink ref="D753" r:id="rId264"/>
    <hyperlink ref="D754" r:id="rId265"/>
    <hyperlink ref="D756" r:id="rId266"/>
    <hyperlink ref="D773" r:id="rId267"/>
    <hyperlink ref="D774" r:id="rId268"/>
    <hyperlink ref="D775" r:id="rId269"/>
    <hyperlink ref="D757" r:id="rId270"/>
    <hyperlink ref="D776" r:id="rId271"/>
    <hyperlink ref="D758" r:id="rId272"/>
    <hyperlink ref="D777" r:id="rId273"/>
    <hyperlink ref="D779" r:id="rId274"/>
    <hyperlink ref="D780" r:id="rId275"/>
    <hyperlink ref="D783" r:id="rId276"/>
    <hyperlink ref="D784" r:id="rId277"/>
    <hyperlink ref="D785" r:id="rId278"/>
    <hyperlink ref="D786" r:id="rId279"/>
    <hyperlink ref="D787" r:id="rId280"/>
    <hyperlink ref="D788" r:id="rId281"/>
    <hyperlink ref="D789" r:id="rId282"/>
    <hyperlink ref="D792" r:id="rId283"/>
    <hyperlink ref="D793" r:id="rId284"/>
    <hyperlink ref="D794" r:id="rId285"/>
    <hyperlink ref="D795" r:id="rId286"/>
    <hyperlink ref="D796" r:id="rId287"/>
    <hyperlink ref="D797" r:id="rId288"/>
    <hyperlink ref="D798" r:id="rId289"/>
    <hyperlink ref="D799" r:id="rId290"/>
    <hyperlink ref="D800" r:id="rId291"/>
    <hyperlink ref="D801" r:id="rId292"/>
    <hyperlink ref="D802" r:id="rId293"/>
    <hyperlink ref="D803" r:id="rId294"/>
    <hyperlink ref="D805" r:id="rId295"/>
    <hyperlink ref="D806" r:id="rId296"/>
    <hyperlink ref="D807" r:id="rId297"/>
    <hyperlink ref="D808" r:id="rId298"/>
    <hyperlink ref="D809" r:id="rId299"/>
    <hyperlink ref="D812" r:id="rId300"/>
    <hyperlink ref="D813" r:id="rId301"/>
    <hyperlink ref="D815" r:id="rId302"/>
    <hyperlink ref="D816" r:id="rId303"/>
    <hyperlink ref="D817" r:id="rId304"/>
    <hyperlink ref="D818" r:id="rId305"/>
    <hyperlink ref="D820" r:id="rId306"/>
    <hyperlink ref="D821" r:id="rId307"/>
    <hyperlink ref="D822" r:id="rId308"/>
    <hyperlink ref="D823" r:id="rId309"/>
    <hyperlink ref="D825" r:id="rId310"/>
    <hyperlink ref="D826" r:id="rId311"/>
    <hyperlink ref="D827" r:id="rId312"/>
    <hyperlink ref="D828" r:id="rId313"/>
    <hyperlink ref="D829" r:id="rId314"/>
    <hyperlink ref="D833" r:id="rId315"/>
    <hyperlink ref="D834" r:id="rId316"/>
    <hyperlink ref="D836" r:id="rId317"/>
    <hyperlink ref="D837" r:id="rId318"/>
    <hyperlink ref="D838" r:id="rId319"/>
    <hyperlink ref="D839" r:id="rId320"/>
    <hyperlink ref="D840" r:id="rId321"/>
    <hyperlink ref="D841" r:id="rId322"/>
    <hyperlink ref="D842" r:id="rId323"/>
    <hyperlink ref="D843" r:id="rId324"/>
    <hyperlink ref="D845" r:id="rId325"/>
    <hyperlink ref="D846" r:id="rId326"/>
    <hyperlink ref="D847" r:id="rId327"/>
    <hyperlink ref="D848" r:id="rId328"/>
    <hyperlink ref="D844" r:id="rId329"/>
    <hyperlink ref="D849" r:id="rId330"/>
    <hyperlink ref="D850" r:id="rId331"/>
    <hyperlink ref="D851" r:id="rId332"/>
    <hyperlink ref="D852" r:id="rId333"/>
    <hyperlink ref="D853" r:id="rId334"/>
    <hyperlink ref="D854" r:id="rId335"/>
    <hyperlink ref="D855" r:id="rId336"/>
    <hyperlink ref="D856" r:id="rId337"/>
    <hyperlink ref="D857:D858" r:id="rId338" display="pablonicolas.06@hotmail.com"/>
    <hyperlink ref="D860" r:id="rId339"/>
    <hyperlink ref="D861" r:id="rId340"/>
    <hyperlink ref="D862" r:id="rId341"/>
    <hyperlink ref="D863" r:id="rId342"/>
    <hyperlink ref="D864" r:id="rId343"/>
    <hyperlink ref="D865" r:id="rId344"/>
    <hyperlink ref="D866" r:id="rId345"/>
    <hyperlink ref="D867" r:id="rId346"/>
    <hyperlink ref="D868" r:id="rId347"/>
    <hyperlink ref="D869" r:id="rId348"/>
    <hyperlink ref="D871" r:id="rId349"/>
    <hyperlink ref="D872" r:id="rId350"/>
    <hyperlink ref="D873" r:id="rId351"/>
    <hyperlink ref="D875" r:id="rId352"/>
    <hyperlink ref="D876" r:id="rId353"/>
    <hyperlink ref="D877" r:id="rId354"/>
    <hyperlink ref="D878" r:id="rId355"/>
    <hyperlink ref="D879" r:id="rId356"/>
    <hyperlink ref="D880" r:id="rId357"/>
    <hyperlink ref="D886" r:id="rId358"/>
    <hyperlink ref="D887" r:id="rId359"/>
    <hyperlink ref="D889" r:id="rId360"/>
    <hyperlink ref="D890" r:id="rId361"/>
    <hyperlink ref="D891" r:id="rId362"/>
    <hyperlink ref="D892" r:id="rId363"/>
    <hyperlink ref="D893" r:id="rId364"/>
    <hyperlink ref="D896" r:id="rId365"/>
    <hyperlink ref="D897" r:id="rId366"/>
    <hyperlink ref="D898" r:id="rId367"/>
    <hyperlink ref="D899" r:id="rId368"/>
    <hyperlink ref="D900" r:id="rId369"/>
    <hyperlink ref="D901" r:id="rId370"/>
    <hyperlink ref="D902" r:id="rId371"/>
    <hyperlink ref="D903" r:id="rId372"/>
    <hyperlink ref="D904" r:id="rId373"/>
    <hyperlink ref="D905" r:id="rId374"/>
    <hyperlink ref="D906" r:id="rId375"/>
    <hyperlink ref="D907" r:id="rId376"/>
    <hyperlink ref="D908" r:id="rId377"/>
    <hyperlink ref="D910" r:id="rId378"/>
    <hyperlink ref="D911" r:id="rId379"/>
    <hyperlink ref="D912" r:id="rId380"/>
    <hyperlink ref="D913" r:id="rId381"/>
    <hyperlink ref="D916" r:id="rId382"/>
    <hyperlink ref="D915" r:id="rId383"/>
    <hyperlink ref="D919" r:id="rId384"/>
    <hyperlink ref="D918" r:id="rId385"/>
    <hyperlink ref="D920" r:id="rId386"/>
    <hyperlink ref="D921" r:id="rId387"/>
    <hyperlink ref="D922" r:id="rId388"/>
    <hyperlink ref="D923" r:id="rId389"/>
    <hyperlink ref="D925" r:id="rId390"/>
    <hyperlink ref="D926" r:id="rId391"/>
    <hyperlink ref="D927" r:id="rId392"/>
  </hyperlinks>
  <pageMargins left="0.75" right="0.75" top="1" bottom="1" header="0.5" footer="0.5"/>
  <pageSetup orientation="portrait" r:id="rId3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L294"/>
  <sheetViews>
    <sheetView topLeftCell="A250" workbookViewId="0">
      <selection activeCell="D260" sqref="D260:D264"/>
    </sheetView>
  </sheetViews>
  <sheetFormatPr baseColWidth="10" defaultColWidth="9.109375" defaultRowHeight="14.4" x14ac:dyDescent="0.3"/>
  <cols>
    <col min="1" max="1" width="15" style="179" customWidth="1"/>
    <col min="2" max="4" width="16" style="179" customWidth="1"/>
    <col min="5" max="6" width="15" style="179" customWidth="1"/>
    <col min="7" max="7" width="28" style="179" customWidth="1"/>
    <col min="8" max="8" width="15" style="179" customWidth="1"/>
    <col min="9" max="9" width="18" style="179" customWidth="1"/>
    <col min="10" max="10" width="15" style="179" customWidth="1"/>
    <col min="11" max="11" width="17" style="179" customWidth="1"/>
    <col min="12" max="12" width="20" style="179" customWidth="1"/>
    <col min="13" max="16384" width="9.109375" style="179"/>
  </cols>
  <sheetData>
    <row r="1" spans="1:12" ht="39.9" customHeight="1" x14ac:dyDescent="0.3">
      <c r="A1" s="286" t="s">
        <v>45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ht="24.9" customHeight="1" x14ac:dyDescent="0.3">
      <c r="A2" s="15" t="s">
        <v>46</v>
      </c>
      <c r="B2" s="15" t="s">
        <v>47</v>
      </c>
      <c r="C2" s="15" t="s">
        <v>1272</v>
      </c>
      <c r="D2" s="15" t="s">
        <v>1273</v>
      </c>
      <c r="E2" s="15" t="s">
        <v>48</v>
      </c>
      <c r="F2" s="15" t="s">
        <v>1274</v>
      </c>
      <c r="G2" s="15" t="s">
        <v>49</v>
      </c>
      <c r="H2" s="15" t="s">
        <v>50</v>
      </c>
      <c r="I2" s="15" t="s">
        <v>51</v>
      </c>
      <c r="J2" s="15" t="s">
        <v>52</v>
      </c>
      <c r="K2" s="15" t="s">
        <v>53</v>
      </c>
      <c r="L2" s="15" t="s">
        <v>54</v>
      </c>
    </row>
    <row r="3" spans="1:12" ht="20.100000000000001" customHeight="1" x14ac:dyDescent="0.3">
      <c r="A3" s="180">
        <v>45910</v>
      </c>
      <c r="B3" s="181" t="s">
        <v>1275</v>
      </c>
      <c r="C3" s="181"/>
      <c r="D3" s="181"/>
      <c r="E3" s="182">
        <v>1</v>
      </c>
      <c r="F3" s="182">
        <v>1</v>
      </c>
      <c r="G3" s="181" t="s">
        <v>1276</v>
      </c>
      <c r="H3" s="182"/>
      <c r="I3" s="183">
        <v>4.78</v>
      </c>
      <c r="J3" s="184">
        <f>E3*I3</f>
        <v>4.78</v>
      </c>
      <c r="K3" s="16" t="s">
        <v>55</v>
      </c>
      <c r="L3" s="185" t="s">
        <v>57</v>
      </c>
    </row>
    <row r="4" spans="1:12" ht="20.100000000000001" customHeight="1" x14ac:dyDescent="0.3">
      <c r="A4" s="186"/>
      <c r="B4" s="187"/>
      <c r="C4" s="188"/>
      <c r="D4" s="187"/>
      <c r="E4" s="189">
        <v>1</v>
      </c>
      <c r="F4" s="189">
        <v>1</v>
      </c>
      <c r="G4" s="190" t="s">
        <v>1277</v>
      </c>
      <c r="H4" s="189"/>
      <c r="I4" s="191">
        <v>1.74</v>
      </c>
      <c r="J4" s="192">
        <f t="shared" ref="J4:J38" si="0">E4*I4</f>
        <v>1.74</v>
      </c>
      <c r="K4" s="185" t="s">
        <v>56</v>
      </c>
      <c r="L4" s="185" t="s">
        <v>57</v>
      </c>
    </row>
    <row r="5" spans="1:12" ht="20.100000000000001" customHeight="1" x14ac:dyDescent="0.3">
      <c r="A5" s="186"/>
      <c r="B5" s="189"/>
      <c r="C5" s="193"/>
      <c r="D5" s="189"/>
      <c r="E5" s="189">
        <v>1</v>
      </c>
      <c r="F5" s="189">
        <v>1</v>
      </c>
      <c r="G5" s="190" t="s">
        <v>1278</v>
      </c>
      <c r="H5" s="189"/>
      <c r="I5" s="191">
        <v>2.61</v>
      </c>
      <c r="J5" s="192">
        <f t="shared" si="0"/>
        <v>2.61</v>
      </c>
      <c r="K5" s="194" t="s">
        <v>58</v>
      </c>
      <c r="L5" s="16" t="s">
        <v>57</v>
      </c>
    </row>
    <row r="6" spans="1:12" ht="16.8" x14ac:dyDescent="0.3">
      <c r="A6" s="186"/>
      <c r="B6" s="189"/>
      <c r="C6" s="193"/>
      <c r="D6" s="189"/>
      <c r="E6" s="189">
        <v>2</v>
      </c>
      <c r="F6" s="189">
        <v>2</v>
      </c>
      <c r="G6" s="190" t="s">
        <v>1279</v>
      </c>
      <c r="H6" s="189"/>
      <c r="I6" s="191">
        <v>3.7</v>
      </c>
      <c r="J6" s="192">
        <f t="shared" si="0"/>
        <v>7.4</v>
      </c>
      <c r="L6" s="185" t="s">
        <v>57</v>
      </c>
    </row>
    <row r="7" spans="1:12" ht="16.8" x14ac:dyDescent="0.3">
      <c r="A7" s="186"/>
      <c r="B7" s="189"/>
      <c r="C7" s="193"/>
      <c r="D7" s="189"/>
      <c r="E7" s="189">
        <v>1</v>
      </c>
      <c r="F7" s="189">
        <v>1</v>
      </c>
      <c r="G7" s="190" t="s">
        <v>1280</v>
      </c>
      <c r="H7" s="189"/>
      <c r="I7" s="191">
        <v>4.7</v>
      </c>
      <c r="J7" s="192">
        <f t="shared" si="0"/>
        <v>4.7</v>
      </c>
      <c r="L7" s="185" t="s">
        <v>57</v>
      </c>
    </row>
    <row r="8" spans="1:12" ht="16.8" x14ac:dyDescent="0.3">
      <c r="A8" s="186"/>
      <c r="B8" s="189"/>
      <c r="C8" s="193"/>
      <c r="D8" s="189"/>
      <c r="E8" s="189">
        <v>1</v>
      </c>
      <c r="F8" s="189">
        <v>1</v>
      </c>
      <c r="G8" s="190" t="s">
        <v>1281</v>
      </c>
      <c r="H8" s="189"/>
      <c r="I8" s="191">
        <v>1.74</v>
      </c>
      <c r="J8" s="192">
        <f t="shared" si="0"/>
        <v>1.74</v>
      </c>
      <c r="L8" s="16" t="s">
        <v>57</v>
      </c>
    </row>
    <row r="9" spans="1:12" ht="16.8" x14ac:dyDescent="0.3">
      <c r="A9" s="186"/>
      <c r="B9" s="189"/>
      <c r="C9" s="193"/>
      <c r="D9" s="189"/>
      <c r="E9" s="189">
        <v>1</v>
      </c>
      <c r="F9" s="189">
        <v>1</v>
      </c>
      <c r="G9" s="190" t="s">
        <v>1282</v>
      </c>
      <c r="H9" s="189"/>
      <c r="I9" s="191">
        <v>4.22</v>
      </c>
      <c r="J9" s="192">
        <f t="shared" si="0"/>
        <v>4.22</v>
      </c>
      <c r="L9" s="185" t="s">
        <v>57</v>
      </c>
    </row>
    <row r="10" spans="1:12" ht="16.8" x14ac:dyDescent="0.3">
      <c r="A10" s="186"/>
      <c r="B10" s="189"/>
      <c r="C10" s="193"/>
      <c r="D10" s="189"/>
      <c r="E10" s="189">
        <v>3</v>
      </c>
      <c r="F10" s="189">
        <v>3</v>
      </c>
      <c r="G10" s="190" t="s">
        <v>1283</v>
      </c>
      <c r="H10" s="189"/>
      <c r="I10" s="191">
        <v>0.7</v>
      </c>
      <c r="J10" s="192">
        <f t="shared" si="0"/>
        <v>2.0999999999999996</v>
      </c>
      <c r="L10" s="185" t="s">
        <v>57</v>
      </c>
    </row>
    <row r="11" spans="1:12" ht="16.8" x14ac:dyDescent="0.3">
      <c r="A11" s="186"/>
      <c r="B11" s="189"/>
      <c r="C11" s="193"/>
      <c r="D11" s="189"/>
      <c r="E11" s="189">
        <v>1</v>
      </c>
      <c r="F11" s="189">
        <v>1</v>
      </c>
      <c r="G11" s="190" t="s">
        <v>1284</v>
      </c>
      <c r="H11" s="189"/>
      <c r="I11" s="191">
        <v>3.17</v>
      </c>
      <c r="J11" s="192">
        <f t="shared" si="0"/>
        <v>3.17</v>
      </c>
      <c r="L11" s="16" t="s">
        <v>57</v>
      </c>
    </row>
    <row r="12" spans="1:12" ht="16.8" x14ac:dyDescent="0.3">
      <c r="A12" s="186"/>
      <c r="B12" s="189"/>
      <c r="C12" s="193"/>
      <c r="D12" s="189"/>
      <c r="E12" s="189">
        <v>1</v>
      </c>
      <c r="F12" s="189">
        <v>1</v>
      </c>
      <c r="G12" s="190" t="s">
        <v>1285</v>
      </c>
      <c r="H12" s="189"/>
      <c r="I12" s="191">
        <v>3</v>
      </c>
      <c r="J12" s="192">
        <f t="shared" si="0"/>
        <v>3</v>
      </c>
      <c r="L12" s="185" t="s">
        <v>57</v>
      </c>
    </row>
    <row r="13" spans="1:12" ht="16.8" x14ac:dyDescent="0.3">
      <c r="A13" s="186"/>
      <c r="B13" s="189"/>
      <c r="C13" s="193"/>
      <c r="D13" s="189"/>
      <c r="E13" s="189">
        <v>1</v>
      </c>
      <c r="F13" s="189">
        <v>1</v>
      </c>
      <c r="G13" s="190" t="s">
        <v>1286</v>
      </c>
      <c r="H13" s="189"/>
      <c r="I13" s="191">
        <v>2.35</v>
      </c>
      <c r="J13" s="192">
        <f t="shared" si="0"/>
        <v>2.35</v>
      </c>
      <c r="L13" s="185" t="s">
        <v>57</v>
      </c>
    </row>
    <row r="14" spans="1:12" ht="16.8" x14ac:dyDescent="0.3">
      <c r="A14" s="186"/>
      <c r="B14" s="189"/>
      <c r="C14" s="193"/>
      <c r="D14" s="189"/>
      <c r="E14" s="189">
        <v>1</v>
      </c>
      <c r="F14" s="189">
        <v>1</v>
      </c>
      <c r="G14" s="190" t="s">
        <v>1287</v>
      </c>
      <c r="H14" s="189"/>
      <c r="I14" s="191">
        <v>0.65</v>
      </c>
      <c r="J14" s="192">
        <f t="shared" si="0"/>
        <v>0.65</v>
      </c>
      <c r="L14" s="16" t="s">
        <v>57</v>
      </c>
    </row>
    <row r="15" spans="1:12" ht="16.8" x14ac:dyDescent="0.3">
      <c r="A15" s="186"/>
      <c r="B15" s="189"/>
      <c r="C15" s="193"/>
      <c r="D15" s="189"/>
      <c r="E15" s="189">
        <v>1</v>
      </c>
      <c r="F15" s="189">
        <v>1</v>
      </c>
      <c r="G15" s="190" t="s">
        <v>1288</v>
      </c>
      <c r="H15" s="189"/>
      <c r="I15" s="191">
        <v>3.83</v>
      </c>
      <c r="J15" s="192">
        <f t="shared" si="0"/>
        <v>3.83</v>
      </c>
      <c r="L15" s="185" t="s">
        <v>57</v>
      </c>
    </row>
    <row r="16" spans="1:12" ht="16.8" x14ac:dyDescent="0.3">
      <c r="A16" s="186"/>
      <c r="B16" s="189"/>
      <c r="C16" s="193"/>
      <c r="D16" s="189"/>
      <c r="E16" s="189">
        <v>1</v>
      </c>
      <c r="F16" s="189">
        <v>1</v>
      </c>
      <c r="G16" s="190" t="s">
        <v>1289</v>
      </c>
      <c r="H16" s="189"/>
      <c r="I16" s="191">
        <v>2.61</v>
      </c>
      <c r="J16" s="192">
        <f t="shared" si="0"/>
        <v>2.61</v>
      </c>
      <c r="L16" s="185" t="s">
        <v>57</v>
      </c>
    </row>
    <row r="17" spans="1:12" ht="16.8" x14ac:dyDescent="0.3">
      <c r="A17" s="186"/>
      <c r="B17" s="189"/>
      <c r="C17" s="193"/>
      <c r="D17" s="189"/>
      <c r="E17" s="189">
        <v>2</v>
      </c>
      <c r="F17" s="189">
        <v>2</v>
      </c>
      <c r="G17" s="190" t="s">
        <v>1290</v>
      </c>
      <c r="H17" s="189"/>
      <c r="I17" s="191">
        <v>3.22</v>
      </c>
      <c r="J17" s="192">
        <f t="shared" si="0"/>
        <v>6.44</v>
      </c>
      <c r="L17" s="16" t="s">
        <v>57</v>
      </c>
    </row>
    <row r="18" spans="1:12" ht="16.8" x14ac:dyDescent="0.3">
      <c r="A18" s="186"/>
      <c r="B18" s="189"/>
      <c r="C18" s="193"/>
      <c r="D18" s="189"/>
      <c r="E18" s="189">
        <v>2</v>
      </c>
      <c r="F18" s="189">
        <v>2</v>
      </c>
      <c r="G18" s="190" t="s">
        <v>1291</v>
      </c>
      <c r="H18" s="189"/>
      <c r="I18" s="191">
        <v>1.96</v>
      </c>
      <c r="J18" s="192">
        <f t="shared" si="0"/>
        <v>3.92</v>
      </c>
      <c r="L18" s="185" t="s">
        <v>57</v>
      </c>
    </row>
    <row r="19" spans="1:12" ht="16.8" x14ac:dyDescent="0.3">
      <c r="A19" s="186"/>
      <c r="B19" s="189"/>
      <c r="C19" s="193"/>
      <c r="D19" s="189"/>
      <c r="E19" s="189">
        <v>6</v>
      </c>
      <c r="F19" s="189">
        <v>6</v>
      </c>
      <c r="G19" s="190" t="s">
        <v>1292</v>
      </c>
      <c r="H19" s="189"/>
      <c r="I19" s="191">
        <v>1.22</v>
      </c>
      <c r="J19" s="192">
        <f t="shared" si="0"/>
        <v>7.32</v>
      </c>
      <c r="L19" s="185" t="s">
        <v>57</v>
      </c>
    </row>
    <row r="20" spans="1:12" ht="16.8" x14ac:dyDescent="0.3">
      <c r="A20" s="186"/>
      <c r="B20" s="189"/>
      <c r="C20" s="193"/>
      <c r="D20" s="189"/>
      <c r="E20" s="189">
        <v>1</v>
      </c>
      <c r="F20" s="189">
        <v>1</v>
      </c>
      <c r="G20" s="190" t="s">
        <v>1293</v>
      </c>
      <c r="H20" s="189"/>
      <c r="I20" s="191">
        <v>1.52</v>
      </c>
      <c r="J20" s="192">
        <f t="shared" si="0"/>
        <v>1.52</v>
      </c>
      <c r="L20" s="16" t="s">
        <v>57</v>
      </c>
    </row>
    <row r="21" spans="1:12" ht="16.8" x14ac:dyDescent="0.3">
      <c r="A21" s="186"/>
      <c r="B21" s="189"/>
      <c r="C21" s="193"/>
      <c r="D21" s="189"/>
      <c r="E21" s="189">
        <v>1</v>
      </c>
      <c r="F21" s="189">
        <v>1</v>
      </c>
      <c r="G21" s="190" t="s">
        <v>1294</v>
      </c>
      <c r="H21" s="189"/>
      <c r="I21" s="191">
        <v>7.83</v>
      </c>
      <c r="J21" s="192">
        <f t="shared" si="0"/>
        <v>7.83</v>
      </c>
      <c r="L21" s="185" t="s">
        <v>57</v>
      </c>
    </row>
    <row r="22" spans="1:12" ht="16.8" x14ac:dyDescent="0.3">
      <c r="A22" s="186"/>
      <c r="B22" s="189"/>
      <c r="C22" s="193"/>
      <c r="D22" s="189"/>
      <c r="E22" s="189">
        <v>1</v>
      </c>
      <c r="F22" s="189">
        <v>1</v>
      </c>
      <c r="G22" s="190" t="s">
        <v>1295</v>
      </c>
      <c r="H22" s="189"/>
      <c r="I22" s="191">
        <v>3.91</v>
      </c>
      <c r="J22" s="192">
        <f t="shared" si="0"/>
        <v>3.91</v>
      </c>
      <c r="L22" s="185" t="s">
        <v>57</v>
      </c>
    </row>
    <row r="23" spans="1:12" ht="16.8" x14ac:dyDescent="0.3">
      <c r="A23" s="186"/>
      <c r="B23" s="189"/>
      <c r="C23" s="193"/>
      <c r="D23" s="189"/>
      <c r="E23" s="189">
        <v>1</v>
      </c>
      <c r="F23" s="189">
        <v>1</v>
      </c>
      <c r="G23" s="190" t="s">
        <v>1296</v>
      </c>
      <c r="H23" s="189"/>
      <c r="I23" s="191">
        <v>5.22</v>
      </c>
      <c r="J23" s="192">
        <f t="shared" si="0"/>
        <v>5.22</v>
      </c>
      <c r="L23" s="16" t="s">
        <v>57</v>
      </c>
    </row>
    <row r="24" spans="1:12" ht="16.8" x14ac:dyDescent="0.3">
      <c r="A24" s="186"/>
      <c r="B24" s="189"/>
      <c r="C24" s="193"/>
      <c r="D24" s="189"/>
      <c r="E24" s="189">
        <v>1</v>
      </c>
      <c r="F24" s="189">
        <v>1</v>
      </c>
      <c r="G24" s="190" t="s">
        <v>1297</v>
      </c>
      <c r="H24" s="189"/>
      <c r="I24" s="191">
        <v>5.65</v>
      </c>
      <c r="J24" s="192">
        <f t="shared" si="0"/>
        <v>5.65</v>
      </c>
      <c r="L24" s="185" t="s">
        <v>57</v>
      </c>
    </row>
    <row r="25" spans="1:12" ht="16.8" x14ac:dyDescent="0.3">
      <c r="A25" s="186"/>
      <c r="B25" s="189"/>
      <c r="C25" s="193"/>
      <c r="D25" s="189"/>
      <c r="E25" s="189">
        <v>1</v>
      </c>
      <c r="F25" s="189">
        <v>1</v>
      </c>
      <c r="G25" s="190" t="s">
        <v>1298</v>
      </c>
      <c r="H25" s="189"/>
      <c r="I25" s="191">
        <v>3.91</v>
      </c>
      <c r="J25" s="192">
        <f t="shared" si="0"/>
        <v>3.91</v>
      </c>
      <c r="L25" s="185" t="s">
        <v>57</v>
      </c>
    </row>
    <row r="26" spans="1:12" ht="16.8" x14ac:dyDescent="0.3">
      <c r="A26" s="186"/>
      <c r="B26" s="189"/>
      <c r="C26" s="193"/>
      <c r="D26" s="189"/>
      <c r="E26" s="189">
        <v>1</v>
      </c>
      <c r="F26" s="189">
        <v>1</v>
      </c>
      <c r="G26" s="190" t="s">
        <v>1299</v>
      </c>
      <c r="H26" s="189"/>
      <c r="I26" s="191">
        <v>3.65</v>
      </c>
      <c r="J26" s="192">
        <f t="shared" si="0"/>
        <v>3.65</v>
      </c>
      <c r="L26" s="16" t="s">
        <v>57</v>
      </c>
    </row>
    <row r="27" spans="1:12" ht="16.8" x14ac:dyDescent="0.3">
      <c r="A27" s="186"/>
      <c r="B27" s="189"/>
      <c r="C27" s="193"/>
      <c r="D27" s="189"/>
      <c r="E27" s="189">
        <v>2</v>
      </c>
      <c r="F27" s="189">
        <v>2</v>
      </c>
      <c r="G27" s="190" t="s">
        <v>1300</v>
      </c>
      <c r="H27" s="189"/>
      <c r="I27" s="191">
        <v>2.35</v>
      </c>
      <c r="J27" s="192">
        <f t="shared" si="0"/>
        <v>4.7</v>
      </c>
      <c r="L27" s="185" t="s">
        <v>57</v>
      </c>
    </row>
    <row r="28" spans="1:12" ht="16.8" x14ac:dyDescent="0.3">
      <c r="A28" s="186"/>
      <c r="B28" s="189"/>
      <c r="C28" s="193"/>
      <c r="D28" s="189"/>
      <c r="E28" s="189">
        <v>2</v>
      </c>
      <c r="F28" s="189">
        <v>2</v>
      </c>
      <c r="G28" s="190" t="s">
        <v>1301</v>
      </c>
      <c r="H28" s="189"/>
      <c r="I28" s="191">
        <v>1.87</v>
      </c>
      <c r="J28" s="192">
        <f t="shared" si="0"/>
        <v>3.74</v>
      </c>
      <c r="L28" s="185" t="s">
        <v>57</v>
      </c>
    </row>
    <row r="29" spans="1:12" ht="16.8" x14ac:dyDescent="0.3">
      <c r="A29" s="186"/>
      <c r="B29" s="189"/>
      <c r="C29" s="193"/>
      <c r="D29" s="189"/>
      <c r="E29" s="189">
        <v>1</v>
      </c>
      <c r="F29" s="189">
        <v>1</v>
      </c>
      <c r="G29" s="190" t="s">
        <v>1302</v>
      </c>
      <c r="H29" s="189"/>
      <c r="I29" s="191">
        <v>2.2999999999999998</v>
      </c>
      <c r="J29" s="192">
        <f t="shared" si="0"/>
        <v>2.2999999999999998</v>
      </c>
      <c r="L29" s="16" t="s">
        <v>57</v>
      </c>
    </row>
    <row r="30" spans="1:12" ht="16.8" x14ac:dyDescent="0.3">
      <c r="A30" s="186"/>
      <c r="B30" s="189"/>
      <c r="C30" s="193"/>
      <c r="D30" s="189"/>
      <c r="E30" s="189">
        <v>1</v>
      </c>
      <c r="F30" s="189">
        <v>1</v>
      </c>
      <c r="G30" s="190" t="s">
        <v>1299</v>
      </c>
      <c r="H30" s="189"/>
      <c r="I30" s="191">
        <v>6.22</v>
      </c>
      <c r="J30" s="192">
        <f t="shared" si="0"/>
        <v>6.22</v>
      </c>
      <c r="L30" s="185" t="s">
        <v>57</v>
      </c>
    </row>
    <row r="31" spans="1:12" ht="16.8" x14ac:dyDescent="0.3">
      <c r="A31" s="186"/>
      <c r="B31" s="189"/>
      <c r="C31" s="193"/>
      <c r="D31" s="189"/>
      <c r="E31" s="189">
        <v>1</v>
      </c>
      <c r="F31" s="189">
        <v>1</v>
      </c>
      <c r="G31" s="190" t="s">
        <v>1303</v>
      </c>
      <c r="H31" s="189"/>
      <c r="I31" s="191">
        <v>3.57</v>
      </c>
      <c r="J31" s="192">
        <f t="shared" si="0"/>
        <v>3.57</v>
      </c>
      <c r="L31" s="185" t="s">
        <v>57</v>
      </c>
    </row>
    <row r="32" spans="1:12" ht="16.8" x14ac:dyDescent="0.3">
      <c r="A32" s="186"/>
      <c r="B32" s="189"/>
      <c r="C32" s="193"/>
      <c r="D32" s="189"/>
      <c r="E32" s="189">
        <v>2</v>
      </c>
      <c r="F32" s="189">
        <v>2</v>
      </c>
      <c r="G32" s="190" t="s">
        <v>1304</v>
      </c>
      <c r="H32" s="189"/>
      <c r="I32" s="191">
        <v>3.22</v>
      </c>
      <c r="J32" s="192">
        <f t="shared" si="0"/>
        <v>6.44</v>
      </c>
      <c r="L32" s="16" t="s">
        <v>57</v>
      </c>
    </row>
    <row r="33" spans="1:12" ht="16.8" x14ac:dyDescent="0.3">
      <c r="A33" s="186"/>
      <c r="B33" s="189"/>
      <c r="C33" s="193"/>
      <c r="D33" s="189"/>
      <c r="E33" s="189">
        <v>4</v>
      </c>
      <c r="F33" s="189">
        <v>4</v>
      </c>
      <c r="G33" s="190" t="s">
        <v>1305</v>
      </c>
      <c r="H33" s="189"/>
      <c r="I33" s="191">
        <v>2.48</v>
      </c>
      <c r="J33" s="192">
        <f t="shared" si="0"/>
        <v>9.92</v>
      </c>
      <c r="L33" s="185" t="s">
        <v>57</v>
      </c>
    </row>
    <row r="34" spans="1:12" ht="16.8" x14ac:dyDescent="0.3">
      <c r="A34" s="186"/>
      <c r="B34" s="189"/>
      <c r="C34" s="193"/>
      <c r="D34" s="189"/>
      <c r="E34" s="189">
        <v>2</v>
      </c>
      <c r="F34" s="189">
        <v>2</v>
      </c>
      <c r="G34" s="190" t="s">
        <v>1306</v>
      </c>
      <c r="H34" s="189"/>
      <c r="I34" s="191">
        <v>2.2200000000000002</v>
      </c>
      <c r="J34" s="192">
        <f t="shared" si="0"/>
        <v>4.4400000000000004</v>
      </c>
      <c r="L34" s="185" t="s">
        <v>57</v>
      </c>
    </row>
    <row r="35" spans="1:12" ht="16.8" x14ac:dyDescent="0.3">
      <c r="A35" s="186"/>
      <c r="B35" s="189"/>
      <c r="C35" s="193"/>
      <c r="D35" s="189"/>
      <c r="E35" s="189">
        <v>3</v>
      </c>
      <c r="F35" s="189">
        <v>3</v>
      </c>
      <c r="G35" s="190" t="s">
        <v>1307</v>
      </c>
      <c r="H35" s="189"/>
      <c r="I35" s="191">
        <v>3.65</v>
      </c>
      <c r="J35" s="192">
        <f t="shared" si="0"/>
        <v>10.95</v>
      </c>
      <c r="L35" s="16" t="s">
        <v>57</v>
      </c>
    </row>
    <row r="36" spans="1:12" ht="16.8" x14ac:dyDescent="0.3">
      <c r="A36" s="186"/>
      <c r="B36" s="189"/>
      <c r="C36" s="193"/>
      <c r="D36" s="189"/>
      <c r="E36" s="189">
        <v>1</v>
      </c>
      <c r="F36" s="189">
        <v>1</v>
      </c>
      <c r="G36" s="190" t="s">
        <v>1299</v>
      </c>
      <c r="H36" s="189"/>
      <c r="I36" s="191">
        <v>1.17</v>
      </c>
      <c r="J36" s="192">
        <f t="shared" si="0"/>
        <v>1.17</v>
      </c>
      <c r="L36" s="185" t="s">
        <v>57</v>
      </c>
    </row>
    <row r="37" spans="1:12" ht="16.8" x14ac:dyDescent="0.3">
      <c r="A37" s="186"/>
      <c r="B37" s="189"/>
      <c r="C37" s="193"/>
      <c r="D37" s="189"/>
      <c r="E37" s="189">
        <v>1</v>
      </c>
      <c r="F37" s="189">
        <v>1</v>
      </c>
      <c r="G37" s="190" t="s">
        <v>1308</v>
      </c>
      <c r="H37" s="189"/>
      <c r="I37" s="191">
        <v>13.48</v>
      </c>
      <c r="J37" s="192">
        <f t="shared" si="0"/>
        <v>13.48</v>
      </c>
      <c r="L37" s="185" t="s">
        <v>57</v>
      </c>
    </row>
    <row r="38" spans="1:12" ht="16.8" x14ac:dyDescent="0.3">
      <c r="A38" s="186"/>
      <c r="B38" s="189"/>
      <c r="C38" s="193"/>
      <c r="D38" s="189"/>
      <c r="E38" s="189">
        <v>1</v>
      </c>
      <c r="F38" s="189">
        <v>1</v>
      </c>
      <c r="G38" s="190" t="s">
        <v>1309</v>
      </c>
      <c r="H38" s="189"/>
      <c r="I38" s="191">
        <v>1.74</v>
      </c>
      <c r="J38" s="192">
        <f t="shared" si="0"/>
        <v>1.74</v>
      </c>
      <c r="L38" s="16" t="s">
        <v>57</v>
      </c>
    </row>
    <row r="39" spans="1:12" ht="16.8" x14ac:dyDescent="0.3">
      <c r="A39" s="186"/>
      <c r="B39" s="189"/>
      <c r="C39" s="193"/>
      <c r="D39" s="189"/>
      <c r="E39" s="189">
        <v>1</v>
      </c>
      <c r="F39" s="189">
        <v>1</v>
      </c>
      <c r="G39" s="190" t="s">
        <v>1310</v>
      </c>
      <c r="H39" s="189"/>
      <c r="I39" s="191">
        <v>1.74</v>
      </c>
      <c r="J39" s="192">
        <f>E39*I39</f>
        <v>1.74</v>
      </c>
      <c r="L39" s="185" t="s">
        <v>57</v>
      </c>
    </row>
    <row r="40" spans="1:12" ht="16.8" x14ac:dyDescent="0.3">
      <c r="A40" s="274">
        <v>45991</v>
      </c>
      <c r="B40" s="277" t="s">
        <v>1311</v>
      </c>
      <c r="C40" s="195"/>
      <c r="D40" s="195"/>
      <c r="E40" s="196">
        <v>3</v>
      </c>
      <c r="F40" s="196"/>
      <c r="G40" s="197" t="s">
        <v>1312</v>
      </c>
      <c r="H40" s="198" t="s">
        <v>346</v>
      </c>
      <c r="I40" s="199">
        <v>4.4348000000000001</v>
      </c>
      <c r="J40" s="170">
        <f>I40*E40</f>
        <v>13.304400000000001</v>
      </c>
      <c r="L40" s="185" t="s">
        <v>57</v>
      </c>
    </row>
    <row r="41" spans="1:12" ht="16.8" x14ac:dyDescent="0.3">
      <c r="A41" s="288"/>
      <c r="B41" s="278"/>
      <c r="C41" s="200"/>
      <c r="D41" s="200"/>
      <c r="E41" s="201">
        <v>1</v>
      </c>
      <c r="F41" s="201"/>
      <c r="G41" s="188" t="s">
        <v>1313</v>
      </c>
      <c r="H41" s="187" t="s">
        <v>455</v>
      </c>
      <c r="I41" s="202">
        <v>4.7826000000000004</v>
      </c>
      <c r="J41" s="171">
        <f t="shared" ref="J41:J134" si="1">I41*E41</f>
        <v>4.7826000000000004</v>
      </c>
      <c r="L41" s="16" t="s">
        <v>57</v>
      </c>
    </row>
    <row r="42" spans="1:12" ht="16.8" x14ac:dyDescent="0.3">
      <c r="A42" s="288"/>
      <c r="B42" s="278"/>
      <c r="C42" s="200"/>
      <c r="D42" s="200"/>
      <c r="E42" s="201">
        <v>2</v>
      </c>
      <c r="F42" s="201">
        <v>2</v>
      </c>
      <c r="G42" s="188" t="s">
        <v>1314</v>
      </c>
      <c r="H42" s="187" t="s">
        <v>1315</v>
      </c>
      <c r="I42" s="202">
        <v>29.739100000000001</v>
      </c>
      <c r="J42" s="171">
        <f>I42*E42</f>
        <v>59.478200000000001</v>
      </c>
      <c r="L42" s="185" t="s">
        <v>57</v>
      </c>
    </row>
    <row r="43" spans="1:12" ht="16.8" x14ac:dyDescent="0.3">
      <c r="A43" s="288"/>
      <c r="B43" s="278"/>
      <c r="C43" s="200"/>
      <c r="D43" s="200"/>
      <c r="E43" s="201">
        <v>4</v>
      </c>
      <c r="F43" s="201">
        <v>4</v>
      </c>
      <c r="G43" s="188" t="s">
        <v>1316</v>
      </c>
      <c r="H43" s="187" t="s">
        <v>1317</v>
      </c>
      <c r="I43" s="202">
        <v>0.91300000000000003</v>
      </c>
      <c r="J43" s="171">
        <f t="shared" si="1"/>
        <v>3.6520000000000001</v>
      </c>
      <c r="L43" s="185" t="s">
        <v>57</v>
      </c>
    </row>
    <row r="44" spans="1:12" ht="16.8" x14ac:dyDescent="0.3">
      <c r="A44" s="288"/>
      <c r="B44" s="278"/>
      <c r="C44" s="200"/>
      <c r="D44" s="200"/>
      <c r="E44" s="201">
        <v>4</v>
      </c>
      <c r="F44" s="201">
        <v>4</v>
      </c>
      <c r="G44" s="188" t="s">
        <v>1316</v>
      </c>
      <c r="H44" s="187" t="s">
        <v>1317</v>
      </c>
      <c r="I44" s="172">
        <v>0.60870000000000002</v>
      </c>
      <c r="J44" s="171">
        <f t="shared" si="1"/>
        <v>2.4348000000000001</v>
      </c>
      <c r="L44" s="16" t="s">
        <v>57</v>
      </c>
    </row>
    <row r="45" spans="1:12" ht="16.8" x14ac:dyDescent="0.3">
      <c r="A45" s="288"/>
      <c r="B45" s="278"/>
      <c r="C45" s="200"/>
      <c r="D45" s="200"/>
      <c r="E45" s="201">
        <v>1</v>
      </c>
      <c r="F45" s="201">
        <v>1</v>
      </c>
      <c r="G45" s="188" t="s">
        <v>1316</v>
      </c>
      <c r="H45" s="187" t="s">
        <v>1317</v>
      </c>
      <c r="I45" s="172">
        <v>3.7391000000000001</v>
      </c>
      <c r="J45" s="171">
        <f t="shared" si="1"/>
        <v>3.7391000000000001</v>
      </c>
      <c r="L45" s="185" t="s">
        <v>57</v>
      </c>
    </row>
    <row r="46" spans="1:12" ht="16.8" x14ac:dyDescent="0.3">
      <c r="A46" s="288"/>
      <c r="B46" s="278"/>
      <c r="C46" s="200"/>
      <c r="D46" s="200"/>
      <c r="E46" s="201">
        <v>3</v>
      </c>
      <c r="F46" s="201">
        <v>3</v>
      </c>
      <c r="G46" s="188" t="s">
        <v>1318</v>
      </c>
      <c r="H46" s="187" t="s">
        <v>1317</v>
      </c>
      <c r="I46" s="172">
        <v>7.7390999999999996</v>
      </c>
      <c r="J46" s="171">
        <f t="shared" si="1"/>
        <v>23.217299999999998</v>
      </c>
      <c r="L46" s="185" t="s">
        <v>57</v>
      </c>
    </row>
    <row r="47" spans="1:12" ht="16.8" x14ac:dyDescent="0.3">
      <c r="A47" s="288"/>
      <c r="B47" s="278"/>
      <c r="C47" s="200"/>
      <c r="D47" s="200"/>
      <c r="E47" s="201">
        <v>3</v>
      </c>
      <c r="F47" s="201">
        <v>3</v>
      </c>
      <c r="G47" s="188" t="s">
        <v>1319</v>
      </c>
      <c r="H47" s="187" t="s">
        <v>1315</v>
      </c>
      <c r="I47" s="172">
        <v>2.3477999999999999</v>
      </c>
      <c r="J47" s="171">
        <f t="shared" si="1"/>
        <v>7.0434000000000001</v>
      </c>
      <c r="L47" s="16" t="s">
        <v>57</v>
      </c>
    </row>
    <row r="48" spans="1:12" ht="16.8" x14ac:dyDescent="0.3">
      <c r="A48" s="288"/>
      <c r="B48" s="278"/>
      <c r="C48" s="200"/>
      <c r="D48" s="200"/>
      <c r="E48" s="201">
        <v>3</v>
      </c>
      <c r="F48" s="201">
        <v>3</v>
      </c>
      <c r="G48" s="188" t="s">
        <v>1320</v>
      </c>
      <c r="H48" s="187" t="s">
        <v>1317</v>
      </c>
      <c r="I48" s="172">
        <v>0.52170000000000005</v>
      </c>
      <c r="J48" s="171">
        <f t="shared" si="1"/>
        <v>1.5651000000000002</v>
      </c>
      <c r="L48" s="185" t="s">
        <v>57</v>
      </c>
    </row>
    <row r="49" spans="1:12" ht="16.8" x14ac:dyDescent="0.3">
      <c r="A49" s="288"/>
      <c r="B49" s="278"/>
      <c r="C49" s="200"/>
      <c r="D49" s="200"/>
      <c r="E49" s="201">
        <v>5</v>
      </c>
      <c r="F49" s="201">
        <v>5</v>
      </c>
      <c r="G49" s="188" t="s">
        <v>1321</v>
      </c>
      <c r="H49" s="187" t="s">
        <v>1317</v>
      </c>
      <c r="I49" s="172">
        <v>1.6521999999999999</v>
      </c>
      <c r="J49" s="171">
        <f t="shared" si="1"/>
        <v>8.2609999999999992</v>
      </c>
      <c r="L49" s="185" t="s">
        <v>57</v>
      </c>
    </row>
    <row r="50" spans="1:12" ht="16.8" x14ac:dyDescent="0.3">
      <c r="A50" s="288"/>
      <c r="B50" s="278"/>
      <c r="C50" s="200"/>
      <c r="D50" s="200"/>
      <c r="E50" s="201">
        <v>1</v>
      </c>
      <c r="F50" s="201">
        <v>1</v>
      </c>
      <c r="G50" s="188" t="s">
        <v>1322</v>
      </c>
      <c r="H50" s="187" t="s">
        <v>1315</v>
      </c>
      <c r="I50" s="172">
        <v>2.1739000000000002</v>
      </c>
      <c r="J50" s="171">
        <f t="shared" si="1"/>
        <v>2.1739000000000002</v>
      </c>
      <c r="L50" s="16" t="s">
        <v>57</v>
      </c>
    </row>
    <row r="51" spans="1:12" ht="16.8" x14ac:dyDescent="0.3">
      <c r="A51" s="288"/>
      <c r="B51" s="278"/>
      <c r="C51" s="200"/>
      <c r="D51" s="200"/>
      <c r="E51" s="201">
        <v>3</v>
      </c>
      <c r="F51" s="201">
        <v>3</v>
      </c>
      <c r="G51" s="188" t="s">
        <v>1323</v>
      </c>
      <c r="H51" s="187" t="s">
        <v>1315</v>
      </c>
      <c r="I51" s="172">
        <v>0.43480000000000002</v>
      </c>
      <c r="J51" s="171">
        <f t="shared" si="1"/>
        <v>1.3044</v>
      </c>
      <c r="L51" s="185" t="s">
        <v>57</v>
      </c>
    </row>
    <row r="52" spans="1:12" ht="16.8" x14ac:dyDescent="0.3">
      <c r="A52" s="288"/>
      <c r="B52" s="278"/>
      <c r="C52" s="200"/>
      <c r="D52" s="200"/>
      <c r="E52" s="201">
        <v>3</v>
      </c>
      <c r="F52" s="201">
        <v>3</v>
      </c>
      <c r="G52" s="188" t="s">
        <v>1324</v>
      </c>
      <c r="H52" s="187" t="s">
        <v>1315</v>
      </c>
      <c r="I52" s="172">
        <v>0.60870000000000002</v>
      </c>
      <c r="J52" s="171">
        <f t="shared" si="1"/>
        <v>1.8261000000000001</v>
      </c>
      <c r="L52" s="185" t="s">
        <v>57</v>
      </c>
    </row>
    <row r="53" spans="1:12" ht="16.8" x14ac:dyDescent="0.3">
      <c r="A53" s="288"/>
      <c r="B53" s="278"/>
      <c r="C53" s="200"/>
      <c r="D53" s="200"/>
      <c r="E53" s="201">
        <v>4</v>
      </c>
      <c r="F53" s="201">
        <v>4</v>
      </c>
      <c r="G53" s="188" t="s">
        <v>1325</v>
      </c>
      <c r="H53" s="203" t="s">
        <v>346</v>
      </c>
      <c r="I53" s="172">
        <v>0.3478</v>
      </c>
      <c r="J53" s="171">
        <f t="shared" si="1"/>
        <v>1.3912</v>
      </c>
      <c r="L53" s="16" t="s">
        <v>57</v>
      </c>
    </row>
    <row r="54" spans="1:12" ht="16.8" x14ac:dyDescent="0.3">
      <c r="A54" s="288"/>
      <c r="B54" s="278"/>
      <c r="C54" s="200"/>
      <c r="D54" s="200"/>
      <c r="E54" s="201">
        <v>6</v>
      </c>
      <c r="F54" s="201">
        <v>6</v>
      </c>
      <c r="G54" s="188" t="s">
        <v>1326</v>
      </c>
      <c r="H54" s="187" t="s">
        <v>1317</v>
      </c>
      <c r="I54" s="172">
        <v>1.4348000000000001</v>
      </c>
      <c r="J54" s="171">
        <f t="shared" si="1"/>
        <v>8.6088000000000005</v>
      </c>
      <c r="L54" s="185" t="s">
        <v>57</v>
      </c>
    </row>
    <row r="55" spans="1:12" ht="16.8" x14ac:dyDescent="0.3">
      <c r="A55" s="288"/>
      <c r="B55" s="278"/>
      <c r="C55" s="200"/>
      <c r="D55" s="200"/>
      <c r="E55" s="201">
        <v>3</v>
      </c>
      <c r="F55" s="201">
        <v>3</v>
      </c>
      <c r="G55" s="188" t="s">
        <v>1327</v>
      </c>
      <c r="H55" s="187" t="s">
        <v>1317</v>
      </c>
      <c r="I55" s="172">
        <v>1.4348000000000001</v>
      </c>
      <c r="J55" s="171">
        <f t="shared" si="1"/>
        <v>4.3044000000000002</v>
      </c>
      <c r="L55" s="185" t="s">
        <v>57</v>
      </c>
    </row>
    <row r="56" spans="1:12" ht="16.8" x14ac:dyDescent="0.3">
      <c r="A56" s="288"/>
      <c r="B56" s="278"/>
      <c r="C56" s="200"/>
      <c r="D56" s="200"/>
      <c r="E56" s="201">
        <v>6</v>
      </c>
      <c r="F56" s="201">
        <v>6</v>
      </c>
      <c r="G56" s="188" t="s">
        <v>1328</v>
      </c>
      <c r="H56" s="187" t="s">
        <v>269</v>
      </c>
      <c r="I56" s="172">
        <v>2.0870000000000002</v>
      </c>
      <c r="J56" s="171">
        <f t="shared" si="1"/>
        <v>12.522000000000002</v>
      </c>
      <c r="L56" s="16" t="s">
        <v>57</v>
      </c>
    </row>
    <row r="57" spans="1:12" ht="16.8" x14ac:dyDescent="0.3">
      <c r="A57" s="289"/>
      <c r="B57" s="279"/>
      <c r="C57" s="204"/>
      <c r="D57" s="204"/>
      <c r="E57" s="205">
        <v>3</v>
      </c>
      <c r="F57" s="205">
        <v>3</v>
      </c>
      <c r="G57" s="206" t="s">
        <v>1329</v>
      </c>
      <c r="H57" s="207" t="s">
        <v>1317</v>
      </c>
      <c r="I57" s="173">
        <v>3.9129999999999998</v>
      </c>
      <c r="J57" s="174">
        <f t="shared" si="1"/>
        <v>11.738999999999999</v>
      </c>
      <c r="L57" s="185" t="s">
        <v>57</v>
      </c>
    </row>
    <row r="58" spans="1:12" ht="16.8" x14ac:dyDescent="0.3">
      <c r="A58" s="274">
        <v>45991</v>
      </c>
      <c r="B58" s="290" t="s">
        <v>1330</v>
      </c>
      <c r="C58" s="208"/>
      <c r="D58" s="209"/>
      <c r="E58" s="210">
        <v>6</v>
      </c>
      <c r="F58" s="210">
        <v>6</v>
      </c>
      <c r="G58" s="197" t="s">
        <v>1331</v>
      </c>
      <c r="H58" s="211" t="s">
        <v>1317</v>
      </c>
      <c r="I58" s="175">
        <v>1.1738999999999999</v>
      </c>
      <c r="J58" s="170">
        <f t="shared" si="1"/>
        <v>7.0434000000000001</v>
      </c>
      <c r="L58" s="185" t="s">
        <v>57</v>
      </c>
    </row>
    <row r="59" spans="1:12" ht="16.8" x14ac:dyDescent="0.3">
      <c r="A59" s="275"/>
      <c r="B59" s="291"/>
      <c r="C59" s="212"/>
      <c r="D59" s="213"/>
      <c r="E59" s="201">
        <v>3</v>
      </c>
      <c r="F59" s="201">
        <v>3</v>
      </c>
      <c r="G59" s="187" t="s">
        <v>1332</v>
      </c>
      <c r="H59" s="187" t="s">
        <v>1317</v>
      </c>
      <c r="I59" s="172">
        <v>0.69569999999999999</v>
      </c>
      <c r="J59" s="171">
        <f t="shared" si="1"/>
        <v>2.0871</v>
      </c>
      <c r="L59" s="16" t="s">
        <v>57</v>
      </c>
    </row>
    <row r="60" spans="1:12" ht="16.8" x14ac:dyDescent="0.3">
      <c r="A60" s="275"/>
      <c r="B60" s="291"/>
      <c r="C60" s="212"/>
      <c r="D60" s="213"/>
      <c r="E60" s="201">
        <v>5</v>
      </c>
      <c r="F60" s="201">
        <v>5</v>
      </c>
      <c r="G60" s="188" t="s">
        <v>1333</v>
      </c>
      <c r="H60" s="187" t="s">
        <v>1317</v>
      </c>
      <c r="I60" s="172">
        <v>1.5651999999999999</v>
      </c>
      <c r="J60" s="171">
        <f t="shared" si="1"/>
        <v>7.8259999999999996</v>
      </c>
      <c r="L60" s="185" t="s">
        <v>57</v>
      </c>
    </row>
    <row r="61" spans="1:12" ht="16.8" x14ac:dyDescent="0.3">
      <c r="A61" s="275"/>
      <c r="B61" s="291"/>
      <c r="C61" s="212"/>
      <c r="D61" s="213"/>
      <c r="E61" s="201">
        <v>5</v>
      </c>
      <c r="F61" s="201">
        <v>5</v>
      </c>
      <c r="G61" s="188" t="s">
        <v>1334</v>
      </c>
      <c r="H61" s="187" t="s">
        <v>1317</v>
      </c>
      <c r="I61" s="172">
        <v>2.3913000000000002</v>
      </c>
      <c r="J61" s="171">
        <f t="shared" si="1"/>
        <v>11.956500000000002</v>
      </c>
      <c r="L61" s="185" t="s">
        <v>57</v>
      </c>
    </row>
    <row r="62" spans="1:12" ht="16.8" x14ac:dyDescent="0.3">
      <c r="A62" s="275"/>
      <c r="B62" s="291"/>
      <c r="C62" s="212"/>
      <c r="D62" s="213"/>
      <c r="E62" s="201">
        <v>2</v>
      </c>
      <c r="F62" s="201">
        <v>2</v>
      </c>
      <c r="G62" s="188" t="s">
        <v>1335</v>
      </c>
      <c r="H62" s="187" t="s">
        <v>1336</v>
      </c>
      <c r="I62" s="172">
        <v>1.3043</v>
      </c>
      <c r="J62" s="171">
        <f t="shared" si="1"/>
        <v>2.6086</v>
      </c>
      <c r="L62" s="16" t="s">
        <v>57</v>
      </c>
    </row>
    <row r="63" spans="1:12" ht="16.8" x14ac:dyDescent="0.3">
      <c r="A63" s="275"/>
      <c r="B63" s="291"/>
      <c r="C63" s="212"/>
      <c r="D63" s="213"/>
      <c r="E63" s="201">
        <v>1</v>
      </c>
      <c r="F63" s="201"/>
      <c r="G63" s="188" t="s">
        <v>1337</v>
      </c>
      <c r="H63" s="187" t="s">
        <v>1317</v>
      </c>
      <c r="I63" s="172">
        <v>6.5217000000000001</v>
      </c>
      <c r="J63" s="171">
        <f t="shared" si="1"/>
        <v>6.5217000000000001</v>
      </c>
      <c r="L63" s="185" t="s">
        <v>57</v>
      </c>
    </row>
    <row r="64" spans="1:12" ht="16.8" x14ac:dyDescent="0.3">
      <c r="A64" s="275"/>
      <c r="B64" s="291"/>
      <c r="C64" s="212"/>
      <c r="D64" s="213"/>
      <c r="E64" s="201">
        <v>2</v>
      </c>
      <c r="F64" s="201">
        <v>2</v>
      </c>
      <c r="G64" s="188" t="s">
        <v>1338</v>
      </c>
      <c r="H64" s="187" t="s">
        <v>1317</v>
      </c>
      <c r="I64" s="172">
        <v>2.6086999999999998</v>
      </c>
      <c r="J64" s="171">
        <f t="shared" si="1"/>
        <v>5.2173999999999996</v>
      </c>
      <c r="L64" s="185" t="s">
        <v>57</v>
      </c>
    </row>
    <row r="65" spans="1:12" ht="16.8" x14ac:dyDescent="0.3">
      <c r="A65" s="275"/>
      <c r="B65" s="291"/>
      <c r="C65" s="212"/>
      <c r="D65" s="213"/>
      <c r="E65" s="201">
        <v>1</v>
      </c>
      <c r="F65" s="201">
        <v>1</v>
      </c>
      <c r="G65" s="188" t="s">
        <v>1281</v>
      </c>
      <c r="H65" s="187" t="s">
        <v>1317</v>
      </c>
      <c r="I65" s="172">
        <v>1.7391000000000001</v>
      </c>
      <c r="J65" s="171">
        <f t="shared" si="1"/>
        <v>1.7391000000000001</v>
      </c>
      <c r="L65" s="16" t="s">
        <v>57</v>
      </c>
    </row>
    <row r="66" spans="1:12" ht="16.8" x14ac:dyDescent="0.3">
      <c r="A66" s="275"/>
      <c r="B66" s="291"/>
      <c r="C66" s="212"/>
      <c r="D66" s="213"/>
      <c r="E66" s="201">
        <v>3</v>
      </c>
      <c r="F66" s="201">
        <v>3</v>
      </c>
      <c r="G66" s="188" t="s">
        <v>1319</v>
      </c>
      <c r="H66" s="187" t="s">
        <v>1317</v>
      </c>
      <c r="I66" s="172">
        <v>7.4348000000000001</v>
      </c>
      <c r="J66" s="171">
        <f t="shared" si="1"/>
        <v>22.304400000000001</v>
      </c>
      <c r="L66" s="185" t="s">
        <v>57</v>
      </c>
    </row>
    <row r="67" spans="1:12" ht="16.8" x14ac:dyDescent="0.3">
      <c r="A67" s="276"/>
      <c r="B67" s="292"/>
      <c r="C67" s="214"/>
      <c r="D67" s="215"/>
      <c r="E67" s="205">
        <v>4</v>
      </c>
      <c r="F67" s="205">
        <v>4</v>
      </c>
      <c r="G67" s="206" t="s">
        <v>1338</v>
      </c>
      <c r="H67" s="207" t="s">
        <v>1317</v>
      </c>
      <c r="I67" s="173">
        <v>1.8695999999999999</v>
      </c>
      <c r="J67" s="174">
        <f t="shared" si="1"/>
        <v>7.4783999999999997</v>
      </c>
      <c r="L67" s="185" t="s">
        <v>57</v>
      </c>
    </row>
    <row r="68" spans="1:12" ht="16.8" x14ac:dyDescent="0.3">
      <c r="A68" s="283" t="s">
        <v>1339</v>
      </c>
      <c r="B68" s="284"/>
      <c r="C68" s="284"/>
      <c r="D68" s="284"/>
      <c r="E68" s="284"/>
      <c r="F68" s="284"/>
      <c r="G68" s="284"/>
      <c r="H68" s="284"/>
      <c r="I68" s="284"/>
      <c r="J68" s="285"/>
      <c r="L68" s="16" t="s">
        <v>57</v>
      </c>
    </row>
    <row r="69" spans="1:12" ht="16.8" x14ac:dyDescent="0.3">
      <c r="A69" s="274">
        <v>45994</v>
      </c>
      <c r="B69" s="277" t="s">
        <v>1340</v>
      </c>
      <c r="C69" s="195"/>
      <c r="D69" s="195"/>
      <c r="E69" s="210">
        <v>1</v>
      </c>
      <c r="F69" s="210">
        <v>1</v>
      </c>
      <c r="G69" s="197" t="s">
        <v>1341</v>
      </c>
      <c r="H69" s="211" t="s">
        <v>405</v>
      </c>
      <c r="I69" s="175">
        <v>3.75</v>
      </c>
      <c r="J69" s="170">
        <f t="shared" si="1"/>
        <v>3.75</v>
      </c>
      <c r="L69" s="185" t="s">
        <v>57</v>
      </c>
    </row>
    <row r="70" spans="1:12" ht="16.8" x14ac:dyDescent="0.3">
      <c r="A70" s="275"/>
      <c r="B70" s="278"/>
      <c r="C70" s="200"/>
      <c r="D70" s="200"/>
      <c r="E70" s="201">
        <v>1</v>
      </c>
      <c r="F70" s="201">
        <v>1</v>
      </c>
      <c r="G70" s="188" t="s">
        <v>1342</v>
      </c>
      <c r="H70" s="187" t="s">
        <v>405</v>
      </c>
      <c r="I70" s="172">
        <v>2.38</v>
      </c>
      <c r="J70" s="171">
        <f t="shared" si="1"/>
        <v>2.38</v>
      </c>
      <c r="L70" s="185" t="s">
        <v>57</v>
      </c>
    </row>
    <row r="71" spans="1:12" ht="16.8" x14ac:dyDescent="0.3">
      <c r="A71" s="275"/>
      <c r="B71" s="278"/>
      <c r="C71" s="200"/>
      <c r="D71" s="200"/>
      <c r="E71" s="201">
        <v>1</v>
      </c>
      <c r="F71" s="201">
        <v>1</v>
      </c>
      <c r="G71" s="188" t="s">
        <v>1343</v>
      </c>
      <c r="H71" s="187" t="s">
        <v>405</v>
      </c>
      <c r="I71" s="172">
        <v>1.88</v>
      </c>
      <c r="J71" s="171">
        <f t="shared" si="1"/>
        <v>1.88</v>
      </c>
      <c r="L71" s="16" t="s">
        <v>57</v>
      </c>
    </row>
    <row r="72" spans="1:12" ht="16.8" x14ac:dyDescent="0.3">
      <c r="A72" s="276"/>
      <c r="B72" s="279"/>
      <c r="C72" s="204"/>
      <c r="D72" s="204"/>
      <c r="E72" s="205">
        <v>1</v>
      </c>
      <c r="F72" s="205">
        <v>1</v>
      </c>
      <c r="G72" s="206" t="s">
        <v>1344</v>
      </c>
      <c r="H72" s="207" t="s">
        <v>405</v>
      </c>
      <c r="I72" s="173">
        <v>4</v>
      </c>
      <c r="J72" s="174">
        <f t="shared" si="1"/>
        <v>4</v>
      </c>
      <c r="L72" s="185" t="s">
        <v>57</v>
      </c>
    </row>
    <row r="73" spans="1:12" ht="16.8" x14ac:dyDescent="0.3">
      <c r="A73" s="280">
        <v>45996</v>
      </c>
      <c r="B73" s="277" t="s">
        <v>1345</v>
      </c>
      <c r="C73" s="195"/>
      <c r="D73" s="195"/>
      <c r="E73" s="210">
        <v>1</v>
      </c>
      <c r="F73" s="210">
        <v>1</v>
      </c>
      <c r="G73" s="197" t="s">
        <v>1341</v>
      </c>
      <c r="H73" s="211" t="s">
        <v>405</v>
      </c>
      <c r="I73" s="175">
        <v>3.75</v>
      </c>
      <c r="J73" s="170">
        <f t="shared" si="1"/>
        <v>3.75</v>
      </c>
      <c r="L73" s="185" t="s">
        <v>57</v>
      </c>
    </row>
    <row r="74" spans="1:12" ht="16.8" x14ac:dyDescent="0.3">
      <c r="A74" s="281"/>
      <c r="B74" s="278"/>
      <c r="C74" s="200"/>
      <c r="D74" s="200"/>
      <c r="E74" s="201">
        <v>1</v>
      </c>
      <c r="F74" s="201">
        <v>1</v>
      </c>
      <c r="G74" s="188" t="s">
        <v>1342</v>
      </c>
      <c r="H74" s="187" t="s">
        <v>405</v>
      </c>
      <c r="I74" s="172">
        <v>2.38</v>
      </c>
      <c r="J74" s="171">
        <f t="shared" si="1"/>
        <v>2.38</v>
      </c>
      <c r="L74" s="16" t="s">
        <v>57</v>
      </c>
    </row>
    <row r="75" spans="1:12" ht="16.8" x14ac:dyDescent="0.3">
      <c r="A75" s="281"/>
      <c r="B75" s="278"/>
      <c r="C75" s="200"/>
      <c r="D75" s="200"/>
      <c r="E75" s="201">
        <v>1</v>
      </c>
      <c r="F75" s="201">
        <v>1</v>
      </c>
      <c r="G75" s="188" t="s">
        <v>1343</v>
      </c>
      <c r="H75" s="187" t="s">
        <v>405</v>
      </c>
      <c r="I75" s="172">
        <v>1.88</v>
      </c>
      <c r="J75" s="171">
        <f t="shared" si="1"/>
        <v>1.88</v>
      </c>
      <c r="L75" s="185" t="s">
        <v>57</v>
      </c>
    </row>
    <row r="76" spans="1:12" ht="16.8" x14ac:dyDescent="0.3">
      <c r="A76" s="282"/>
      <c r="B76" s="279"/>
      <c r="C76" s="204"/>
      <c r="D76" s="204"/>
      <c r="E76" s="205">
        <v>1</v>
      </c>
      <c r="F76" s="205">
        <v>1</v>
      </c>
      <c r="G76" s="206" t="s">
        <v>1344</v>
      </c>
      <c r="H76" s="207" t="s">
        <v>405</v>
      </c>
      <c r="I76" s="173">
        <v>4</v>
      </c>
      <c r="J76" s="174">
        <f t="shared" si="1"/>
        <v>4</v>
      </c>
      <c r="L76" s="185" t="s">
        <v>57</v>
      </c>
    </row>
    <row r="77" spans="1:12" ht="16.8" x14ac:dyDescent="0.3">
      <c r="A77" s="274">
        <v>374725</v>
      </c>
      <c r="B77" s="277" t="s">
        <v>1346</v>
      </c>
      <c r="C77" s="195"/>
      <c r="D77" s="195"/>
      <c r="E77" s="210">
        <v>1</v>
      </c>
      <c r="F77" s="210">
        <v>1</v>
      </c>
      <c r="G77" s="197" t="s">
        <v>1347</v>
      </c>
      <c r="H77" s="211" t="s">
        <v>1317</v>
      </c>
      <c r="I77" s="175">
        <v>33.478299999999997</v>
      </c>
      <c r="J77" s="170">
        <f t="shared" si="1"/>
        <v>33.478299999999997</v>
      </c>
      <c r="L77" s="16" t="s">
        <v>57</v>
      </c>
    </row>
    <row r="78" spans="1:12" ht="16.8" x14ac:dyDescent="0.3">
      <c r="A78" s="275"/>
      <c r="B78" s="278"/>
      <c r="C78" s="200"/>
      <c r="D78" s="200"/>
      <c r="E78" s="201">
        <v>3</v>
      </c>
      <c r="F78" s="201">
        <v>3</v>
      </c>
      <c r="G78" s="188" t="s">
        <v>1348</v>
      </c>
      <c r="H78" s="187" t="s">
        <v>1317</v>
      </c>
      <c r="I78" s="172">
        <v>1.0435000000000001</v>
      </c>
      <c r="J78" s="171">
        <f t="shared" si="1"/>
        <v>3.1305000000000005</v>
      </c>
      <c r="L78" s="185" t="s">
        <v>57</v>
      </c>
    </row>
    <row r="79" spans="1:12" ht="16.8" x14ac:dyDescent="0.3">
      <c r="A79" s="275"/>
      <c r="B79" s="278"/>
      <c r="C79" s="200"/>
      <c r="D79" s="200"/>
      <c r="E79" s="201">
        <v>2</v>
      </c>
      <c r="F79" s="201">
        <v>2</v>
      </c>
      <c r="G79" s="188" t="s">
        <v>1349</v>
      </c>
      <c r="H79" s="187" t="s">
        <v>1317</v>
      </c>
      <c r="I79" s="172">
        <v>3.4782999999999999</v>
      </c>
      <c r="J79" s="171">
        <f t="shared" si="1"/>
        <v>6.9565999999999999</v>
      </c>
      <c r="L79" s="185" t="s">
        <v>57</v>
      </c>
    </row>
    <row r="80" spans="1:12" ht="16.8" x14ac:dyDescent="0.3">
      <c r="A80" s="275"/>
      <c r="B80" s="278"/>
      <c r="C80" s="200"/>
      <c r="D80" s="200"/>
      <c r="E80" s="201">
        <v>1</v>
      </c>
      <c r="F80" s="201">
        <v>1</v>
      </c>
      <c r="G80" s="188" t="s">
        <v>1349</v>
      </c>
      <c r="H80" s="187" t="s">
        <v>1317</v>
      </c>
      <c r="I80" s="172">
        <v>3.0434999999999999</v>
      </c>
      <c r="J80" s="171">
        <f t="shared" si="1"/>
        <v>3.0434999999999999</v>
      </c>
      <c r="L80" s="16" t="s">
        <v>57</v>
      </c>
    </row>
    <row r="81" spans="1:12" ht="16.8" x14ac:dyDescent="0.3">
      <c r="A81" s="275"/>
      <c r="B81" s="278"/>
      <c r="C81" s="200"/>
      <c r="D81" s="200"/>
      <c r="E81" s="201">
        <v>1</v>
      </c>
      <c r="F81" s="201">
        <v>1</v>
      </c>
      <c r="G81" s="188" t="s">
        <v>1350</v>
      </c>
      <c r="H81" s="187" t="s">
        <v>1317</v>
      </c>
      <c r="I81" s="172">
        <v>5.6521999999999997</v>
      </c>
      <c r="J81" s="171">
        <f t="shared" si="1"/>
        <v>5.6521999999999997</v>
      </c>
      <c r="L81" s="185" t="s">
        <v>57</v>
      </c>
    </row>
    <row r="82" spans="1:12" ht="16.8" x14ac:dyDescent="0.3">
      <c r="A82" s="275"/>
      <c r="B82" s="278"/>
      <c r="C82" s="200"/>
      <c r="D82" s="200"/>
      <c r="E82" s="201">
        <v>1</v>
      </c>
      <c r="F82" s="201">
        <v>1</v>
      </c>
      <c r="G82" s="188" t="s">
        <v>1351</v>
      </c>
      <c r="H82" s="187" t="s">
        <v>1317</v>
      </c>
      <c r="I82" s="172">
        <v>12.1739</v>
      </c>
      <c r="J82" s="171">
        <f t="shared" si="1"/>
        <v>12.1739</v>
      </c>
      <c r="L82" s="185" t="s">
        <v>57</v>
      </c>
    </row>
    <row r="83" spans="1:12" ht="16.8" x14ac:dyDescent="0.3">
      <c r="A83" s="275"/>
      <c r="B83" s="278"/>
      <c r="C83" s="200"/>
      <c r="D83" s="200"/>
      <c r="E83" s="201">
        <v>2</v>
      </c>
      <c r="F83" s="201"/>
      <c r="G83" s="188" t="s">
        <v>1352</v>
      </c>
      <c r="H83" s="187" t="s">
        <v>346</v>
      </c>
      <c r="I83" s="172">
        <v>3.4782999999999999</v>
      </c>
      <c r="J83" s="171">
        <f t="shared" si="1"/>
        <v>6.9565999999999999</v>
      </c>
      <c r="L83" s="16" t="s">
        <v>57</v>
      </c>
    </row>
    <row r="84" spans="1:12" ht="16.8" x14ac:dyDescent="0.3">
      <c r="A84" s="275"/>
      <c r="B84" s="278"/>
      <c r="C84" s="200"/>
      <c r="D84" s="200"/>
      <c r="E84" s="201">
        <v>1</v>
      </c>
      <c r="F84" s="201">
        <v>1</v>
      </c>
      <c r="G84" s="188" t="s">
        <v>1353</v>
      </c>
      <c r="H84" s="187" t="s">
        <v>1317</v>
      </c>
      <c r="I84" s="172">
        <v>3.9129999999999998</v>
      </c>
      <c r="J84" s="171">
        <f t="shared" si="1"/>
        <v>3.9129999999999998</v>
      </c>
      <c r="L84" s="185" t="s">
        <v>57</v>
      </c>
    </row>
    <row r="85" spans="1:12" ht="16.8" x14ac:dyDescent="0.3">
      <c r="A85" s="275"/>
      <c r="B85" s="278"/>
      <c r="C85" s="200"/>
      <c r="D85" s="200"/>
      <c r="E85" s="201">
        <v>3</v>
      </c>
      <c r="F85" s="201">
        <v>3</v>
      </c>
      <c r="G85" s="188" t="s">
        <v>1354</v>
      </c>
      <c r="H85" s="187" t="s">
        <v>1317</v>
      </c>
      <c r="I85" s="172">
        <v>3.5217000000000001</v>
      </c>
      <c r="J85" s="171">
        <f t="shared" si="1"/>
        <v>10.565100000000001</v>
      </c>
      <c r="L85" s="185" t="s">
        <v>57</v>
      </c>
    </row>
    <row r="86" spans="1:12" ht="16.8" x14ac:dyDescent="0.3">
      <c r="A86" s="275"/>
      <c r="B86" s="278"/>
      <c r="C86" s="200"/>
      <c r="D86" s="200"/>
      <c r="E86" s="201">
        <v>3</v>
      </c>
      <c r="F86" s="201">
        <v>3</v>
      </c>
      <c r="G86" s="188" t="s">
        <v>1355</v>
      </c>
      <c r="H86" s="187" t="s">
        <v>1317</v>
      </c>
      <c r="I86" s="172">
        <v>3.5217000000000001</v>
      </c>
      <c r="J86" s="171">
        <f t="shared" si="1"/>
        <v>10.565100000000001</v>
      </c>
      <c r="L86" s="16" t="s">
        <v>57</v>
      </c>
    </row>
    <row r="87" spans="1:12" ht="16.8" x14ac:dyDescent="0.3">
      <c r="A87" s="275"/>
      <c r="B87" s="278"/>
      <c r="C87" s="200"/>
      <c r="D87" s="200"/>
      <c r="E87" s="201">
        <v>3</v>
      </c>
      <c r="F87" s="201">
        <v>3</v>
      </c>
      <c r="G87" s="188" t="s">
        <v>1356</v>
      </c>
      <c r="H87" s="187" t="s">
        <v>1317</v>
      </c>
      <c r="I87" s="172">
        <v>2.4782999999999999</v>
      </c>
      <c r="J87" s="171">
        <f t="shared" si="1"/>
        <v>7.4348999999999998</v>
      </c>
      <c r="L87" s="185" t="s">
        <v>57</v>
      </c>
    </row>
    <row r="88" spans="1:12" ht="16.8" x14ac:dyDescent="0.3">
      <c r="A88" s="275"/>
      <c r="B88" s="278"/>
      <c r="C88" s="200"/>
      <c r="D88" s="200"/>
      <c r="E88" s="201">
        <v>21</v>
      </c>
      <c r="F88" s="201">
        <v>21</v>
      </c>
      <c r="G88" s="188" t="s">
        <v>1327</v>
      </c>
      <c r="H88" s="187" t="s">
        <v>1317</v>
      </c>
      <c r="I88" s="172">
        <v>1.4348000000000001</v>
      </c>
      <c r="J88" s="171">
        <f t="shared" si="1"/>
        <v>30.130800000000001</v>
      </c>
      <c r="L88" s="185" t="s">
        <v>57</v>
      </c>
    </row>
    <row r="89" spans="1:12" ht="16.8" x14ac:dyDescent="0.3">
      <c r="A89" s="276"/>
      <c r="B89" s="279"/>
      <c r="C89" s="204"/>
      <c r="D89" s="204"/>
      <c r="E89" s="205">
        <v>1</v>
      </c>
      <c r="F89" s="205">
        <v>1</v>
      </c>
      <c r="G89" s="206" t="s">
        <v>1357</v>
      </c>
      <c r="H89" s="207" t="s">
        <v>1317</v>
      </c>
      <c r="I89" s="173">
        <v>2.6086999999999998</v>
      </c>
      <c r="J89" s="174">
        <f t="shared" si="1"/>
        <v>2.6086999999999998</v>
      </c>
      <c r="L89" s="16" t="s">
        <v>57</v>
      </c>
    </row>
    <row r="90" spans="1:12" ht="16.8" x14ac:dyDescent="0.3">
      <c r="A90" s="216">
        <v>374725</v>
      </c>
      <c r="B90" s="217" t="s">
        <v>1358</v>
      </c>
      <c r="C90" s="217"/>
      <c r="D90" s="217"/>
      <c r="E90" s="218">
        <v>1</v>
      </c>
      <c r="F90" s="218">
        <v>1</v>
      </c>
      <c r="G90" s="219" t="s">
        <v>1359</v>
      </c>
      <c r="H90" s="219" t="s">
        <v>405</v>
      </c>
      <c r="I90" s="176">
        <v>19.5</v>
      </c>
      <c r="J90" s="177">
        <f t="shared" si="1"/>
        <v>19.5</v>
      </c>
      <c r="L90" s="185" t="s">
        <v>57</v>
      </c>
    </row>
    <row r="91" spans="1:12" ht="16.8" x14ac:dyDescent="0.3">
      <c r="A91" s="216">
        <v>374725</v>
      </c>
      <c r="B91" s="217" t="s">
        <v>1360</v>
      </c>
      <c r="C91" s="217"/>
      <c r="D91" s="217"/>
      <c r="E91" s="218">
        <v>4</v>
      </c>
      <c r="F91" s="218">
        <v>4</v>
      </c>
      <c r="G91" s="217" t="s">
        <v>1361</v>
      </c>
      <c r="H91" s="219" t="s">
        <v>405</v>
      </c>
      <c r="I91" s="176">
        <v>5.9</v>
      </c>
      <c r="J91" s="177">
        <f t="shared" si="1"/>
        <v>23.6</v>
      </c>
      <c r="L91" s="185" t="s">
        <v>57</v>
      </c>
    </row>
    <row r="92" spans="1:12" ht="16.8" x14ac:dyDescent="0.3">
      <c r="A92" s="274">
        <v>374727</v>
      </c>
      <c r="B92" s="271" t="s">
        <v>1362</v>
      </c>
      <c r="C92" s="208"/>
      <c r="D92" s="208"/>
      <c r="E92" s="210">
        <v>1</v>
      </c>
      <c r="F92" s="210">
        <v>1</v>
      </c>
      <c r="G92" s="197" t="s">
        <v>1363</v>
      </c>
      <c r="H92" s="211" t="s">
        <v>405</v>
      </c>
      <c r="I92" s="175">
        <v>0.52170000000000005</v>
      </c>
      <c r="J92" s="170">
        <f t="shared" si="1"/>
        <v>0.52170000000000005</v>
      </c>
      <c r="L92" s="16" t="s">
        <v>57</v>
      </c>
    </row>
    <row r="93" spans="1:12" ht="16.8" x14ac:dyDescent="0.3">
      <c r="A93" s="275"/>
      <c r="B93" s="272"/>
      <c r="C93" s="212"/>
      <c r="D93" s="212"/>
      <c r="E93" s="201">
        <v>3</v>
      </c>
      <c r="F93" s="201">
        <v>3</v>
      </c>
      <c r="G93" s="188" t="s">
        <v>1357</v>
      </c>
      <c r="H93" s="187" t="s">
        <v>1317</v>
      </c>
      <c r="I93" s="172">
        <v>2.7826</v>
      </c>
      <c r="J93" s="171">
        <f t="shared" si="1"/>
        <v>8.3477999999999994</v>
      </c>
      <c r="L93" s="185" t="s">
        <v>57</v>
      </c>
    </row>
    <row r="94" spans="1:12" ht="16.8" x14ac:dyDescent="0.3">
      <c r="A94" s="276"/>
      <c r="B94" s="273"/>
      <c r="C94" s="214"/>
      <c r="D94" s="214"/>
      <c r="E94" s="205">
        <v>2</v>
      </c>
      <c r="F94" s="205">
        <v>2</v>
      </c>
      <c r="G94" s="206" t="s">
        <v>1364</v>
      </c>
      <c r="H94" s="207" t="s">
        <v>546</v>
      </c>
      <c r="I94" s="173">
        <v>6.2609000000000004</v>
      </c>
      <c r="J94" s="174">
        <f t="shared" si="1"/>
        <v>12.521800000000001</v>
      </c>
      <c r="L94" s="185" t="s">
        <v>57</v>
      </c>
    </row>
    <row r="95" spans="1:12" ht="16.8" x14ac:dyDescent="0.3">
      <c r="A95" s="216">
        <v>46013</v>
      </c>
      <c r="B95" s="217" t="s">
        <v>1365</v>
      </c>
      <c r="C95" s="217"/>
      <c r="D95" s="217"/>
      <c r="E95" s="218">
        <v>1</v>
      </c>
      <c r="F95" s="218">
        <v>1</v>
      </c>
      <c r="G95" s="219" t="s">
        <v>1366</v>
      </c>
      <c r="H95" s="219" t="s">
        <v>405</v>
      </c>
      <c r="I95" s="176">
        <v>191.8</v>
      </c>
      <c r="J95" s="177">
        <f>I95*E95</f>
        <v>191.8</v>
      </c>
      <c r="L95" s="16" t="s">
        <v>57</v>
      </c>
    </row>
    <row r="96" spans="1:12" ht="16.8" x14ac:dyDescent="0.3">
      <c r="A96" s="280">
        <v>46021</v>
      </c>
      <c r="B96" s="271" t="s">
        <v>1367</v>
      </c>
      <c r="C96" s="208"/>
      <c r="D96" s="208"/>
      <c r="E96" s="210">
        <v>1</v>
      </c>
      <c r="F96" s="210">
        <v>1</v>
      </c>
      <c r="G96" s="197" t="s">
        <v>1368</v>
      </c>
      <c r="H96" s="211" t="s">
        <v>546</v>
      </c>
      <c r="I96" s="175">
        <v>1.3913</v>
      </c>
      <c r="J96" s="170">
        <f t="shared" si="1"/>
        <v>1.3913</v>
      </c>
      <c r="L96" s="185" t="s">
        <v>57</v>
      </c>
    </row>
    <row r="97" spans="1:12" ht="16.8" x14ac:dyDescent="0.3">
      <c r="A97" s="281"/>
      <c r="B97" s="272"/>
      <c r="C97" s="212"/>
      <c r="D97" s="212"/>
      <c r="E97" s="201">
        <v>3</v>
      </c>
      <c r="F97" s="201">
        <v>3</v>
      </c>
      <c r="G97" s="188" t="s">
        <v>1369</v>
      </c>
      <c r="H97" s="187" t="s">
        <v>546</v>
      </c>
      <c r="I97" s="172">
        <v>0.82609999999999995</v>
      </c>
      <c r="J97" s="171">
        <f t="shared" si="1"/>
        <v>2.4782999999999999</v>
      </c>
      <c r="L97" s="185" t="s">
        <v>57</v>
      </c>
    </row>
    <row r="98" spans="1:12" ht="16.8" x14ac:dyDescent="0.3">
      <c r="A98" s="281"/>
      <c r="B98" s="272"/>
      <c r="C98" s="212"/>
      <c r="D98" s="212"/>
      <c r="E98" s="201">
        <v>3</v>
      </c>
      <c r="F98" s="201">
        <v>3</v>
      </c>
      <c r="G98" s="188" t="s">
        <v>1370</v>
      </c>
      <c r="H98" s="187" t="s">
        <v>546</v>
      </c>
      <c r="I98" s="172">
        <v>1.0435000000000001</v>
      </c>
      <c r="J98" s="171">
        <f t="shared" si="1"/>
        <v>3.1305000000000005</v>
      </c>
      <c r="L98" s="16" t="s">
        <v>57</v>
      </c>
    </row>
    <row r="99" spans="1:12" ht="16.8" x14ac:dyDescent="0.3">
      <c r="A99" s="281"/>
      <c r="B99" s="272"/>
      <c r="C99" s="212"/>
      <c r="D99" s="212"/>
      <c r="E99" s="201">
        <v>3</v>
      </c>
      <c r="F99" s="201">
        <v>3</v>
      </c>
      <c r="G99" s="188" t="s">
        <v>1338</v>
      </c>
      <c r="H99" s="187" t="s">
        <v>1317</v>
      </c>
      <c r="I99" s="172">
        <v>0.26090000000000002</v>
      </c>
      <c r="J99" s="171">
        <f t="shared" si="1"/>
        <v>0.78270000000000006</v>
      </c>
      <c r="L99" s="185" t="s">
        <v>57</v>
      </c>
    </row>
    <row r="100" spans="1:12" ht="16.8" x14ac:dyDescent="0.3">
      <c r="A100" s="281"/>
      <c r="B100" s="272"/>
      <c r="C100" s="212"/>
      <c r="D100" s="212"/>
      <c r="E100" s="201">
        <v>3</v>
      </c>
      <c r="F100" s="201">
        <v>3</v>
      </c>
      <c r="G100" s="188" t="s">
        <v>1327</v>
      </c>
      <c r="H100" s="187" t="s">
        <v>1317</v>
      </c>
      <c r="I100" s="172">
        <v>1.4348000000000001</v>
      </c>
      <c r="J100" s="171">
        <f t="shared" si="1"/>
        <v>4.3044000000000002</v>
      </c>
      <c r="L100" s="185" t="s">
        <v>57</v>
      </c>
    </row>
    <row r="101" spans="1:12" ht="16.8" x14ac:dyDescent="0.3">
      <c r="A101" s="281"/>
      <c r="B101" s="272"/>
      <c r="C101" s="212"/>
      <c r="D101" s="212"/>
      <c r="E101" s="201">
        <v>3</v>
      </c>
      <c r="F101" s="201">
        <v>3</v>
      </c>
      <c r="G101" s="188" t="s">
        <v>1371</v>
      </c>
      <c r="H101" s="187" t="s">
        <v>1317</v>
      </c>
      <c r="I101" s="172">
        <v>3.2174</v>
      </c>
      <c r="J101" s="171">
        <f t="shared" si="1"/>
        <v>9.6522000000000006</v>
      </c>
      <c r="L101" s="16" t="s">
        <v>57</v>
      </c>
    </row>
    <row r="102" spans="1:12" ht="16.8" x14ac:dyDescent="0.3">
      <c r="A102" s="282"/>
      <c r="B102" s="273"/>
      <c r="C102" s="214"/>
      <c r="D102" s="214"/>
      <c r="E102" s="205">
        <v>3</v>
      </c>
      <c r="F102" s="205">
        <v>3</v>
      </c>
      <c r="G102" s="206" t="s">
        <v>1338</v>
      </c>
      <c r="H102" s="207" t="s">
        <v>1317</v>
      </c>
      <c r="I102" s="173">
        <v>0.95650000000000002</v>
      </c>
      <c r="J102" s="174">
        <f t="shared" si="1"/>
        <v>2.8694999999999999</v>
      </c>
      <c r="L102" s="185" t="s">
        <v>57</v>
      </c>
    </row>
    <row r="103" spans="1:12" ht="16.8" x14ac:dyDescent="0.3">
      <c r="A103" s="265" t="s">
        <v>1372</v>
      </c>
      <c r="B103" s="266"/>
      <c r="C103" s="266"/>
      <c r="D103" s="266"/>
      <c r="E103" s="266"/>
      <c r="F103" s="266"/>
      <c r="G103" s="266"/>
      <c r="H103" s="266"/>
      <c r="I103" s="266"/>
      <c r="J103" s="267"/>
      <c r="L103" s="185" t="s">
        <v>57</v>
      </c>
    </row>
    <row r="104" spans="1:12" ht="16.8" x14ac:dyDescent="0.3">
      <c r="A104" s="220">
        <v>46023</v>
      </c>
      <c r="B104" s="221" t="s">
        <v>1373</v>
      </c>
      <c r="C104" s="221"/>
      <c r="D104" s="221"/>
      <c r="E104" s="218">
        <v>1</v>
      </c>
      <c r="F104" s="218">
        <v>1</v>
      </c>
      <c r="G104" s="217" t="s">
        <v>1374</v>
      </c>
      <c r="H104" s="219" t="s">
        <v>405</v>
      </c>
      <c r="I104" s="176">
        <v>0.09</v>
      </c>
      <c r="J104" s="177">
        <f t="shared" si="1"/>
        <v>0.09</v>
      </c>
      <c r="L104" s="16" t="s">
        <v>57</v>
      </c>
    </row>
    <row r="105" spans="1:12" ht="16.8" x14ac:dyDescent="0.3">
      <c r="A105" s="220">
        <v>46023</v>
      </c>
      <c r="B105" s="221" t="s">
        <v>1375</v>
      </c>
      <c r="C105" s="221"/>
      <c r="D105" s="221"/>
      <c r="E105" s="218">
        <v>1</v>
      </c>
      <c r="F105" s="218">
        <v>1</v>
      </c>
      <c r="G105" s="217" t="s">
        <v>1374</v>
      </c>
      <c r="H105" s="219" t="s">
        <v>405</v>
      </c>
      <c r="I105" s="176">
        <v>13.95</v>
      </c>
      <c r="J105" s="177">
        <f t="shared" si="1"/>
        <v>13.95</v>
      </c>
      <c r="L105" s="185" t="s">
        <v>57</v>
      </c>
    </row>
    <row r="106" spans="1:12" ht="16.8" x14ac:dyDescent="0.3">
      <c r="A106" s="220">
        <v>46024</v>
      </c>
      <c r="B106" s="221" t="s">
        <v>1376</v>
      </c>
      <c r="C106" s="221"/>
      <c r="D106" s="221"/>
      <c r="E106" s="218">
        <v>1</v>
      </c>
      <c r="F106" s="218">
        <v>1</v>
      </c>
      <c r="G106" s="217" t="s">
        <v>1377</v>
      </c>
      <c r="H106" s="219" t="s">
        <v>405</v>
      </c>
      <c r="I106" s="176">
        <v>1.6</v>
      </c>
      <c r="J106" s="177">
        <f t="shared" si="1"/>
        <v>1.6</v>
      </c>
      <c r="L106" s="185" t="s">
        <v>57</v>
      </c>
    </row>
    <row r="107" spans="1:12" ht="16.8" x14ac:dyDescent="0.3">
      <c r="A107" s="220">
        <v>46024</v>
      </c>
      <c r="B107" s="221" t="s">
        <v>1378</v>
      </c>
      <c r="C107" s="221"/>
      <c r="D107" s="221"/>
      <c r="E107" s="218">
        <v>1</v>
      </c>
      <c r="F107" s="218">
        <v>1</v>
      </c>
      <c r="G107" s="217" t="s">
        <v>1374</v>
      </c>
      <c r="H107" s="219" t="s">
        <v>405</v>
      </c>
      <c r="I107" s="176">
        <v>1.24</v>
      </c>
      <c r="J107" s="177">
        <f>I107*E107</f>
        <v>1.24</v>
      </c>
      <c r="L107" s="16" t="s">
        <v>57</v>
      </c>
    </row>
    <row r="108" spans="1:12" ht="16.8" x14ac:dyDescent="0.3">
      <c r="A108" s="274">
        <v>46024</v>
      </c>
      <c r="B108" s="271" t="s">
        <v>1379</v>
      </c>
      <c r="C108" s="208"/>
      <c r="D108" s="208"/>
      <c r="E108" s="210">
        <v>24</v>
      </c>
      <c r="F108" s="210">
        <v>24</v>
      </c>
      <c r="G108" s="197" t="s">
        <v>1380</v>
      </c>
      <c r="H108" s="211" t="s">
        <v>405</v>
      </c>
      <c r="I108" s="175">
        <v>0.27173900000000001</v>
      </c>
      <c r="J108" s="170">
        <f t="shared" si="1"/>
        <v>6.5217360000000006</v>
      </c>
      <c r="L108" s="185" t="s">
        <v>57</v>
      </c>
    </row>
    <row r="109" spans="1:12" ht="16.8" x14ac:dyDescent="0.3">
      <c r="A109" s="276"/>
      <c r="B109" s="273"/>
      <c r="C109" s="214"/>
      <c r="D109" s="214"/>
      <c r="E109" s="205">
        <v>1</v>
      </c>
      <c r="F109" s="205">
        <v>1</v>
      </c>
      <c r="G109" s="207" t="s">
        <v>1381</v>
      </c>
      <c r="H109" s="207" t="s">
        <v>405</v>
      </c>
      <c r="I109" s="173">
        <v>8.6956520000000008</v>
      </c>
      <c r="J109" s="174">
        <f t="shared" si="1"/>
        <v>8.6956520000000008</v>
      </c>
      <c r="L109" s="185" t="s">
        <v>57</v>
      </c>
    </row>
    <row r="110" spans="1:12" ht="16.8" x14ac:dyDescent="0.3">
      <c r="A110" s="274">
        <v>46024</v>
      </c>
      <c r="B110" s="271" t="s">
        <v>1382</v>
      </c>
      <c r="C110" s="208"/>
      <c r="D110" s="208"/>
      <c r="E110" s="210">
        <v>3</v>
      </c>
      <c r="F110" s="210">
        <v>3</v>
      </c>
      <c r="G110" s="197" t="s">
        <v>1383</v>
      </c>
      <c r="H110" s="211" t="s">
        <v>405</v>
      </c>
      <c r="I110" s="175">
        <v>2.7042999999999999</v>
      </c>
      <c r="J110" s="170">
        <f t="shared" si="1"/>
        <v>8.1128999999999998</v>
      </c>
      <c r="L110" s="16" t="s">
        <v>57</v>
      </c>
    </row>
    <row r="111" spans="1:12" ht="16.8" x14ac:dyDescent="0.3">
      <c r="A111" s="276"/>
      <c r="B111" s="273"/>
      <c r="C111" s="214"/>
      <c r="D111" s="214"/>
      <c r="E111" s="205">
        <v>2</v>
      </c>
      <c r="F111" s="205">
        <v>2</v>
      </c>
      <c r="G111" s="206" t="s">
        <v>1384</v>
      </c>
      <c r="H111" s="207" t="s">
        <v>405</v>
      </c>
      <c r="I111" s="173">
        <v>2.8260999999999998</v>
      </c>
      <c r="J111" s="174">
        <f t="shared" si="1"/>
        <v>5.6521999999999997</v>
      </c>
      <c r="L111" s="185" t="s">
        <v>57</v>
      </c>
    </row>
    <row r="112" spans="1:12" ht="16.8" x14ac:dyDescent="0.3">
      <c r="A112" s="220">
        <v>46024</v>
      </c>
      <c r="B112" s="221" t="s">
        <v>1385</v>
      </c>
      <c r="C112" s="221"/>
      <c r="D112" s="221"/>
      <c r="E112" s="218">
        <v>8</v>
      </c>
      <c r="F112" s="218">
        <v>8</v>
      </c>
      <c r="G112" s="217" t="s">
        <v>1386</v>
      </c>
      <c r="H112" s="219" t="s">
        <v>405</v>
      </c>
      <c r="I112" s="176">
        <v>2</v>
      </c>
      <c r="J112" s="177">
        <f t="shared" si="1"/>
        <v>16</v>
      </c>
      <c r="L112" s="185" t="s">
        <v>57</v>
      </c>
    </row>
    <row r="113" spans="1:12" ht="16.8" x14ac:dyDescent="0.3">
      <c r="A113" s="274">
        <v>46024</v>
      </c>
      <c r="B113" s="277" t="s">
        <v>1387</v>
      </c>
      <c r="C113" s="195"/>
      <c r="D113" s="195"/>
      <c r="E113" s="210">
        <v>1</v>
      </c>
      <c r="F113" s="210">
        <v>1</v>
      </c>
      <c r="G113" s="197" t="s">
        <v>1388</v>
      </c>
      <c r="H113" s="211" t="s">
        <v>405</v>
      </c>
      <c r="I113" s="175">
        <v>56.478261000000003</v>
      </c>
      <c r="J113" s="170">
        <f t="shared" si="1"/>
        <v>56.478261000000003</v>
      </c>
      <c r="L113" s="16" t="s">
        <v>57</v>
      </c>
    </row>
    <row r="114" spans="1:12" ht="16.8" x14ac:dyDescent="0.3">
      <c r="A114" s="275"/>
      <c r="B114" s="278"/>
      <c r="C114" s="200"/>
      <c r="D114" s="200"/>
      <c r="E114" s="201">
        <v>1</v>
      </c>
      <c r="F114" s="201">
        <v>1</v>
      </c>
      <c r="G114" s="188" t="s">
        <v>1389</v>
      </c>
      <c r="H114" s="187" t="s">
        <v>405</v>
      </c>
      <c r="I114" s="172">
        <v>1.0695650000000001</v>
      </c>
      <c r="J114" s="171">
        <f t="shared" si="1"/>
        <v>1.0695650000000001</v>
      </c>
      <c r="L114" s="185" t="s">
        <v>57</v>
      </c>
    </row>
    <row r="115" spans="1:12" ht="16.8" x14ac:dyDescent="0.3">
      <c r="A115" s="275"/>
      <c r="B115" s="278"/>
      <c r="C115" s="200"/>
      <c r="D115" s="200"/>
      <c r="E115" s="201">
        <v>1</v>
      </c>
      <c r="F115" s="201">
        <v>1</v>
      </c>
      <c r="G115" s="188" t="s">
        <v>1390</v>
      </c>
      <c r="H115" s="187" t="s">
        <v>405</v>
      </c>
      <c r="I115" s="172">
        <v>8.2608700000000006</v>
      </c>
      <c r="J115" s="171">
        <f t="shared" si="1"/>
        <v>8.2608700000000006</v>
      </c>
      <c r="L115" s="185" t="s">
        <v>57</v>
      </c>
    </row>
    <row r="116" spans="1:12" ht="16.8" x14ac:dyDescent="0.3">
      <c r="A116" s="275"/>
      <c r="B116" s="278"/>
      <c r="C116" s="200"/>
      <c r="D116" s="200"/>
      <c r="E116" s="201">
        <v>2</v>
      </c>
      <c r="F116" s="201">
        <v>2</v>
      </c>
      <c r="G116" s="188" t="s">
        <v>1391</v>
      </c>
      <c r="H116" s="187" t="s">
        <v>405</v>
      </c>
      <c r="I116" s="172">
        <f>4.052174-1.22</f>
        <v>2.8321740000000002</v>
      </c>
      <c r="J116" s="171">
        <v>6.88</v>
      </c>
      <c r="L116" s="16" t="s">
        <v>57</v>
      </c>
    </row>
    <row r="117" spans="1:12" ht="16.8" x14ac:dyDescent="0.3">
      <c r="A117" s="275"/>
      <c r="B117" s="278"/>
      <c r="C117" s="200"/>
      <c r="D117" s="200"/>
      <c r="E117" s="201">
        <v>2</v>
      </c>
      <c r="F117" s="201">
        <v>2</v>
      </c>
      <c r="G117" s="188" t="s">
        <v>1392</v>
      </c>
      <c r="H117" s="187" t="s">
        <v>405</v>
      </c>
      <c r="I117" s="172">
        <v>5.7217390000000004</v>
      </c>
      <c r="J117" s="171">
        <f t="shared" si="1"/>
        <v>11.443478000000001</v>
      </c>
      <c r="L117" s="185" t="s">
        <v>57</v>
      </c>
    </row>
    <row r="118" spans="1:12" ht="16.8" x14ac:dyDescent="0.3">
      <c r="A118" s="275"/>
      <c r="B118" s="278"/>
      <c r="C118" s="200"/>
      <c r="D118" s="200"/>
      <c r="E118" s="201">
        <v>2</v>
      </c>
      <c r="F118" s="201">
        <v>2</v>
      </c>
      <c r="G118" s="188" t="s">
        <v>1393</v>
      </c>
      <c r="H118" s="187" t="s">
        <v>405</v>
      </c>
      <c r="I118" s="172">
        <v>6.8608700000000002</v>
      </c>
      <c r="J118" s="171">
        <f t="shared" si="1"/>
        <v>13.72174</v>
      </c>
      <c r="L118" s="185" t="s">
        <v>57</v>
      </c>
    </row>
    <row r="119" spans="1:12" ht="16.8" x14ac:dyDescent="0.3">
      <c r="A119" s="276"/>
      <c r="B119" s="279"/>
      <c r="C119" s="204"/>
      <c r="D119" s="204"/>
      <c r="E119" s="205">
        <v>1</v>
      </c>
      <c r="F119" s="205">
        <v>1</v>
      </c>
      <c r="G119" s="206" t="s">
        <v>1394</v>
      </c>
      <c r="H119" s="207" t="s">
        <v>405</v>
      </c>
      <c r="I119" s="173">
        <v>6.3739129999999999</v>
      </c>
      <c r="J119" s="174">
        <f t="shared" si="1"/>
        <v>6.3739129999999999</v>
      </c>
      <c r="L119" s="16" t="s">
        <v>57</v>
      </c>
    </row>
    <row r="120" spans="1:12" ht="16.8" x14ac:dyDescent="0.3">
      <c r="A120" s="280">
        <v>46025</v>
      </c>
      <c r="B120" s="271" t="s">
        <v>1395</v>
      </c>
      <c r="C120" s="208"/>
      <c r="D120" s="208"/>
      <c r="E120" s="210">
        <v>1</v>
      </c>
      <c r="F120" s="210">
        <v>1</v>
      </c>
      <c r="G120" s="197" t="s">
        <v>1396</v>
      </c>
      <c r="H120" s="211" t="s">
        <v>405</v>
      </c>
      <c r="I120" s="175">
        <v>0.45169999999999999</v>
      </c>
      <c r="J120" s="170">
        <f t="shared" si="1"/>
        <v>0.45169999999999999</v>
      </c>
      <c r="L120" s="185" t="s">
        <v>57</v>
      </c>
    </row>
    <row r="121" spans="1:12" ht="16.8" x14ac:dyDescent="0.3">
      <c r="A121" s="281"/>
      <c r="B121" s="272"/>
      <c r="C121" s="212"/>
      <c r="D121" s="212"/>
      <c r="E121" s="201">
        <v>6</v>
      </c>
      <c r="F121" s="201">
        <v>6</v>
      </c>
      <c r="G121" s="188" t="s">
        <v>1397</v>
      </c>
      <c r="H121" s="187" t="s">
        <v>405</v>
      </c>
      <c r="I121" s="172">
        <v>0.1198</v>
      </c>
      <c r="J121" s="171">
        <f t="shared" si="1"/>
        <v>0.71879999999999999</v>
      </c>
      <c r="L121" s="185" t="s">
        <v>57</v>
      </c>
    </row>
    <row r="122" spans="1:12" ht="16.8" x14ac:dyDescent="0.3">
      <c r="A122" s="281"/>
      <c r="B122" s="272"/>
      <c r="C122" s="212"/>
      <c r="D122" s="212"/>
      <c r="E122" s="201">
        <v>1</v>
      </c>
      <c r="F122" s="201">
        <v>1</v>
      </c>
      <c r="G122" s="188" t="s">
        <v>1398</v>
      </c>
      <c r="H122" s="187" t="s">
        <v>405</v>
      </c>
      <c r="I122" s="172">
        <v>0.91300000000000003</v>
      </c>
      <c r="J122" s="171">
        <f t="shared" si="1"/>
        <v>0.91300000000000003</v>
      </c>
      <c r="L122" s="16" t="s">
        <v>57</v>
      </c>
    </row>
    <row r="123" spans="1:12" ht="16.8" x14ac:dyDescent="0.3">
      <c r="A123" s="281"/>
      <c r="B123" s="272"/>
      <c r="C123" s="212"/>
      <c r="D123" s="212"/>
      <c r="E123" s="201">
        <v>1</v>
      </c>
      <c r="F123" s="201">
        <v>1</v>
      </c>
      <c r="G123" s="188" t="s">
        <v>1399</v>
      </c>
      <c r="H123" s="187" t="s">
        <v>405</v>
      </c>
      <c r="I123" s="172">
        <v>0.39129999999999998</v>
      </c>
      <c r="J123" s="171">
        <f t="shared" si="1"/>
        <v>0.39129999999999998</v>
      </c>
      <c r="L123" s="185" t="s">
        <v>57</v>
      </c>
    </row>
    <row r="124" spans="1:12" ht="16.8" x14ac:dyDescent="0.3">
      <c r="A124" s="281"/>
      <c r="B124" s="272"/>
      <c r="C124" s="212"/>
      <c r="D124" s="212"/>
      <c r="E124" s="201">
        <v>1</v>
      </c>
      <c r="F124" s="201">
        <v>1</v>
      </c>
      <c r="G124" s="188" t="s">
        <v>1400</v>
      </c>
      <c r="H124" s="187" t="s">
        <v>405</v>
      </c>
      <c r="I124" s="172">
        <v>0.30430000000000001</v>
      </c>
      <c r="J124" s="171">
        <f t="shared" si="1"/>
        <v>0.30430000000000001</v>
      </c>
      <c r="L124" s="185" t="s">
        <v>57</v>
      </c>
    </row>
    <row r="125" spans="1:12" ht="16.8" x14ac:dyDescent="0.3">
      <c r="A125" s="281"/>
      <c r="B125" s="272"/>
      <c r="C125" s="212"/>
      <c r="D125" s="212"/>
      <c r="E125" s="201">
        <v>1</v>
      </c>
      <c r="F125" s="201">
        <v>1</v>
      </c>
      <c r="G125" s="188" t="s">
        <v>1401</v>
      </c>
      <c r="H125" s="187" t="s">
        <v>405</v>
      </c>
      <c r="I125" s="172">
        <v>1.3355999999999999</v>
      </c>
      <c r="J125" s="171">
        <f t="shared" si="1"/>
        <v>1.3355999999999999</v>
      </c>
      <c r="L125" s="16" t="s">
        <v>57</v>
      </c>
    </row>
    <row r="126" spans="1:12" ht="16.8" x14ac:dyDescent="0.3">
      <c r="A126" s="281"/>
      <c r="B126" s="272"/>
      <c r="C126" s="212"/>
      <c r="D126" s="212"/>
      <c r="E126" s="201">
        <v>1</v>
      </c>
      <c r="F126" s="201">
        <v>1</v>
      </c>
      <c r="G126" s="188" t="s">
        <v>1402</v>
      </c>
      <c r="H126" s="187" t="s">
        <v>405</v>
      </c>
      <c r="I126" s="172">
        <v>0.26090000000000002</v>
      </c>
      <c r="J126" s="171">
        <f t="shared" si="1"/>
        <v>0.26090000000000002</v>
      </c>
      <c r="L126" s="185" t="s">
        <v>57</v>
      </c>
    </row>
    <row r="127" spans="1:12" ht="16.8" x14ac:dyDescent="0.3">
      <c r="A127" s="281"/>
      <c r="B127" s="272"/>
      <c r="C127" s="212"/>
      <c r="D127" s="212"/>
      <c r="E127" s="201">
        <v>1</v>
      </c>
      <c r="F127" s="201">
        <v>1</v>
      </c>
      <c r="G127" s="188" t="s">
        <v>1403</v>
      </c>
      <c r="H127" s="187" t="s">
        <v>405</v>
      </c>
      <c r="I127" s="172">
        <v>3.4348000000000001</v>
      </c>
      <c r="J127" s="171">
        <f t="shared" si="1"/>
        <v>3.4348000000000001</v>
      </c>
      <c r="L127" s="185" t="s">
        <v>57</v>
      </c>
    </row>
    <row r="128" spans="1:12" ht="16.8" x14ac:dyDescent="0.3">
      <c r="A128" s="281"/>
      <c r="B128" s="272"/>
      <c r="C128" s="212"/>
      <c r="D128" s="212"/>
      <c r="E128" s="201">
        <v>1</v>
      </c>
      <c r="F128" s="201">
        <v>1</v>
      </c>
      <c r="G128" s="187" t="s">
        <v>1404</v>
      </c>
      <c r="H128" s="187" t="s">
        <v>405</v>
      </c>
      <c r="I128" s="172">
        <v>0.3226</v>
      </c>
      <c r="J128" s="171">
        <f t="shared" si="1"/>
        <v>0.3226</v>
      </c>
      <c r="L128" s="16" t="s">
        <v>57</v>
      </c>
    </row>
    <row r="129" spans="1:12" ht="16.8" x14ac:dyDescent="0.3">
      <c r="A129" s="281"/>
      <c r="B129" s="272"/>
      <c r="C129" s="212"/>
      <c r="D129" s="212"/>
      <c r="E129" s="201">
        <v>1</v>
      </c>
      <c r="F129" s="201">
        <v>1</v>
      </c>
      <c r="G129" s="188" t="s">
        <v>1405</v>
      </c>
      <c r="H129" s="187" t="s">
        <v>405</v>
      </c>
      <c r="I129" s="172">
        <v>4.0434999999999999</v>
      </c>
      <c r="J129" s="171">
        <f t="shared" si="1"/>
        <v>4.0434999999999999</v>
      </c>
      <c r="L129" s="185" t="s">
        <v>57</v>
      </c>
    </row>
    <row r="130" spans="1:12" ht="16.8" x14ac:dyDescent="0.3">
      <c r="A130" s="281"/>
      <c r="B130" s="272"/>
      <c r="C130" s="212"/>
      <c r="D130" s="212"/>
      <c r="E130" s="201">
        <v>1</v>
      </c>
      <c r="F130" s="201">
        <v>1</v>
      </c>
      <c r="G130" s="188" t="s">
        <v>1406</v>
      </c>
      <c r="H130" s="187" t="s">
        <v>405</v>
      </c>
      <c r="I130" s="172">
        <v>0.43480000000000002</v>
      </c>
      <c r="J130" s="171">
        <f t="shared" si="1"/>
        <v>0.43480000000000002</v>
      </c>
      <c r="L130" s="185" t="s">
        <v>57</v>
      </c>
    </row>
    <row r="131" spans="1:12" ht="16.8" x14ac:dyDescent="0.3">
      <c r="A131" s="281"/>
      <c r="B131" s="272"/>
      <c r="C131" s="212"/>
      <c r="D131" s="212"/>
      <c r="E131" s="201">
        <v>1</v>
      </c>
      <c r="F131" s="201">
        <v>1</v>
      </c>
      <c r="G131" s="188" t="s">
        <v>1407</v>
      </c>
      <c r="H131" s="187" t="s">
        <v>405</v>
      </c>
      <c r="I131" s="172">
        <v>1.4197</v>
      </c>
      <c r="J131" s="171">
        <f t="shared" si="1"/>
        <v>1.4197</v>
      </c>
      <c r="L131" s="16" t="s">
        <v>57</v>
      </c>
    </row>
    <row r="132" spans="1:12" ht="16.8" x14ac:dyDescent="0.3">
      <c r="A132" s="282"/>
      <c r="B132" s="273"/>
      <c r="C132" s="214"/>
      <c r="D132" s="214"/>
      <c r="E132" s="205">
        <v>1</v>
      </c>
      <c r="F132" s="205">
        <v>1</v>
      </c>
      <c r="G132" s="206" t="s">
        <v>1408</v>
      </c>
      <c r="H132" s="207" t="s">
        <v>405</v>
      </c>
      <c r="I132" s="173">
        <v>6.5217000000000001</v>
      </c>
      <c r="J132" s="174">
        <f t="shared" si="1"/>
        <v>6.5217000000000001</v>
      </c>
      <c r="L132" s="185" t="s">
        <v>57</v>
      </c>
    </row>
    <row r="133" spans="1:12" ht="16.8" x14ac:dyDescent="0.3">
      <c r="A133" s="220">
        <v>46032</v>
      </c>
      <c r="B133" s="221" t="s">
        <v>1409</v>
      </c>
      <c r="C133" s="221"/>
      <c r="D133" s="221"/>
      <c r="E133" s="218">
        <v>1</v>
      </c>
      <c r="F133" s="218">
        <v>1</v>
      </c>
      <c r="G133" s="217" t="s">
        <v>1410</v>
      </c>
      <c r="H133" s="219" t="s">
        <v>405</v>
      </c>
      <c r="I133" s="176">
        <v>1.61</v>
      </c>
      <c r="J133" s="177">
        <f t="shared" si="1"/>
        <v>1.61</v>
      </c>
      <c r="L133" s="185" t="s">
        <v>57</v>
      </c>
    </row>
    <row r="134" spans="1:12" ht="16.8" x14ac:dyDescent="0.3">
      <c r="A134" s="274">
        <v>46036</v>
      </c>
      <c r="B134" s="271" t="s">
        <v>1411</v>
      </c>
      <c r="C134" s="208"/>
      <c r="D134" s="208"/>
      <c r="E134" s="210">
        <v>1</v>
      </c>
      <c r="F134" s="210">
        <v>1</v>
      </c>
      <c r="G134" s="197" t="s">
        <v>1412</v>
      </c>
      <c r="H134" s="211" t="s">
        <v>1317</v>
      </c>
      <c r="I134" s="175">
        <v>0.87</v>
      </c>
      <c r="J134" s="170">
        <f t="shared" si="1"/>
        <v>0.87</v>
      </c>
      <c r="L134" s="16" t="s">
        <v>57</v>
      </c>
    </row>
    <row r="135" spans="1:12" ht="16.8" x14ac:dyDescent="0.3">
      <c r="A135" s="275"/>
      <c r="B135" s="272"/>
      <c r="C135" s="212"/>
      <c r="D135" s="212"/>
      <c r="E135" s="201">
        <v>1</v>
      </c>
      <c r="F135" s="201">
        <v>1</v>
      </c>
      <c r="G135" s="188" t="s">
        <v>1334</v>
      </c>
      <c r="H135" s="187" t="s">
        <v>1317</v>
      </c>
      <c r="I135" s="172">
        <v>1.3</v>
      </c>
      <c r="J135" s="171">
        <f>I135*E135</f>
        <v>1.3</v>
      </c>
      <c r="L135" s="185" t="s">
        <v>57</v>
      </c>
    </row>
    <row r="136" spans="1:12" ht="16.8" x14ac:dyDescent="0.3">
      <c r="A136" s="276"/>
      <c r="B136" s="273"/>
      <c r="C136" s="214"/>
      <c r="D136" s="214"/>
      <c r="E136" s="205">
        <v>3</v>
      </c>
      <c r="F136" s="205">
        <v>3</v>
      </c>
      <c r="G136" s="207" t="s">
        <v>1331</v>
      </c>
      <c r="H136" s="207" t="s">
        <v>1317</v>
      </c>
      <c r="I136" s="173">
        <v>4.17</v>
      </c>
      <c r="J136" s="174">
        <f>I136*E136</f>
        <v>12.51</v>
      </c>
      <c r="L136" s="185" t="s">
        <v>57</v>
      </c>
    </row>
    <row r="137" spans="1:12" ht="16.8" x14ac:dyDescent="0.3">
      <c r="A137" s="268">
        <v>46027</v>
      </c>
      <c r="B137" s="271" t="s">
        <v>1413</v>
      </c>
      <c r="C137" s="208"/>
      <c r="D137" s="208"/>
      <c r="E137" s="210">
        <v>1</v>
      </c>
      <c r="F137" s="210">
        <v>1</v>
      </c>
      <c r="G137" s="197" t="s">
        <v>1414</v>
      </c>
      <c r="H137" s="211" t="s">
        <v>405</v>
      </c>
      <c r="I137" s="175">
        <v>7.5</v>
      </c>
      <c r="J137" s="170">
        <f t="shared" ref="J137:J200" si="2">I137*E137</f>
        <v>7.5</v>
      </c>
      <c r="L137" s="16" t="s">
        <v>57</v>
      </c>
    </row>
    <row r="138" spans="1:12" ht="16.8" x14ac:dyDescent="0.3">
      <c r="A138" s="269"/>
      <c r="B138" s="272"/>
      <c r="C138" s="212"/>
      <c r="D138" s="212"/>
      <c r="E138" s="201">
        <v>1</v>
      </c>
      <c r="F138" s="201">
        <v>1</v>
      </c>
      <c r="G138" s="188" t="s">
        <v>1342</v>
      </c>
      <c r="H138" s="187" t="s">
        <v>405</v>
      </c>
      <c r="I138" s="172">
        <v>4.75</v>
      </c>
      <c r="J138" s="171">
        <f t="shared" si="2"/>
        <v>4.75</v>
      </c>
      <c r="L138" s="185" t="s">
        <v>57</v>
      </c>
    </row>
    <row r="139" spans="1:12" ht="16.8" x14ac:dyDescent="0.3">
      <c r="A139" s="269"/>
      <c r="B139" s="272"/>
      <c r="C139" s="212"/>
      <c r="D139" s="212"/>
      <c r="E139" s="201">
        <v>1</v>
      </c>
      <c r="F139" s="201">
        <v>1</v>
      </c>
      <c r="G139" s="188" t="s">
        <v>1343</v>
      </c>
      <c r="H139" s="187" t="s">
        <v>405</v>
      </c>
      <c r="I139" s="172">
        <v>3.75</v>
      </c>
      <c r="J139" s="171">
        <f t="shared" si="2"/>
        <v>3.75</v>
      </c>
      <c r="L139" s="185" t="s">
        <v>57</v>
      </c>
    </row>
    <row r="140" spans="1:12" ht="16.8" x14ac:dyDescent="0.3">
      <c r="A140" s="270"/>
      <c r="B140" s="273"/>
      <c r="C140" s="214"/>
      <c r="D140" s="214"/>
      <c r="E140" s="205">
        <v>1</v>
      </c>
      <c r="F140" s="205">
        <v>1</v>
      </c>
      <c r="G140" s="206" t="s">
        <v>1344</v>
      </c>
      <c r="H140" s="207" t="s">
        <v>405</v>
      </c>
      <c r="I140" s="173">
        <v>4</v>
      </c>
      <c r="J140" s="174">
        <f t="shared" si="2"/>
        <v>4</v>
      </c>
      <c r="L140" s="16" t="s">
        <v>57</v>
      </c>
    </row>
    <row r="141" spans="1:12" ht="16.8" x14ac:dyDescent="0.3">
      <c r="A141" s="220">
        <v>46050</v>
      </c>
      <c r="B141" s="221" t="s">
        <v>1415</v>
      </c>
      <c r="C141" s="221"/>
      <c r="D141" s="221"/>
      <c r="E141" s="218">
        <v>1</v>
      </c>
      <c r="F141" s="218">
        <v>1</v>
      </c>
      <c r="G141" s="219" t="s">
        <v>1416</v>
      </c>
      <c r="H141" s="219" t="s">
        <v>405</v>
      </c>
      <c r="I141" s="176">
        <f>162.39+21.65</f>
        <v>184.04</v>
      </c>
      <c r="J141" s="177">
        <f t="shared" si="2"/>
        <v>184.04</v>
      </c>
      <c r="L141" s="185" t="s">
        <v>57</v>
      </c>
    </row>
    <row r="142" spans="1:12" ht="16.8" x14ac:dyDescent="0.3">
      <c r="A142" s="274">
        <v>46050</v>
      </c>
      <c r="B142" s="271" t="s">
        <v>1417</v>
      </c>
      <c r="C142" s="208"/>
      <c r="D142" s="208"/>
      <c r="E142" s="210">
        <v>40</v>
      </c>
      <c r="F142" s="210">
        <v>40</v>
      </c>
      <c r="G142" s="211" t="s">
        <v>1418</v>
      </c>
      <c r="H142" s="211" t="s">
        <v>1317</v>
      </c>
      <c r="I142" s="175">
        <v>0.22</v>
      </c>
      <c r="J142" s="170">
        <f t="shared" si="2"/>
        <v>8.8000000000000007</v>
      </c>
      <c r="L142" s="185" t="s">
        <v>57</v>
      </c>
    </row>
    <row r="143" spans="1:12" ht="16.8" x14ac:dyDescent="0.3">
      <c r="A143" s="275"/>
      <c r="B143" s="272"/>
      <c r="C143" s="212"/>
      <c r="D143" s="212"/>
      <c r="E143" s="201">
        <v>3</v>
      </c>
      <c r="F143" s="201">
        <v>3</v>
      </c>
      <c r="G143" s="188" t="s">
        <v>1419</v>
      </c>
      <c r="H143" s="187" t="s">
        <v>1317</v>
      </c>
      <c r="I143" s="172">
        <v>3.13</v>
      </c>
      <c r="J143" s="171">
        <f t="shared" si="2"/>
        <v>9.39</v>
      </c>
      <c r="L143" s="16" t="s">
        <v>57</v>
      </c>
    </row>
    <row r="144" spans="1:12" ht="16.8" x14ac:dyDescent="0.3">
      <c r="A144" s="276"/>
      <c r="B144" s="273"/>
      <c r="C144" s="214"/>
      <c r="D144" s="214"/>
      <c r="E144" s="205">
        <v>3</v>
      </c>
      <c r="F144" s="205">
        <v>3</v>
      </c>
      <c r="G144" s="206" t="s">
        <v>1316</v>
      </c>
      <c r="H144" s="207" t="s">
        <v>1317</v>
      </c>
      <c r="I144" s="173">
        <v>0.61</v>
      </c>
      <c r="J144" s="174">
        <f t="shared" si="2"/>
        <v>1.83</v>
      </c>
      <c r="L144" s="185" t="s">
        <v>57</v>
      </c>
    </row>
    <row r="145" spans="1:12" ht="16.8" x14ac:dyDescent="0.3">
      <c r="A145" s="274">
        <v>46050</v>
      </c>
      <c r="B145" s="271" t="s">
        <v>1420</v>
      </c>
      <c r="C145" s="208"/>
      <c r="D145" s="208"/>
      <c r="E145" s="210">
        <v>1</v>
      </c>
      <c r="F145" s="210">
        <v>1</v>
      </c>
      <c r="G145" s="211" t="s">
        <v>1421</v>
      </c>
      <c r="H145" s="211" t="s">
        <v>405</v>
      </c>
      <c r="I145" s="175">
        <v>3.6</v>
      </c>
      <c r="J145" s="170">
        <f t="shared" si="2"/>
        <v>3.6</v>
      </c>
      <c r="L145" s="185" t="s">
        <v>57</v>
      </c>
    </row>
    <row r="146" spans="1:12" ht="16.8" x14ac:dyDescent="0.3">
      <c r="A146" s="276"/>
      <c r="B146" s="273"/>
      <c r="C146" s="214"/>
      <c r="D146" s="214"/>
      <c r="E146" s="205">
        <v>1</v>
      </c>
      <c r="F146" s="205">
        <v>1</v>
      </c>
      <c r="G146" s="206" t="s">
        <v>1422</v>
      </c>
      <c r="H146" s="207" t="s">
        <v>405</v>
      </c>
      <c r="I146" s="173">
        <v>13.252174</v>
      </c>
      <c r="J146" s="174">
        <f t="shared" si="2"/>
        <v>13.252174</v>
      </c>
      <c r="L146" s="16" t="s">
        <v>57</v>
      </c>
    </row>
    <row r="147" spans="1:12" ht="16.8" x14ac:dyDescent="0.3">
      <c r="A147" s="265" t="s">
        <v>1423</v>
      </c>
      <c r="B147" s="266"/>
      <c r="C147" s="266"/>
      <c r="D147" s="266"/>
      <c r="E147" s="266"/>
      <c r="F147" s="266"/>
      <c r="G147" s="266"/>
      <c r="H147" s="266"/>
      <c r="I147" s="266"/>
      <c r="J147" s="267"/>
      <c r="L147" s="185" t="s">
        <v>57</v>
      </c>
    </row>
    <row r="148" spans="1:12" ht="16.8" x14ac:dyDescent="0.3">
      <c r="A148" s="222">
        <v>46055</v>
      </c>
      <c r="B148" s="190" t="s">
        <v>1424</v>
      </c>
      <c r="C148" s="190"/>
      <c r="D148" s="190"/>
      <c r="E148" s="201">
        <v>1</v>
      </c>
      <c r="F148" s="201">
        <v>1</v>
      </c>
      <c r="G148" s="187" t="s">
        <v>1374</v>
      </c>
      <c r="H148" s="187" t="s">
        <v>405</v>
      </c>
      <c r="I148" s="172">
        <v>7.25</v>
      </c>
      <c r="J148" s="171">
        <f t="shared" ref="J148" si="3">I148*E148</f>
        <v>7.25</v>
      </c>
      <c r="L148" s="185" t="s">
        <v>57</v>
      </c>
    </row>
    <row r="149" spans="1:12" ht="16.8" x14ac:dyDescent="0.3">
      <c r="A149" s="222">
        <v>46055</v>
      </c>
      <c r="B149" s="190" t="s">
        <v>1425</v>
      </c>
      <c r="C149" s="190"/>
      <c r="D149" s="190"/>
      <c r="E149" s="201">
        <v>1</v>
      </c>
      <c r="F149" s="201">
        <v>1</v>
      </c>
      <c r="G149" s="187" t="s">
        <v>1374</v>
      </c>
      <c r="H149" s="187" t="s">
        <v>405</v>
      </c>
      <c r="I149" s="172">
        <v>10.37</v>
      </c>
      <c r="J149" s="171">
        <f t="shared" si="2"/>
        <v>10.37</v>
      </c>
      <c r="L149" s="16" t="s">
        <v>57</v>
      </c>
    </row>
    <row r="150" spans="1:12" ht="16.8" x14ac:dyDescent="0.3">
      <c r="A150" s="222">
        <v>46055</v>
      </c>
      <c r="B150" s="190" t="s">
        <v>1426</v>
      </c>
      <c r="C150" s="190"/>
      <c r="D150" s="190"/>
      <c r="E150" s="201">
        <v>1</v>
      </c>
      <c r="F150" s="201">
        <v>1</v>
      </c>
      <c r="G150" s="187" t="s">
        <v>1374</v>
      </c>
      <c r="H150" s="187" t="s">
        <v>405</v>
      </c>
      <c r="I150" s="172">
        <v>4.75</v>
      </c>
      <c r="J150" s="171">
        <f t="shared" si="2"/>
        <v>4.75</v>
      </c>
      <c r="L150" s="185" t="s">
        <v>57</v>
      </c>
    </row>
    <row r="151" spans="1:12" ht="16.8" x14ac:dyDescent="0.3">
      <c r="A151" s="223">
        <v>46058</v>
      </c>
      <c r="B151" s="181" t="s">
        <v>1427</v>
      </c>
      <c r="C151" s="181"/>
      <c r="D151" s="181"/>
      <c r="E151" s="210">
        <v>1</v>
      </c>
      <c r="F151" s="210">
        <v>1</v>
      </c>
      <c r="G151" s="197" t="s">
        <v>1414</v>
      </c>
      <c r="H151" s="211" t="s">
        <v>405</v>
      </c>
      <c r="I151" s="175">
        <v>7.5</v>
      </c>
      <c r="J151" s="170">
        <f t="shared" si="2"/>
        <v>7.5</v>
      </c>
      <c r="L151" s="185" t="s">
        <v>57</v>
      </c>
    </row>
    <row r="152" spans="1:12" ht="16.8" x14ac:dyDescent="0.3">
      <c r="A152" s="224"/>
      <c r="B152" s="187"/>
      <c r="C152" s="188"/>
      <c r="D152" s="187"/>
      <c r="E152" s="201">
        <v>1</v>
      </c>
      <c r="F152" s="201">
        <v>1</v>
      </c>
      <c r="G152" s="188" t="s">
        <v>1342</v>
      </c>
      <c r="H152" s="187" t="s">
        <v>405</v>
      </c>
      <c r="I152" s="172">
        <v>4.75</v>
      </c>
      <c r="J152" s="171">
        <f t="shared" si="2"/>
        <v>4.75</v>
      </c>
      <c r="L152" s="16" t="s">
        <v>57</v>
      </c>
    </row>
    <row r="153" spans="1:12" ht="16.8" x14ac:dyDescent="0.3">
      <c r="A153" s="224"/>
      <c r="B153" s="187"/>
      <c r="C153" s="188"/>
      <c r="D153" s="187"/>
      <c r="E153" s="201">
        <v>1</v>
      </c>
      <c r="F153" s="201">
        <v>1</v>
      </c>
      <c r="G153" s="188" t="s">
        <v>1343</v>
      </c>
      <c r="H153" s="187" t="s">
        <v>405</v>
      </c>
      <c r="I153" s="172">
        <v>3.75</v>
      </c>
      <c r="J153" s="171">
        <f t="shared" si="2"/>
        <v>3.75</v>
      </c>
      <c r="L153" s="185" t="s">
        <v>57</v>
      </c>
    </row>
    <row r="154" spans="1:12" ht="16.8" x14ac:dyDescent="0.3">
      <c r="A154" s="225"/>
      <c r="B154" s="207"/>
      <c r="C154" s="206"/>
      <c r="D154" s="207"/>
      <c r="E154" s="205">
        <v>1</v>
      </c>
      <c r="F154" s="205">
        <v>1</v>
      </c>
      <c r="G154" s="206" t="s">
        <v>1344</v>
      </c>
      <c r="H154" s="207" t="s">
        <v>405</v>
      </c>
      <c r="I154" s="173">
        <v>4</v>
      </c>
      <c r="J154" s="174">
        <f t="shared" si="2"/>
        <v>4</v>
      </c>
      <c r="L154" s="185" t="s">
        <v>57</v>
      </c>
    </row>
    <row r="155" spans="1:12" ht="16.8" x14ac:dyDescent="0.3">
      <c r="A155" s="222">
        <v>46062</v>
      </c>
      <c r="B155" s="190" t="s">
        <v>1428</v>
      </c>
      <c r="C155" s="190"/>
      <c r="D155" s="190"/>
      <c r="E155" s="201">
        <v>1</v>
      </c>
      <c r="F155" s="201">
        <v>1</v>
      </c>
      <c r="G155" s="190" t="s">
        <v>1429</v>
      </c>
      <c r="H155" s="187" t="s">
        <v>405</v>
      </c>
      <c r="I155" s="172">
        <v>1.97</v>
      </c>
      <c r="J155" s="171">
        <f t="shared" si="2"/>
        <v>1.97</v>
      </c>
      <c r="L155" s="16" t="s">
        <v>57</v>
      </c>
    </row>
    <row r="156" spans="1:12" ht="16.8" x14ac:dyDescent="0.3">
      <c r="A156" s="223">
        <v>46064</v>
      </c>
      <c r="B156" s="181" t="s">
        <v>1430</v>
      </c>
      <c r="C156" s="181"/>
      <c r="D156" s="181"/>
      <c r="E156" s="210">
        <v>4</v>
      </c>
      <c r="F156" s="210">
        <v>4</v>
      </c>
      <c r="G156" s="181" t="s">
        <v>1329</v>
      </c>
      <c r="H156" s="211" t="s">
        <v>1317</v>
      </c>
      <c r="I156" s="175">
        <v>3.52</v>
      </c>
      <c r="J156" s="170">
        <f t="shared" si="2"/>
        <v>14.08</v>
      </c>
      <c r="L156" s="185" t="s">
        <v>57</v>
      </c>
    </row>
    <row r="157" spans="1:12" ht="16.8" x14ac:dyDescent="0.3">
      <c r="A157" s="224"/>
      <c r="B157" s="187"/>
      <c r="C157" s="188"/>
      <c r="D157" s="187"/>
      <c r="E157" s="201">
        <v>3</v>
      </c>
      <c r="F157" s="201">
        <v>3</v>
      </c>
      <c r="G157" s="190" t="s">
        <v>1431</v>
      </c>
      <c r="H157" s="187" t="s">
        <v>1432</v>
      </c>
      <c r="I157" s="172">
        <v>2.39</v>
      </c>
      <c r="J157" s="171">
        <f t="shared" si="2"/>
        <v>7.17</v>
      </c>
      <c r="L157" s="185" t="s">
        <v>57</v>
      </c>
    </row>
    <row r="158" spans="1:12" ht="16.8" x14ac:dyDescent="0.3">
      <c r="A158" s="224"/>
      <c r="B158" s="187"/>
      <c r="C158" s="188"/>
      <c r="D158" s="187"/>
      <c r="E158" s="201">
        <v>3</v>
      </c>
      <c r="F158" s="201">
        <v>3</v>
      </c>
      <c r="G158" s="190" t="s">
        <v>1331</v>
      </c>
      <c r="H158" s="187" t="s">
        <v>1317</v>
      </c>
      <c r="I158" s="172">
        <v>1.17</v>
      </c>
      <c r="J158" s="171">
        <f t="shared" si="2"/>
        <v>3.51</v>
      </c>
      <c r="L158" s="16" t="s">
        <v>57</v>
      </c>
    </row>
    <row r="159" spans="1:12" ht="16.8" x14ac:dyDescent="0.3">
      <c r="A159" s="225"/>
      <c r="B159" s="207"/>
      <c r="C159" s="206"/>
      <c r="D159" s="207"/>
      <c r="E159" s="205">
        <v>1</v>
      </c>
      <c r="F159" s="205">
        <v>1</v>
      </c>
      <c r="G159" s="226" t="s">
        <v>1433</v>
      </c>
      <c r="H159" s="207" t="s">
        <v>1317</v>
      </c>
      <c r="I159" s="173">
        <v>1.3</v>
      </c>
      <c r="J159" s="174">
        <f t="shared" si="2"/>
        <v>1.3</v>
      </c>
      <c r="L159" s="185" t="s">
        <v>57</v>
      </c>
    </row>
    <row r="160" spans="1:12" ht="16.8" x14ac:dyDescent="0.3">
      <c r="A160" s="222">
        <v>46065</v>
      </c>
      <c r="B160" s="190" t="s">
        <v>1434</v>
      </c>
      <c r="C160" s="190"/>
      <c r="D160" s="190"/>
      <c r="E160" s="201">
        <v>1</v>
      </c>
      <c r="F160" s="201">
        <v>1</v>
      </c>
      <c r="G160" s="190" t="s">
        <v>1435</v>
      </c>
      <c r="H160" s="187" t="s">
        <v>405</v>
      </c>
      <c r="I160" s="172">
        <v>210</v>
      </c>
      <c r="J160" s="171">
        <f t="shared" si="2"/>
        <v>210</v>
      </c>
      <c r="L160" s="185" t="s">
        <v>57</v>
      </c>
    </row>
    <row r="161" spans="1:12" ht="16.8" x14ac:dyDescent="0.3">
      <c r="A161" s="222">
        <v>46065</v>
      </c>
      <c r="B161" s="190" t="s">
        <v>1436</v>
      </c>
      <c r="C161" s="190"/>
      <c r="D161" s="190"/>
      <c r="E161" s="201">
        <v>1</v>
      </c>
      <c r="F161" s="201">
        <v>1</v>
      </c>
      <c r="G161" s="190" t="s">
        <v>1437</v>
      </c>
      <c r="H161" s="187" t="s">
        <v>405</v>
      </c>
      <c r="I161" s="172">
        <v>210</v>
      </c>
      <c r="J161" s="171">
        <f t="shared" si="2"/>
        <v>210</v>
      </c>
      <c r="L161" s="16" t="s">
        <v>57</v>
      </c>
    </row>
    <row r="162" spans="1:12" ht="16.8" x14ac:dyDescent="0.3">
      <c r="A162" s="222">
        <v>46065</v>
      </c>
      <c r="B162" s="190" t="s">
        <v>1438</v>
      </c>
      <c r="C162" s="190"/>
      <c r="D162" s="190"/>
      <c r="E162" s="201">
        <v>1</v>
      </c>
      <c r="F162" s="201">
        <v>1</v>
      </c>
      <c r="G162" s="190" t="s">
        <v>1439</v>
      </c>
      <c r="H162" s="187" t="s">
        <v>405</v>
      </c>
      <c r="I162" s="172">
        <v>945</v>
      </c>
      <c r="J162" s="171">
        <f t="shared" si="2"/>
        <v>945</v>
      </c>
      <c r="L162" s="185" t="s">
        <v>57</v>
      </c>
    </row>
    <row r="163" spans="1:12" ht="16.8" x14ac:dyDescent="0.3">
      <c r="A163" s="222">
        <v>46065</v>
      </c>
      <c r="B163" s="190" t="s">
        <v>1440</v>
      </c>
      <c r="C163" s="190"/>
      <c r="D163" s="190"/>
      <c r="E163" s="201">
        <v>1</v>
      </c>
      <c r="F163" s="201">
        <v>1</v>
      </c>
      <c r="G163" s="190" t="s">
        <v>1439</v>
      </c>
      <c r="H163" s="187" t="s">
        <v>405</v>
      </c>
      <c r="I163" s="172">
        <v>945</v>
      </c>
      <c r="J163" s="171">
        <f t="shared" si="2"/>
        <v>945</v>
      </c>
      <c r="L163" s="185" t="s">
        <v>57</v>
      </c>
    </row>
    <row r="164" spans="1:12" ht="16.8" x14ac:dyDescent="0.3">
      <c r="A164" s="222">
        <v>46070</v>
      </c>
      <c r="B164" s="190" t="s">
        <v>1441</v>
      </c>
      <c r="C164" s="190"/>
      <c r="D164" s="190"/>
      <c r="E164" s="201">
        <v>1</v>
      </c>
      <c r="F164" s="201">
        <v>1</v>
      </c>
      <c r="G164" s="190" t="s">
        <v>1442</v>
      </c>
      <c r="H164" s="187" t="s">
        <v>1443</v>
      </c>
      <c r="I164" s="172">
        <v>24.33</v>
      </c>
      <c r="J164" s="171">
        <f t="shared" si="2"/>
        <v>24.33</v>
      </c>
      <c r="L164" s="16" t="s">
        <v>57</v>
      </c>
    </row>
    <row r="165" spans="1:12" ht="16.8" x14ac:dyDescent="0.3">
      <c r="A165" s="222">
        <v>46070</v>
      </c>
      <c r="B165" s="190" t="s">
        <v>1444</v>
      </c>
      <c r="C165" s="190"/>
      <c r="D165" s="190"/>
      <c r="E165" s="201">
        <v>2</v>
      </c>
      <c r="F165" s="201">
        <v>2</v>
      </c>
      <c r="G165" s="190" t="s">
        <v>1445</v>
      </c>
      <c r="H165" s="187" t="s">
        <v>1446</v>
      </c>
      <c r="I165" s="227">
        <v>3.0434779999999999</v>
      </c>
      <c r="J165" s="171">
        <f t="shared" si="2"/>
        <v>6.0869559999999998</v>
      </c>
      <c r="L165" s="185" t="s">
        <v>57</v>
      </c>
    </row>
    <row r="166" spans="1:12" ht="16.8" x14ac:dyDescent="0.3">
      <c r="A166" s="223">
        <v>46076</v>
      </c>
      <c r="B166" s="181" t="s">
        <v>1447</v>
      </c>
      <c r="C166" s="181"/>
      <c r="D166" s="181"/>
      <c r="E166" s="210">
        <v>3</v>
      </c>
      <c r="F166" s="210">
        <v>3</v>
      </c>
      <c r="G166" s="181" t="s">
        <v>1448</v>
      </c>
      <c r="H166" s="211" t="s">
        <v>1443</v>
      </c>
      <c r="I166" s="175">
        <v>0.78</v>
      </c>
      <c r="J166" s="170">
        <f t="shared" si="2"/>
        <v>2.34</v>
      </c>
      <c r="L166" s="185" t="s">
        <v>57</v>
      </c>
    </row>
    <row r="167" spans="1:12" ht="16.8" x14ac:dyDescent="0.3">
      <c r="A167" s="224"/>
      <c r="B167" s="187"/>
      <c r="C167" s="188"/>
      <c r="D167" s="187"/>
      <c r="E167" s="201">
        <v>4</v>
      </c>
      <c r="F167" s="201">
        <v>4</v>
      </c>
      <c r="G167" s="190" t="s">
        <v>1449</v>
      </c>
      <c r="H167" s="187" t="s">
        <v>1317</v>
      </c>
      <c r="I167" s="172">
        <v>4.3</v>
      </c>
      <c r="J167" s="171">
        <f t="shared" si="2"/>
        <v>17.2</v>
      </c>
      <c r="L167" s="16" t="s">
        <v>57</v>
      </c>
    </row>
    <row r="168" spans="1:12" ht="16.8" x14ac:dyDescent="0.3">
      <c r="A168" s="224"/>
      <c r="B168" s="187"/>
      <c r="C168" s="188"/>
      <c r="D168" s="187"/>
      <c r="E168" s="201">
        <v>3</v>
      </c>
      <c r="F168" s="201">
        <v>3</v>
      </c>
      <c r="G168" s="190" t="s">
        <v>1450</v>
      </c>
      <c r="H168" s="187" t="s">
        <v>1317</v>
      </c>
      <c r="I168" s="172">
        <v>4.26</v>
      </c>
      <c r="J168" s="171">
        <f t="shared" si="2"/>
        <v>12.78</v>
      </c>
      <c r="L168" s="185" t="s">
        <v>57</v>
      </c>
    </row>
    <row r="169" spans="1:12" ht="16.8" x14ac:dyDescent="0.3">
      <c r="A169" s="225"/>
      <c r="B169" s="207"/>
      <c r="C169" s="206"/>
      <c r="D169" s="207"/>
      <c r="E169" s="205">
        <v>1</v>
      </c>
      <c r="F169" s="205">
        <v>1</v>
      </c>
      <c r="G169" s="226" t="s">
        <v>1451</v>
      </c>
      <c r="H169" s="207" t="s">
        <v>1317</v>
      </c>
      <c r="I169" s="173">
        <v>12.61</v>
      </c>
      <c r="J169" s="174">
        <f t="shared" si="2"/>
        <v>12.61</v>
      </c>
      <c r="L169" s="185" t="s">
        <v>57</v>
      </c>
    </row>
    <row r="170" spans="1:12" ht="16.8" x14ac:dyDescent="0.3">
      <c r="A170" s="223">
        <v>46077</v>
      </c>
      <c r="B170" s="181" t="s">
        <v>1452</v>
      </c>
      <c r="C170" s="181"/>
      <c r="D170" s="181"/>
      <c r="E170" s="210">
        <v>3</v>
      </c>
      <c r="F170" s="210">
        <v>3</v>
      </c>
      <c r="G170" s="181" t="s">
        <v>1453</v>
      </c>
      <c r="H170" s="211" t="s">
        <v>1317</v>
      </c>
      <c r="I170" s="175">
        <v>3.13</v>
      </c>
      <c r="J170" s="170">
        <f t="shared" si="2"/>
        <v>9.39</v>
      </c>
      <c r="L170" s="16" t="s">
        <v>57</v>
      </c>
    </row>
    <row r="171" spans="1:12" ht="16.8" x14ac:dyDescent="0.3">
      <c r="A171" s="224"/>
      <c r="B171" s="187"/>
      <c r="C171" s="188"/>
      <c r="D171" s="187"/>
      <c r="E171" s="201">
        <v>6</v>
      </c>
      <c r="F171" s="201">
        <v>6</v>
      </c>
      <c r="G171" s="190" t="s">
        <v>1333</v>
      </c>
      <c r="H171" s="187" t="s">
        <v>1317</v>
      </c>
      <c r="I171" s="172">
        <v>0.43</v>
      </c>
      <c r="J171" s="171">
        <f t="shared" si="2"/>
        <v>2.58</v>
      </c>
      <c r="L171" s="185" t="s">
        <v>57</v>
      </c>
    </row>
    <row r="172" spans="1:12" ht="16.8" x14ac:dyDescent="0.3">
      <c r="A172" s="224"/>
      <c r="B172" s="187"/>
      <c r="C172" s="188"/>
      <c r="D172" s="187"/>
      <c r="E172" s="201">
        <v>1</v>
      </c>
      <c r="F172" s="201">
        <v>1</v>
      </c>
      <c r="G172" s="190" t="s">
        <v>1454</v>
      </c>
      <c r="H172" s="187" t="s">
        <v>346</v>
      </c>
      <c r="I172" s="172">
        <v>33.479999999999997</v>
      </c>
      <c r="J172" s="171">
        <f t="shared" si="2"/>
        <v>33.479999999999997</v>
      </c>
      <c r="L172" s="185" t="s">
        <v>57</v>
      </c>
    </row>
    <row r="173" spans="1:12" ht="16.8" x14ac:dyDescent="0.3">
      <c r="A173" s="224"/>
      <c r="B173" s="187"/>
      <c r="C173" s="188"/>
      <c r="D173" s="187"/>
      <c r="E173" s="201">
        <v>1</v>
      </c>
      <c r="F173" s="201">
        <v>1</v>
      </c>
      <c r="G173" s="190" t="s">
        <v>1454</v>
      </c>
      <c r="H173" s="187" t="s">
        <v>1432</v>
      </c>
      <c r="I173" s="172">
        <v>29.23</v>
      </c>
      <c r="J173" s="171">
        <f t="shared" si="2"/>
        <v>29.23</v>
      </c>
      <c r="L173" s="16" t="s">
        <v>57</v>
      </c>
    </row>
    <row r="174" spans="1:12" ht="16.8" x14ac:dyDescent="0.3">
      <c r="A174" s="224"/>
      <c r="B174" s="187"/>
      <c r="C174" s="188"/>
      <c r="D174" s="187"/>
      <c r="E174" s="201">
        <v>3</v>
      </c>
      <c r="F174" s="201">
        <v>3</v>
      </c>
      <c r="G174" s="190" t="s">
        <v>1455</v>
      </c>
      <c r="H174" s="187" t="s">
        <v>1443</v>
      </c>
      <c r="I174" s="172">
        <v>4.17</v>
      </c>
      <c r="J174" s="171">
        <f t="shared" si="2"/>
        <v>12.51</v>
      </c>
      <c r="L174" s="185" t="s">
        <v>57</v>
      </c>
    </row>
    <row r="175" spans="1:12" ht="16.8" x14ac:dyDescent="0.3">
      <c r="A175" s="224"/>
      <c r="B175" s="187"/>
      <c r="C175" s="188"/>
      <c r="D175" s="187"/>
      <c r="E175" s="201">
        <v>1</v>
      </c>
      <c r="F175" s="201">
        <v>1</v>
      </c>
      <c r="G175" s="190" t="s">
        <v>1456</v>
      </c>
      <c r="H175" s="187" t="s">
        <v>1432</v>
      </c>
      <c r="I175" s="172">
        <v>5.22</v>
      </c>
      <c r="J175" s="171">
        <f t="shared" si="2"/>
        <v>5.22</v>
      </c>
      <c r="L175" s="185" t="s">
        <v>57</v>
      </c>
    </row>
    <row r="176" spans="1:12" ht="16.8" x14ac:dyDescent="0.3">
      <c r="A176" s="224"/>
      <c r="B176" s="187"/>
      <c r="C176" s="188"/>
      <c r="D176" s="187"/>
      <c r="E176" s="201">
        <v>1</v>
      </c>
      <c r="F176" s="201">
        <v>1</v>
      </c>
      <c r="G176" s="190" t="s">
        <v>1370</v>
      </c>
      <c r="H176" s="187" t="s">
        <v>1443</v>
      </c>
      <c r="I176" s="172">
        <v>3.13</v>
      </c>
      <c r="J176" s="171">
        <f t="shared" si="2"/>
        <v>3.13</v>
      </c>
      <c r="L176" s="16" t="s">
        <v>57</v>
      </c>
    </row>
    <row r="177" spans="1:12" ht="16.8" x14ac:dyDescent="0.3">
      <c r="A177" s="224"/>
      <c r="B177" s="187"/>
      <c r="C177" s="188"/>
      <c r="D177" s="187"/>
      <c r="E177" s="201">
        <v>1</v>
      </c>
      <c r="F177" s="201">
        <v>1</v>
      </c>
      <c r="G177" s="190" t="s">
        <v>1457</v>
      </c>
      <c r="H177" s="187" t="s">
        <v>1432</v>
      </c>
      <c r="I177" s="172">
        <v>25.65</v>
      </c>
      <c r="J177" s="171">
        <f t="shared" si="2"/>
        <v>25.65</v>
      </c>
      <c r="L177" s="185" t="s">
        <v>57</v>
      </c>
    </row>
    <row r="178" spans="1:12" ht="16.8" x14ac:dyDescent="0.3">
      <c r="A178" s="225"/>
      <c r="B178" s="207"/>
      <c r="C178" s="206"/>
      <c r="D178" s="207"/>
      <c r="E178" s="205">
        <v>40</v>
      </c>
      <c r="F178" s="205">
        <v>40</v>
      </c>
      <c r="G178" s="226" t="s">
        <v>1458</v>
      </c>
      <c r="H178" s="207" t="s">
        <v>405</v>
      </c>
      <c r="I178" s="173">
        <v>0.22</v>
      </c>
      <c r="J178" s="174">
        <f t="shared" si="2"/>
        <v>8.8000000000000007</v>
      </c>
      <c r="L178" s="185" t="s">
        <v>57</v>
      </c>
    </row>
    <row r="179" spans="1:12" ht="16.8" x14ac:dyDescent="0.3">
      <c r="A179" s="265" t="s">
        <v>1459</v>
      </c>
      <c r="B179" s="266"/>
      <c r="C179" s="266"/>
      <c r="D179" s="266"/>
      <c r="E179" s="266"/>
      <c r="F179" s="266"/>
      <c r="G179" s="266"/>
      <c r="H179" s="266"/>
      <c r="I179" s="266"/>
      <c r="J179" s="267"/>
      <c r="L179" s="16" t="s">
        <v>57</v>
      </c>
    </row>
    <row r="180" spans="1:12" ht="16.8" x14ac:dyDescent="0.3">
      <c r="A180" s="222">
        <v>46083</v>
      </c>
      <c r="B180" s="190" t="s">
        <v>1460</v>
      </c>
      <c r="C180" s="190"/>
      <c r="D180" s="190"/>
      <c r="E180" s="201">
        <v>1</v>
      </c>
      <c r="F180" s="201">
        <v>1</v>
      </c>
      <c r="G180" s="187" t="s">
        <v>1374</v>
      </c>
      <c r="H180" s="187" t="s">
        <v>405</v>
      </c>
      <c r="I180" s="172">
        <v>2.09</v>
      </c>
      <c r="J180" s="171">
        <f t="shared" si="2"/>
        <v>2.09</v>
      </c>
      <c r="L180" s="185" t="s">
        <v>57</v>
      </c>
    </row>
    <row r="181" spans="1:12" ht="16.8" x14ac:dyDescent="0.3">
      <c r="A181" s="222">
        <v>46083</v>
      </c>
      <c r="B181" s="190" t="s">
        <v>1461</v>
      </c>
      <c r="C181" s="190"/>
      <c r="D181" s="190"/>
      <c r="E181" s="201">
        <v>1</v>
      </c>
      <c r="F181" s="201">
        <v>1</v>
      </c>
      <c r="G181" s="190" t="s">
        <v>1462</v>
      </c>
      <c r="H181" s="187" t="s">
        <v>405</v>
      </c>
      <c r="I181" s="172">
        <v>2.66</v>
      </c>
      <c r="J181" s="171">
        <f t="shared" si="2"/>
        <v>2.66</v>
      </c>
      <c r="L181" s="185" t="s">
        <v>57</v>
      </c>
    </row>
    <row r="182" spans="1:12" ht="16.8" x14ac:dyDescent="0.3">
      <c r="A182" s="222">
        <v>46083</v>
      </c>
      <c r="B182" s="190" t="s">
        <v>1463</v>
      </c>
      <c r="C182" s="190"/>
      <c r="D182" s="190"/>
      <c r="E182" s="201">
        <v>1</v>
      </c>
      <c r="F182" s="201">
        <v>1</v>
      </c>
      <c r="G182" s="190" t="s">
        <v>1464</v>
      </c>
      <c r="H182" s="187" t="s">
        <v>405</v>
      </c>
      <c r="I182" s="172">
        <v>210</v>
      </c>
      <c r="J182" s="171">
        <f t="shared" si="2"/>
        <v>210</v>
      </c>
      <c r="L182" s="16" t="s">
        <v>57</v>
      </c>
    </row>
    <row r="183" spans="1:12" ht="16.8" x14ac:dyDescent="0.3">
      <c r="A183" s="222">
        <v>46083</v>
      </c>
      <c r="B183" s="190" t="s">
        <v>1465</v>
      </c>
      <c r="C183" s="190"/>
      <c r="D183" s="190"/>
      <c r="E183" s="201">
        <v>1</v>
      </c>
      <c r="F183" s="201">
        <v>1</v>
      </c>
      <c r="G183" s="187" t="s">
        <v>1374</v>
      </c>
      <c r="H183" s="187" t="s">
        <v>405</v>
      </c>
      <c r="I183" s="172">
        <v>11.37</v>
      </c>
      <c r="J183" s="171">
        <f t="shared" si="2"/>
        <v>11.37</v>
      </c>
      <c r="L183" s="185" t="s">
        <v>57</v>
      </c>
    </row>
    <row r="184" spans="1:12" ht="16.8" x14ac:dyDescent="0.3">
      <c r="A184" s="222">
        <v>46083</v>
      </c>
      <c r="B184" s="190" t="s">
        <v>1466</v>
      </c>
      <c r="C184" s="190"/>
      <c r="D184" s="190"/>
      <c r="E184" s="201">
        <v>1</v>
      </c>
      <c r="F184" s="201">
        <v>1</v>
      </c>
      <c r="G184" s="187" t="s">
        <v>1374</v>
      </c>
      <c r="H184" s="187" t="s">
        <v>405</v>
      </c>
      <c r="I184" s="172">
        <v>2.57</v>
      </c>
      <c r="J184" s="171">
        <f t="shared" si="2"/>
        <v>2.57</v>
      </c>
      <c r="L184" s="185" t="s">
        <v>57</v>
      </c>
    </row>
    <row r="185" spans="1:12" ht="16.8" x14ac:dyDescent="0.3">
      <c r="A185" s="222">
        <v>46085</v>
      </c>
      <c r="B185" s="190" t="s">
        <v>1467</v>
      </c>
      <c r="C185" s="190"/>
      <c r="D185" s="190"/>
      <c r="E185" s="201">
        <v>1</v>
      </c>
      <c r="F185" s="201">
        <v>1</v>
      </c>
      <c r="G185" s="187" t="s">
        <v>1439</v>
      </c>
      <c r="H185" s="187" t="s">
        <v>405</v>
      </c>
      <c r="I185" s="172">
        <v>945</v>
      </c>
      <c r="J185" s="171">
        <f t="shared" si="2"/>
        <v>945</v>
      </c>
      <c r="L185" s="16" t="s">
        <v>57</v>
      </c>
    </row>
    <row r="186" spans="1:12" ht="16.8" x14ac:dyDescent="0.3">
      <c r="A186" s="223">
        <v>46086</v>
      </c>
      <c r="B186" s="181" t="s">
        <v>1468</v>
      </c>
      <c r="C186" s="181"/>
      <c r="D186" s="181"/>
      <c r="E186" s="210">
        <v>1</v>
      </c>
      <c r="F186" s="210">
        <v>1</v>
      </c>
      <c r="G186" s="228" t="s">
        <v>1414</v>
      </c>
      <c r="H186" s="229" t="s">
        <v>405</v>
      </c>
      <c r="I186" s="229">
        <v>7.5</v>
      </c>
      <c r="J186" s="170">
        <f t="shared" si="2"/>
        <v>7.5</v>
      </c>
      <c r="L186" s="185" t="s">
        <v>57</v>
      </c>
    </row>
    <row r="187" spans="1:12" ht="16.8" x14ac:dyDescent="0.3">
      <c r="A187" s="224"/>
      <c r="B187" s="187"/>
      <c r="C187" s="188"/>
      <c r="D187" s="187"/>
      <c r="E187" s="201">
        <v>1</v>
      </c>
      <c r="F187" s="201">
        <v>1</v>
      </c>
      <c r="G187" s="230" t="s">
        <v>1342</v>
      </c>
      <c r="H187" s="231" t="s">
        <v>405</v>
      </c>
      <c r="I187" s="231">
        <v>4.75</v>
      </c>
      <c r="J187" s="171">
        <f t="shared" si="2"/>
        <v>4.75</v>
      </c>
      <c r="L187" s="185" t="s">
        <v>57</v>
      </c>
    </row>
    <row r="188" spans="1:12" ht="16.8" x14ac:dyDescent="0.3">
      <c r="A188" s="224"/>
      <c r="B188" s="187"/>
      <c r="C188" s="188"/>
      <c r="D188" s="187"/>
      <c r="E188" s="201">
        <v>1</v>
      </c>
      <c r="F188" s="201">
        <v>1</v>
      </c>
      <c r="G188" s="230" t="s">
        <v>1343</v>
      </c>
      <c r="H188" s="231" t="s">
        <v>405</v>
      </c>
      <c r="I188" s="231">
        <v>3.75</v>
      </c>
      <c r="J188" s="171">
        <f t="shared" si="2"/>
        <v>3.75</v>
      </c>
      <c r="L188" s="16" t="s">
        <v>57</v>
      </c>
    </row>
    <row r="189" spans="1:12" ht="16.8" x14ac:dyDescent="0.3">
      <c r="A189" s="225"/>
      <c r="B189" s="207"/>
      <c r="C189" s="206"/>
      <c r="D189" s="207"/>
      <c r="E189" s="205">
        <v>1</v>
      </c>
      <c r="F189" s="205">
        <v>1</v>
      </c>
      <c r="G189" s="232" t="s">
        <v>1344</v>
      </c>
      <c r="H189" s="233" t="s">
        <v>405</v>
      </c>
      <c r="I189" s="233">
        <v>4</v>
      </c>
      <c r="J189" s="174">
        <f t="shared" si="2"/>
        <v>4</v>
      </c>
      <c r="L189" s="185" t="s">
        <v>57</v>
      </c>
    </row>
    <row r="190" spans="1:12" ht="16.8" x14ac:dyDescent="0.3">
      <c r="A190" s="222">
        <v>46090</v>
      </c>
      <c r="B190" s="190" t="s">
        <v>1469</v>
      </c>
      <c r="C190" s="190"/>
      <c r="D190" s="190"/>
      <c r="E190" s="201">
        <v>200</v>
      </c>
      <c r="F190" s="201">
        <v>200</v>
      </c>
      <c r="G190" s="190" t="s">
        <v>1470</v>
      </c>
      <c r="H190" s="187" t="s">
        <v>1317</v>
      </c>
      <c r="I190" s="172">
        <v>3.705E-2</v>
      </c>
      <c r="J190" s="171">
        <f t="shared" si="2"/>
        <v>7.41</v>
      </c>
      <c r="L190" s="185" t="s">
        <v>57</v>
      </c>
    </row>
    <row r="191" spans="1:12" ht="16.8" x14ac:dyDescent="0.3">
      <c r="A191" s="223">
        <v>46088</v>
      </c>
      <c r="B191" s="181" t="s">
        <v>1471</v>
      </c>
      <c r="C191" s="181"/>
      <c r="D191" s="181"/>
      <c r="E191" s="210">
        <v>1</v>
      </c>
      <c r="F191" s="210">
        <v>1</v>
      </c>
      <c r="G191" s="181" t="s">
        <v>1472</v>
      </c>
      <c r="H191" s="211" t="s">
        <v>405</v>
      </c>
      <c r="I191" s="175">
        <v>13.13913</v>
      </c>
      <c r="J191" s="170">
        <f t="shared" si="2"/>
        <v>13.13913</v>
      </c>
      <c r="L191" s="16" t="s">
        <v>57</v>
      </c>
    </row>
    <row r="192" spans="1:12" ht="16.8" x14ac:dyDescent="0.3">
      <c r="A192" s="225"/>
      <c r="B192" s="207"/>
      <c r="C192" s="206"/>
      <c r="D192" s="207"/>
      <c r="E192" s="205">
        <v>1</v>
      </c>
      <c r="F192" s="205">
        <v>1</v>
      </c>
      <c r="G192" s="226" t="s">
        <v>1473</v>
      </c>
      <c r="H192" s="207" t="s">
        <v>405</v>
      </c>
      <c r="I192" s="173">
        <v>3.3913039999999999</v>
      </c>
      <c r="J192" s="174">
        <f t="shared" si="2"/>
        <v>3.3913039999999999</v>
      </c>
      <c r="L192" s="185" t="s">
        <v>57</v>
      </c>
    </row>
    <row r="193" spans="1:12" ht="16.8" x14ac:dyDescent="0.3">
      <c r="A193" s="234">
        <v>46114</v>
      </c>
      <c r="B193" s="190" t="s">
        <v>1474</v>
      </c>
      <c r="C193" s="190"/>
      <c r="D193" s="190"/>
      <c r="E193" s="201">
        <v>1</v>
      </c>
      <c r="F193" s="201">
        <v>1</v>
      </c>
      <c r="G193" s="190" t="s">
        <v>1374</v>
      </c>
      <c r="H193" s="187" t="s">
        <v>405</v>
      </c>
      <c r="I193" s="178">
        <v>1.73</v>
      </c>
      <c r="J193" s="178">
        <f t="shared" si="2"/>
        <v>1.73</v>
      </c>
      <c r="L193" s="185" t="s">
        <v>57</v>
      </c>
    </row>
    <row r="194" spans="1:12" ht="16.8" x14ac:dyDescent="0.3">
      <c r="A194" s="234">
        <v>46113</v>
      </c>
      <c r="B194" s="190" t="s">
        <v>1475</v>
      </c>
      <c r="C194" s="190"/>
      <c r="D194" s="190"/>
      <c r="E194" s="201">
        <v>1</v>
      </c>
      <c r="F194" s="201">
        <v>1</v>
      </c>
      <c r="G194" s="187" t="s">
        <v>1476</v>
      </c>
      <c r="H194" s="187" t="s">
        <v>405</v>
      </c>
      <c r="I194" s="178">
        <v>2.36</v>
      </c>
      <c r="J194" s="178">
        <f t="shared" si="2"/>
        <v>2.36</v>
      </c>
      <c r="L194" s="16" t="s">
        <v>57</v>
      </c>
    </row>
    <row r="195" spans="1:12" ht="16.8" x14ac:dyDescent="0.3">
      <c r="A195" s="234">
        <v>46113</v>
      </c>
      <c r="B195" s="190" t="s">
        <v>1477</v>
      </c>
      <c r="C195" s="190"/>
      <c r="D195" s="190"/>
      <c r="E195" s="201">
        <v>1</v>
      </c>
      <c r="F195" s="201">
        <v>1</v>
      </c>
      <c r="G195" s="187" t="s">
        <v>1478</v>
      </c>
      <c r="H195" s="187" t="s">
        <v>405</v>
      </c>
      <c r="I195" s="178">
        <v>210</v>
      </c>
      <c r="J195" s="178">
        <f t="shared" si="2"/>
        <v>210</v>
      </c>
      <c r="L195" s="185" t="s">
        <v>57</v>
      </c>
    </row>
    <row r="196" spans="1:12" ht="16.8" x14ac:dyDescent="0.3">
      <c r="A196" s="223">
        <v>46096</v>
      </c>
      <c r="B196" s="181" t="s">
        <v>1479</v>
      </c>
      <c r="C196" s="181"/>
      <c r="D196" s="181"/>
      <c r="E196" s="210">
        <v>1</v>
      </c>
      <c r="F196" s="210">
        <v>1</v>
      </c>
      <c r="G196" s="181" t="s">
        <v>1480</v>
      </c>
      <c r="H196" s="211" t="s">
        <v>1443</v>
      </c>
      <c r="I196" s="175">
        <v>3.91</v>
      </c>
      <c r="J196" s="170">
        <f t="shared" si="2"/>
        <v>3.91</v>
      </c>
      <c r="L196" s="185" t="s">
        <v>57</v>
      </c>
    </row>
    <row r="197" spans="1:12" ht="16.8" x14ac:dyDescent="0.3">
      <c r="A197" s="224"/>
      <c r="B197" s="187"/>
      <c r="C197" s="188"/>
      <c r="D197" s="187"/>
      <c r="E197" s="201">
        <v>18</v>
      </c>
      <c r="F197" s="201">
        <v>18</v>
      </c>
      <c r="G197" s="190" t="s">
        <v>1327</v>
      </c>
      <c r="H197" s="187" t="s">
        <v>1317</v>
      </c>
      <c r="I197" s="172">
        <v>1.43</v>
      </c>
      <c r="J197" s="171">
        <f t="shared" si="2"/>
        <v>25.74</v>
      </c>
      <c r="L197" s="16" t="s">
        <v>57</v>
      </c>
    </row>
    <row r="198" spans="1:12" ht="16.8" x14ac:dyDescent="0.3">
      <c r="A198" s="224"/>
      <c r="B198" s="187"/>
      <c r="C198" s="188"/>
      <c r="D198" s="187"/>
      <c r="E198" s="201">
        <v>3</v>
      </c>
      <c r="F198" s="201">
        <v>3</v>
      </c>
      <c r="G198" s="190" t="s">
        <v>1481</v>
      </c>
      <c r="H198" s="187" t="s">
        <v>1317</v>
      </c>
      <c r="I198" s="172">
        <v>4.17</v>
      </c>
      <c r="J198" s="171">
        <f t="shared" si="2"/>
        <v>12.51</v>
      </c>
      <c r="L198" s="185" t="s">
        <v>57</v>
      </c>
    </row>
    <row r="199" spans="1:12" ht="16.8" x14ac:dyDescent="0.3">
      <c r="A199" s="224"/>
      <c r="B199" s="187"/>
      <c r="C199" s="188"/>
      <c r="D199" s="187"/>
      <c r="E199" s="201">
        <v>7</v>
      </c>
      <c r="F199" s="201">
        <v>7</v>
      </c>
      <c r="G199" s="190" t="s">
        <v>1482</v>
      </c>
      <c r="H199" s="187" t="s">
        <v>1317</v>
      </c>
      <c r="I199" s="172">
        <v>1.17</v>
      </c>
      <c r="J199" s="171">
        <f t="shared" si="2"/>
        <v>8.19</v>
      </c>
      <c r="L199" s="185" t="s">
        <v>57</v>
      </c>
    </row>
    <row r="200" spans="1:12" ht="16.8" x14ac:dyDescent="0.3">
      <c r="A200" s="224"/>
      <c r="B200" s="187"/>
      <c r="C200" s="188"/>
      <c r="D200" s="187"/>
      <c r="E200" s="201">
        <v>1</v>
      </c>
      <c r="F200" s="201">
        <v>1</v>
      </c>
      <c r="G200" s="190" t="s">
        <v>1483</v>
      </c>
      <c r="H200" s="187" t="s">
        <v>1443</v>
      </c>
      <c r="I200" s="172">
        <v>56.52</v>
      </c>
      <c r="J200" s="171">
        <f t="shared" si="2"/>
        <v>56.52</v>
      </c>
      <c r="L200" s="16" t="s">
        <v>57</v>
      </c>
    </row>
    <row r="201" spans="1:12" ht="16.8" x14ac:dyDescent="0.3">
      <c r="A201" s="225"/>
      <c r="B201" s="207"/>
      <c r="C201" s="206"/>
      <c r="D201" s="207"/>
      <c r="E201" s="205">
        <v>16</v>
      </c>
      <c r="F201" s="205">
        <v>16</v>
      </c>
      <c r="G201" s="226" t="s">
        <v>1458</v>
      </c>
      <c r="H201" s="207" t="s">
        <v>405</v>
      </c>
      <c r="I201" s="173">
        <v>0.22</v>
      </c>
      <c r="J201" s="174">
        <f t="shared" ref="J201:J264" si="4">I201*E201</f>
        <v>3.52</v>
      </c>
      <c r="L201" s="185" t="s">
        <v>57</v>
      </c>
    </row>
    <row r="202" spans="1:12" ht="16.8" x14ac:dyDescent="0.3">
      <c r="A202" s="223">
        <v>46106</v>
      </c>
      <c r="B202" s="181" t="s">
        <v>1484</v>
      </c>
      <c r="C202" s="181"/>
      <c r="D202" s="181"/>
      <c r="E202" s="210">
        <v>1</v>
      </c>
      <c r="F202" s="210">
        <v>1</v>
      </c>
      <c r="G202" s="181" t="s">
        <v>1485</v>
      </c>
      <c r="H202" s="211" t="s">
        <v>1317</v>
      </c>
      <c r="I202" s="175">
        <v>7.5</v>
      </c>
      <c r="J202" s="170">
        <f t="shared" si="4"/>
        <v>7.5</v>
      </c>
      <c r="L202" s="185" t="s">
        <v>57</v>
      </c>
    </row>
    <row r="203" spans="1:12" ht="16.8" x14ac:dyDescent="0.3">
      <c r="A203" s="225"/>
      <c r="B203" s="207"/>
      <c r="C203" s="206"/>
      <c r="D203" s="207"/>
      <c r="E203" s="205">
        <v>80</v>
      </c>
      <c r="F203" s="205">
        <v>80</v>
      </c>
      <c r="G203" s="207" t="s">
        <v>1418</v>
      </c>
      <c r="H203" s="207" t="s">
        <v>405</v>
      </c>
      <c r="I203" s="173">
        <v>0.22</v>
      </c>
      <c r="J203" s="174">
        <f t="shared" si="4"/>
        <v>17.600000000000001</v>
      </c>
      <c r="L203" s="16" t="s">
        <v>57</v>
      </c>
    </row>
    <row r="204" spans="1:12" ht="16.8" x14ac:dyDescent="0.3">
      <c r="A204" s="223">
        <v>46117</v>
      </c>
      <c r="B204" s="181" t="s">
        <v>1486</v>
      </c>
      <c r="C204" s="181"/>
      <c r="D204" s="181"/>
      <c r="E204" s="210">
        <v>1</v>
      </c>
      <c r="F204" s="210">
        <v>1</v>
      </c>
      <c r="G204" s="228" t="s">
        <v>1414</v>
      </c>
      <c r="H204" s="229" t="s">
        <v>405</v>
      </c>
      <c r="I204" s="229">
        <v>7.5</v>
      </c>
      <c r="J204" s="170">
        <f t="shared" si="4"/>
        <v>7.5</v>
      </c>
      <c r="L204" s="185" t="s">
        <v>57</v>
      </c>
    </row>
    <row r="205" spans="1:12" ht="16.8" x14ac:dyDescent="0.3">
      <c r="A205" s="224"/>
      <c r="B205" s="187"/>
      <c r="C205" s="188"/>
      <c r="D205" s="187"/>
      <c r="E205" s="201">
        <v>1</v>
      </c>
      <c r="F205" s="201">
        <v>1</v>
      </c>
      <c r="G205" s="230" t="s">
        <v>1342</v>
      </c>
      <c r="H205" s="231" t="s">
        <v>405</v>
      </c>
      <c r="I205" s="231">
        <v>4.75</v>
      </c>
      <c r="J205" s="171">
        <f t="shared" si="4"/>
        <v>4.75</v>
      </c>
      <c r="L205" s="185" t="s">
        <v>57</v>
      </c>
    </row>
    <row r="206" spans="1:12" ht="16.8" x14ac:dyDescent="0.3">
      <c r="A206" s="224"/>
      <c r="B206" s="187"/>
      <c r="C206" s="188"/>
      <c r="D206" s="187"/>
      <c r="E206" s="201">
        <v>1</v>
      </c>
      <c r="F206" s="201">
        <v>1</v>
      </c>
      <c r="G206" s="230" t="s">
        <v>1343</v>
      </c>
      <c r="H206" s="231" t="s">
        <v>405</v>
      </c>
      <c r="I206" s="231">
        <v>3.75</v>
      </c>
      <c r="J206" s="171">
        <f t="shared" si="4"/>
        <v>3.75</v>
      </c>
      <c r="L206" s="16" t="s">
        <v>57</v>
      </c>
    </row>
    <row r="207" spans="1:12" ht="16.8" x14ac:dyDescent="0.3">
      <c r="A207" s="225"/>
      <c r="B207" s="207"/>
      <c r="C207" s="206"/>
      <c r="D207" s="207"/>
      <c r="E207" s="205">
        <v>1</v>
      </c>
      <c r="F207" s="205">
        <v>1</v>
      </c>
      <c r="G207" s="232" t="s">
        <v>1344</v>
      </c>
      <c r="H207" s="233" t="s">
        <v>405</v>
      </c>
      <c r="I207" s="233">
        <v>4</v>
      </c>
      <c r="J207" s="174">
        <f t="shared" si="4"/>
        <v>4</v>
      </c>
      <c r="L207" s="185" t="s">
        <v>57</v>
      </c>
    </row>
    <row r="208" spans="1:12" ht="16.8" x14ac:dyDescent="0.3">
      <c r="A208" s="234">
        <v>46113</v>
      </c>
      <c r="B208" s="190" t="s">
        <v>1487</v>
      </c>
      <c r="C208" s="190"/>
      <c r="D208" s="190"/>
      <c r="E208" s="201">
        <v>1</v>
      </c>
      <c r="F208" s="201">
        <v>1</v>
      </c>
      <c r="G208" s="187" t="s">
        <v>1439</v>
      </c>
      <c r="H208" s="187" t="s">
        <v>405</v>
      </c>
      <c r="I208" s="178">
        <v>945</v>
      </c>
      <c r="J208" s="178">
        <f t="shared" si="4"/>
        <v>945</v>
      </c>
      <c r="L208" s="185" t="s">
        <v>57</v>
      </c>
    </row>
    <row r="209" spans="1:12" ht="16.8" x14ac:dyDescent="0.3">
      <c r="A209" s="234">
        <v>46113</v>
      </c>
      <c r="B209" s="190" t="s">
        <v>1488</v>
      </c>
      <c r="C209" s="190"/>
      <c r="D209" s="190"/>
      <c r="E209" s="201">
        <v>1</v>
      </c>
      <c r="F209" s="201">
        <v>1</v>
      </c>
      <c r="G209" s="187" t="s">
        <v>1374</v>
      </c>
      <c r="H209" s="187" t="s">
        <v>405</v>
      </c>
      <c r="I209" s="178">
        <v>11.77</v>
      </c>
      <c r="J209" s="178">
        <f t="shared" si="4"/>
        <v>11.77</v>
      </c>
      <c r="L209" s="16" t="s">
        <v>57</v>
      </c>
    </row>
    <row r="210" spans="1:12" ht="16.8" x14ac:dyDescent="0.3">
      <c r="A210" s="234">
        <v>46113</v>
      </c>
      <c r="B210" s="190" t="s">
        <v>1489</v>
      </c>
      <c r="C210" s="190"/>
      <c r="D210" s="190"/>
      <c r="E210" s="201">
        <v>1</v>
      </c>
      <c r="F210" s="201">
        <v>1</v>
      </c>
      <c r="G210" s="187" t="s">
        <v>1374</v>
      </c>
      <c r="H210" s="187" t="s">
        <v>405</v>
      </c>
      <c r="I210" s="178">
        <v>1.84</v>
      </c>
      <c r="J210" s="178">
        <f t="shared" si="4"/>
        <v>1.84</v>
      </c>
      <c r="L210" s="185" t="s">
        <v>57</v>
      </c>
    </row>
    <row r="211" spans="1:12" ht="16.8" x14ac:dyDescent="0.3">
      <c r="A211" s="223">
        <v>46128</v>
      </c>
      <c r="B211" s="181" t="s">
        <v>1490</v>
      </c>
      <c r="C211" s="181"/>
      <c r="D211" s="181"/>
      <c r="E211" s="210">
        <v>1</v>
      </c>
      <c r="F211" s="210">
        <v>1</v>
      </c>
      <c r="G211" s="181" t="s">
        <v>1491</v>
      </c>
      <c r="H211" s="211" t="s">
        <v>1317</v>
      </c>
      <c r="I211" s="175">
        <v>6.96</v>
      </c>
      <c r="J211" s="170">
        <f t="shared" si="4"/>
        <v>6.96</v>
      </c>
      <c r="L211" s="185" t="s">
        <v>57</v>
      </c>
    </row>
    <row r="212" spans="1:12" ht="16.8" x14ac:dyDescent="0.3">
      <c r="A212" s="224"/>
      <c r="B212" s="187"/>
      <c r="C212" s="188"/>
      <c r="D212" s="187"/>
      <c r="E212" s="201">
        <v>1</v>
      </c>
      <c r="F212" s="201">
        <v>1</v>
      </c>
      <c r="G212" s="190" t="s">
        <v>1492</v>
      </c>
      <c r="H212" s="187" t="s">
        <v>1317</v>
      </c>
      <c r="I212" s="172">
        <v>1.3</v>
      </c>
      <c r="J212" s="171">
        <f t="shared" si="4"/>
        <v>1.3</v>
      </c>
      <c r="L212" s="16" t="s">
        <v>57</v>
      </c>
    </row>
    <row r="213" spans="1:12" ht="16.8" x14ac:dyDescent="0.3">
      <c r="A213" s="225"/>
      <c r="B213" s="207"/>
      <c r="C213" s="206"/>
      <c r="D213" s="207"/>
      <c r="E213" s="205">
        <v>3</v>
      </c>
      <c r="F213" s="205">
        <v>3</v>
      </c>
      <c r="G213" s="226" t="s">
        <v>1493</v>
      </c>
      <c r="H213" s="207" t="s">
        <v>1317</v>
      </c>
      <c r="I213" s="173">
        <v>6.83</v>
      </c>
      <c r="J213" s="174">
        <f t="shared" si="4"/>
        <v>20.490000000000002</v>
      </c>
      <c r="L213" s="185" t="s">
        <v>57</v>
      </c>
    </row>
    <row r="214" spans="1:12" ht="16.8" x14ac:dyDescent="0.3">
      <c r="A214" s="223">
        <v>46124</v>
      </c>
      <c r="B214" s="181" t="s">
        <v>1494</v>
      </c>
      <c r="C214" s="181"/>
      <c r="D214" s="181"/>
      <c r="E214" s="210">
        <v>1</v>
      </c>
      <c r="F214" s="210">
        <v>1</v>
      </c>
      <c r="G214" s="181" t="s">
        <v>1495</v>
      </c>
      <c r="H214" s="211" t="s">
        <v>1317</v>
      </c>
      <c r="I214" s="175">
        <v>19.13</v>
      </c>
      <c r="J214" s="170">
        <f t="shared" si="4"/>
        <v>19.13</v>
      </c>
      <c r="L214" s="185" t="s">
        <v>57</v>
      </c>
    </row>
    <row r="215" spans="1:12" ht="16.8" x14ac:dyDescent="0.3">
      <c r="A215" s="224"/>
      <c r="B215" s="187"/>
      <c r="C215" s="188"/>
      <c r="D215" s="187"/>
      <c r="E215" s="201">
        <v>3</v>
      </c>
      <c r="F215" s="201">
        <v>3</v>
      </c>
      <c r="G215" s="190" t="s">
        <v>1496</v>
      </c>
      <c r="H215" s="187" t="s">
        <v>1317</v>
      </c>
      <c r="I215" s="172">
        <v>5</v>
      </c>
      <c r="J215" s="171">
        <f t="shared" si="4"/>
        <v>15</v>
      </c>
      <c r="L215" s="16" t="s">
        <v>57</v>
      </c>
    </row>
    <row r="216" spans="1:12" ht="16.8" x14ac:dyDescent="0.3">
      <c r="A216" s="224"/>
      <c r="B216" s="187"/>
      <c r="C216" s="188"/>
      <c r="D216" s="187"/>
      <c r="E216" s="201">
        <v>5</v>
      </c>
      <c r="F216" s="201">
        <v>5</v>
      </c>
      <c r="G216" s="190" t="s">
        <v>1481</v>
      </c>
      <c r="H216" s="187" t="s">
        <v>1317</v>
      </c>
      <c r="I216" s="172">
        <v>6.22</v>
      </c>
      <c r="J216" s="171">
        <f t="shared" si="4"/>
        <v>31.099999999999998</v>
      </c>
      <c r="L216" s="185" t="s">
        <v>57</v>
      </c>
    </row>
    <row r="217" spans="1:12" ht="16.8" x14ac:dyDescent="0.3">
      <c r="A217" s="224"/>
      <c r="B217" s="187"/>
      <c r="C217" s="188"/>
      <c r="D217" s="187"/>
      <c r="E217" s="201">
        <v>1</v>
      </c>
      <c r="F217" s="201">
        <v>1</v>
      </c>
      <c r="G217" s="190" t="s">
        <v>1283</v>
      </c>
      <c r="H217" s="187" t="s">
        <v>1317</v>
      </c>
      <c r="I217" s="172">
        <v>12.57</v>
      </c>
      <c r="J217" s="171">
        <f t="shared" si="4"/>
        <v>12.57</v>
      </c>
      <c r="L217" s="185" t="s">
        <v>57</v>
      </c>
    </row>
    <row r="218" spans="1:12" ht="16.8" x14ac:dyDescent="0.3">
      <c r="A218" s="224"/>
      <c r="B218" s="187"/>
      <c r="C218" s="188"/>
      <c r="D218" s="187"/>
      <c r="E218" s="201">
        <v>1</v>
      </c>
      <c r="F218" s="201">
        <v>1</v>
      </c>
      <c r="G218" s="187" t="s">
        <v>1351</v>
      </c>
      <c r="H218" s="187" t="s">
        <v>405</v>
      </c>
      <c r="I218" s="172">
        <v>3.91</v>
      </c>
      <c r="J218" s="171">
        <f t="shared" si="4"/>
        <v>3.91</v>
      </c>
      <c r="L218" s="16" t="s">
        <v>57</v>
      </c>
    </row>
    <row r="219" spans="1:12" ht="16.8" x14ac:dyDescent="0.3">
      <c r="A219" s="224"/>
      <c r="B219" s="187"/>
      <c r="C219" s="188"/>
      <c r="D219" s="187"/>
      <c r="E219" s="201">
        <v>3</v>
      </c>
      <c r="F219" s="201">
        <v>3</v>
      </c>
      <c r="G219" s="190" t="s">
        <v>1497</v>
      </c>
      <c r="H219" s="187" t="s">
        <v>1317</v>
      </c>
      <c r="I219" s="172">
        <v>7.83</v>
      </c>
      <c r="J219" s="171">
        <f t="shared" si="4"/>
        <v>23.490000000000002</v>
      </c>
      <c r="L219" s="185" t="s">
        <v>57</v>
      </c>
    </row>
    <row r="220" spans="1:12" ht="16.8" x14ac:dyDescent="0.3">
      <c r="A220" s="225"/>
      <c r="B220" s="207"/>
      <c r="C220" s="206"/>
      <c r="D220" s="207"/>
      <c r="E220" s="205">
        <v>6</v>
      </c>
      <c r="F220" s="205">
        <v>6</v>
      </c>
      <c r="G220" s="226" t="s">
        <v>1453</v>
      </c>
      <c r="H220" s="207" t="s">
        <v>1315</v>
      </c>
      <c r="I220" s="173">
        <v>3.13</v>
      </c>
      <c r="J220" s="174">
        <f t="shared" si="4"/>
        <v>18.78</v>
      </c>
      <c r="L220" s="185" t="s">
        <v>57</v>
      </c>
    </row>
    <row r="221" spans="1:12" ht="16.8" x14ac:dyDescent="0.3">
      <c r="A221" s="223">
        <v>46128</v>
      </c>
      <c r="B221" s="181" t="s">
        <v>1490</v>
      </c>
      <c r="C221" s="181"/>
      <c r="D221" s="181"/>
      <c r="E221" s="210">
        <v>1</v>
      </c>
      <c r="F221" s="210"/>
      <c r="G221" s="181" t="s">
        <v>1491</v>
      </c>
      <c r="H221" s="211" t="s">
        <v>1317</v>
      </c>
      <c r="I221" s="175">
        <v>6.96</v>
      </c>
      <c r="J221" s="170">
        <f t="shared" si="4"/>
        <v>6.96</v>
      </c>
      <c r="L221" s="16" t="s">
        <v>57</v>
      </c>
    </row>
    <row r="222" spans="1:12" ht="16.8" x14ac:dyDescent="0.3">
      <c r="A222" s="222">
        <v>46128</v>
      </c>
      <c r="B222" s="190" t="s">
        <v>1490</v>
      </c>
      <c r="C222" s="190"/>
      <c r="D222" s="190"/>
      <c r="E222" s="201">
        <v>1</v>
      </c>
      <c r="F222" s="201">
        <v>1</v>
      </c>
      <c r="G222" s="190" t="s">
        <v>1492</v>
      </c>
      <c r="H222" s="187" t="s">
        <v>1432</v>
      </c>
      <c r="I222" s="172">
        <v>1.3</v>
      </c>
      <c r="J222" s="171">
        <f t="shared" si="4"/>
        <v>1.3</v>
      </c>
      <c r="L222" s="185" t="s">
        <v>57</v>
      </c>
    </row>
    <row r="223" spans="1:12" ht="16.8" x14ac:dyDescent="0.3">
      <c r="A223" s="235">
        <v>46128</v>
      </c>
      <c r="B223" s="226" t="s">
        <v>1490</v>
      </c>
      <c r="C223" s="226"/>
      <c r="D223" s="226"/>
      <c r="E223" s="205">
        <v>3</v>
      </c>
      <c r="F223" s="205">
        <v>3</v>
      </c>
      <c r="G223" s="226" t="s">
        <v>1498</v>
      </c>
      <c r="H223" s="207" t="s">
        <v>1317</v>
      </c>
      <c r="I223" s="173">
        <v>6.83</v>
      </c>
      <c r="J223" s="174">
        <f t="shared" si="4"/>
        <v>20.490000000000002</v>
      </c>
      <c r="L223" s="185" t="s">
        <v>57</v>
      </c>
    </row>
    <row r="224" spans="1:12" ht="16.8" x14ac:dyDescent="0.3">
      <c r="A224" s="223">
        <v>46135</v>
      </c>
      <c r="B224" s="181" t="s">
        <v>1499</v>
      </c>
      <c r="C224" s="181"/>
      <c r="D224" s="181"/>
      <c r="E224" s="210">
        <v>1</v>
      </c>
      <c r="F224" s="210">
        <v>1</v>
      </c>
      <c r="G224" s="181" t="s">
        <v>1500</v>
      </c>
      <c r="H224" s="211" t="s">
        <v>1317</v>
      </c>
      <c r="I224" s="175">
        <v>3.91</v>
      </c>
      <c r="J224" s="170">
        <f t="shared" si="4"/>
        <v>3.91</v>
      </c>
      <c r="L224" s="16" t="s">
        <v>57</v>
      </c>
    </row>
    <row r="225" spans="1:12" ht="16.8" x14ac:dyDescent="0.3">
      <c r="A225" s="222">
        <v>46135</v>
      </c>
      <c r="B225" s="190" t="s">
        <v>1499</v>
      </c>
      <c r="C225" s="190"/>
      <c r="D225" s="190"/>
      <c r="E225" s="201">
        <v>1</v>
      </c>
      <c r="F225" s="201">
        <v>1</v>
      </c>
      <c r="G225" s="190" t="s">
        <v>1501</v>
      </c>
      <c r="H225" s="187"/>
      <c r="I225" s="172">
        <v>2.17</v>
      </c>
      <c r="J225" s="171">
        <f t="shared" si="4"/>
        <v>2.17</v>
      </c>
      <c r="L225" s="185" t="s">
        <v>57</v>
      </c>
    </row>
    <row r="226" spans="1:12" ht="16.8" x14ac:dyDescent="0.3">
      <c r="A226" s="235">
        <v>46135</v>
      </c>
      <c r="B226" s="226" t="s">
        <v>1499</v>
      </c>
      <c r="C226" s="226"/>
      <c r="D226" s="226"/>
      <c r="E226" s="205">
        <v>1</v>
      </c>
      <c r="F226" s="205"/>
      <c r="G226" s="226" t="s">
        <v>1313</v>
      </c>
      <c r="H226" s="207" t="s">
        <v>346</v>
      </c>
      <c r="I226" s="173">
        <v>9.1300000000000008</v>
      </c>
      <c r="J226" s="174">
        <f t="shared" si="4"/>
        <v>9.1300000000000008</v>
      </c>
      <c r="L226" s="185" t="s">
        <v>57</v>
      </c>
    </row>
    <row r="227" spans="1:12" ht="16.8" x14ac:dyDescent="0.3">
      <c r="A227" s="216">
        <v>46140</v>
      </c>
      <c r="B227" s="236" t="s">
        <v>1502</v>
      </c>
      <c r="C227" s="236"/>
      <c r="D227" s="236"/>
      <c r="E227" s="218">
        <v>2</v>
      </c>
      <c r="F227" s="218">
        <v>2</v>
      </c>
      <c r="G227" s="219" t="s">
        <v>1503</v>
      </c>
      <c r="H227" s="219" t="s">
        <v>1317</v>
      </c>
      <c r="I227" s="176">
        <v>10.87</v>
      </c>
      <c r="J227" s="177">
        <f t="shared" si="4"/>
        <v>21.74</v>
      </c>
      <c r="L227" s="16" t="s">
        <v>57</v>
      </c>
    </row>
    <row r="228" spans="1:12" ht="16.8" x14ac:dyDescent="0.3">
      <c r="A228" s="216">
        <v>46140</v>
      </c>
      <c r="B228" s="236" t="s">
        <v>1504</v>
      </c>
      <c r="C228" s="236"/>
      <c r="D228" s="236"/>
      <c r="E228" s="218">
        <v>1</v>
      </c>
      <c r="F228" s="218">
        <v>1</v>
      </c>
      <c r="G228" s="236" t="s">
        <v>1505</v>
      </c>
      <c r="H228" s="219" t="s">
        <v>405</v>
      </c>
      <c r="I228" s="176">
        <v>291.3</v>
      </c>
      <c r="J228" s="177">
        <f t="shared" si="4"/>
        <v>291.3</v>
      </c>
      <c r="L228" s="185" t="s">
        <v>57</v>
      </c>
    </row>
    <row r="229" spans="1:12" ht="16.8" x14ac:dyDescent="0.3">
      <c r="A229" s="216">
        <v>46143</v>
      </c>
      <c r="B229" s="236" t="s">
        <v>1506</v>
      </c>
      <c r="C229" s="237">
        <v>1790283380001</v>
      </c>
      <c r="D229" s="236" t="s">
        <v>1507</v>
      </c>
      <c r="E229" s="218">
        <v>1</v>
      </c>
      <c r="F229" s="218">
        <v>1</v>
      </c>
      <c r="G229" s="236" t="s">
        <v>1374</v>
      </c>
      <c r="H229" s="219" t="s">
        <v>405</v>
      </c>
      <c r="I229" s="176">
        <v>6.23</v>
      </c>
      <c r="J229" s="177">
        <f t="shared" si="4"/>
        <v>6.23</v>
      </c>
      <c r="L229" s="185" t="s">
        <v>57</v>
      </c>
    </row>
    <row r="230" spans="1:12" ht="16.8" x14ac:dyDescent="0.3">
      <c r="A230" s="216">
        <v>46143</v>
      </c>
      <c r="B230" s="236" t="s">
        <v>1508</v>
      </c>
      <c r="C230" s="237">
        <v>1790283380001</v>
      </c>
      <c r="D230" s="236" t="s">
        <v>1507</v>
      </c>
      <c r="E230" s="218">
        <v>1</v>
      </c>
      <c r="F230" s="218">
        <v>1</v>
      </c>
      <c r="G230" s="219" t="s">
        <v>1374</v>
      </c>
      <c r="H230" s="219" t="s">
        <v>405</v>
      </c>
      <c r="I230" s="176">
        <v>3.98</v>
      </c>
      <c r="J230" s="177">
        <f t="shared" si="4"/>
        <v>3.98</v>
      </c>
      <c r="L230" s="16" t="s">
        <v>57</v>
      </c>
    </row>
    <row r="231" spans="1:12" ht="16.8" x14ac:dyDescent="0.3">
      <c r="A231" s="216">
        <v>46146</v>
      </c>
      <c r="B231" s="236" t="s">
        <v>1509</v>
      </c>
      <c r="C231" s="237">
        <v>1792726808001</v>
      </c>
      <c r="D231" s="236" t="s">
        <v>1510</v>
      </c>
      <c r="E231" s="218">
        <v>1</v>
      </c>
      <c r="F231" s="218">
        <v>1</v>
      </c>
      <c r="G231" s="236" t="s">
        <v>1511</v>
      </c>
      <c r="H231" s="219" t="s">
        <v>405</v>
      </c>
      <c r="I231" s="176">
        <v>4.1100000000000003</v>
      </c>
      <c r="J231" s="177">
        <f t="shared" si="4"/>
        <v>4.1100000000000003</v>
      </c>
      <c r="L231" s="185" t="s">
        <v>57</v>
      </c>
    </row>
    <row r="232" spans="1:12" ht="16.8" x14ac:dyDescent="0.3">
      <c r="A232" s="216">
        <v>46147</v>
      </c>
      <c r="B232" s="236" t="s">
        <v>1512</v>
      </c>
      <c r="C232" s="237">
        <v>1792726808001</v>
      </c>
      <c r="D232" s="236" t="s">
        <v>1510</v>
      </c>
      <c r="E232" s="218">
        <v>1</v>
      </c>
      <c r="F232" s="218">
        <v>1</v>
      </c>
      <c r="G232" s="236" t="s">
        <v>1513</v>
      </c>
      <c r="H232" s="219" t="s">
        <v>405</v>
      </c>
      <c r="I232" s="176">
        <v>210</v>
      </c>
      <c r="J232" s="177">
        <f t="shared" si="4"/>
        <v>210</v>
      </c>
      <c r="L232" s="185" t="s">
        <v>57</v>
      </c>
    </row>
    <row r="233" spans="1:12" ht="16.8" x14ac:dyDescent="0.3">
      <c r="A233" s="223">
        <v>46147</v>
      </c>
      <c r="B233" s="181" t="s">
        <v>1514</v>
      </c>
      <c r="C233" s="237">
        <v>1791310063001</v>
      </c>
      <c r="D233" s="181" t="s">
        <v>1515</v>
      </c>
      <c r="E233" s="210">
        <v>1</v>
      </c>
      <c r="F233" s="210">
        <v>1</v>
      </c>
      <c r="G233" s="228" t="s">
        <v>1414</v>
      </c>
      <c r="H233" s="229" t="s">
        <v>405</v>
      </c>
      <c r="I233" s="229">
        <v>7.5</v>
      </c>
      <c r="J233" s="170">
        <f t="shared" si="4"/>
        <v>7.5</v>
      </c>
      <c r="L233" s="16" t="s">
        <v>57</v>
      </c>
    </row>
    <row r="234" spans="1:12" ht="16.8" x14ac:dyDescent="0.3">
      <c r="A234" s="224"/>
      <c r="B234" s="187"/>
      <c r="C234" s="188"/>
      <c r="D234" s="187"/>
      <c r="E234" s="201">
        <v>1</v>
      </c>
      <c r="F234" s="201">
        <v>1</v>
      </c>
      <c r="G234" s="230" t="s">
        <v>1342</v>
      </c>
      <c r="H234" s="231" t="s">
        <v>405</v>
      </c>
      <c r="I234" s="231">
        <v>4.75</v>
      </c>
      <c r="J234" s="171">
        <f t="shared" si="4"/>
        <v>4.75</v>
      </c>
      <c r="L234" s="185" t="s">
        <v>57</v>
      </c>
    </row>
    <row r="235" spans="1:12" ht="16.8" x14ac:dyDescent="0.3">
      <c r="A235" s="224"/>
      <c r="B235" s="187"/>
      <c r="C235" s="188"/>
      <c r="D235" s="187"/>
      <c r="E235" s="201">
        <v>1</v>
      </c>
      <c r="F235" s="201">
        <v>1</v>
      </c>
      <c r="G235" s="230" t="s">
        <v>1343</v>
      </c>
      <c r="H235" s="231" t="s">
        <v>405</v>
      </c>
      <c r="I235" s="231">
        <v>3.75</v>
      </c>
      <c r="J235" s="171">
        <f t="shared" si="4"/>
        <v>3.75</v>
      </c>
      <c r="L235" s="185" t="s">
        <v>57</v>
      </c>
    </row>
    <row r="236" spans="1:12" ht="16.8" x14ac:dyDescent="0.3">
      <c r="A236" s="225"/>
      <c r="B236" s="207"/>
      <c r="C236" s="206"/>
      <c r="D236" s="207"/>
      <c r="E236" s="205">
        <v>1</v>
      </c>
      <c r="F236" s="205">
        <v>1</v>
      </c>
      <c r="G236" s="232" t="s">
        <v>1344</v>
      </c>
      <c r="H236" s="233" t="s">
        <v>405</v>
      </c>
      <c r="I236" s="233">
        <v>4</v>
      </c>
      <c r="J236" s="174">
        <f t="shared" si="4"/>
        <v>4</v>
      </c>
      <c r="L236" s="16" t="s">
        <v>57</v>
      </c>
    </row>
    <row r="237" spans="1:12" ht="16.8" x14ac:dyDescent="0.3">
      <c r="A237" s="216">
        <v>46147</v>
      </c>
      <c r="B237" s="236" t="s">
        <v>1516</v>
      </c>
      <c r="C237" s="237">
        <v>1792434238001</v>
      </c>
      <c r="D237" s="236" t="s">
        <v>1517</v>
      </c>
      <c r="E237" s="218">
        <v>1</v>
      </c>
      <c r="F237" s="218">
        <v>1</v>
      </c>
      <c r="G237" s="236" t="s">
        <v>1518</v>
      </c>
      <c r="H237" s="219" t="s">
        <v>405</v>
      </c>
      <c r="I237" s="176">
        <v>945</v>
      </c>
      <c r="J237" s="177">
        <f t="shared" si="4"/>
        <v>945</v>
      </c>
      <c r="L237" s="185" t="s">
        <v>57</v>
      </c>
    </row>
    <row r="238" spans="1:12" ht="16.8" x14ac:dyDescent="0.3">
      <c r="A238" s="216">
        <v>46150</v>
      </c>
      <c r="B238" s="236" t="s">
        <v>1519</v>
      </c>
      <c r="C238" s="237">
        <v>1715744882001</v>
      </c>
      <c r="D238" s="236" t="s">
        <v>1520</v>
      </c>
      <c r="E238" s="218">
        <v>40</v>
      </c>
      <c r="F238" s="218">
        <v>40</v>
      </c>
      <c r="G238" s="236" t="s">
        <v>1458</v>
      </c>
      <c r="H238" s="219" t="s">
        <v>405</v>
      </c>
      <c r="I238" s="176">
        <v>0.22</v>
      </c>
      <c r="J238" s="177">
        <f t="shared" si="4"/>
        <v>8.8000000000000007</v>
      </c>
      <c r="L238" s="185" t="s">
        <v>57</v>
      </c>
    </row>
    <row r="239" spans="1:12" ht="16.8" x14ac:dyDescent="0.3">
      <c r="A239" s="223">
        <v>46151</v>
      </c>
      <c r="B239" s="181" t="s">
        <v>1521</v>
      </c>
      <c r="C239" s="237">
        <v>1719377168001</v>
      </c>
      <c r="D239" s="190" t="s">
        <v>1522</v>
      </c>
      <c r="E239" s="210">
        <v>1</v>
      </c>
      <c r="F239" s="210">
        <v>1</v>
      </c>
      <c r="G239" s="181" t="s">
        <v>1523</v>
      </c>
      <c r="H239" s="211" t="s">
        <v>346</v>
      </c>
      <c r="I239" s="175">
        <v>4.78</v>
      </c>
      <c r="J239" s="170">
        <f t="shared" si="4"/>
        <v>4.78</v>
      </c>
      <c r="L239" s="16" t="s">
        <v>57</v>
      </c>
    </row>
    <row r="240" spans="1:12" ht="16.8" x14ac:dyDescent="0.3">
      <c r="A240" s="224"/>
      <c r="B240" s="187"/>
      <c r="C240" s="188"/>
      <c r="D240" s="187"/>
      <c r="E240" s="201">
        <v>2</v>
      </c>
      <c r="F240" s="201">
        <v>2</v>
      </c>
      <c r="G240" s="190" t="s">
        <v>1524</v>
      </c>
      <c r="H240" s="187" t="s">
        <v>346</v>
      </c>
      <c r="I240" s="172">
        <v>4.78</v>
      </c>
      <c r="J240" s="171">
        <f t="shared" si="4"/>
        <v>9.56</v>
      </c>
      <c r="L240" s="185" t="s">
        <v>57</v>
      </c>
    </row>
    <row r="241" spans="1:12" ht="16.8" x14ac:dyDescent="0.3">
      <c r="A241" s="224"/>
      <c r="B241" s="187"/>
      <c r="C241" s="188"/>
      <c r="D241" s="187"/>
      <c r="E241" s="201">
        <v>2</v>
      </c>
      <c r="F241" s="201">
        <v>2</v>
      </c>
      <c r="G241" s="190" t="s">
        <v>1525</v>
      </c>
      <c r="H241" s="187" t="s">
        <v>1317</v>
      </c>
      <c r="I241" s="172">
        <v>1.74</v>
      </c>
      <c r="J241" s="171">
        <f t="shared" si="4"/>
        <v>3.48</v>
      </c>
      <c r="L241" s="185" t="s">
        <v>57</v>
      </c>
    </row>
    <row r="242" spans="1:12" ht="16.8" x14ac:dyDescent="0.3">
      <c r="A242" s="224"/>
      <c r="B242" s="187"/>
      <c r="C242" s="188"/>
      <c r="D242" s="187"/>
      <c r="E242" s="201">
        <v>6</v>
      </c>
      <c r="F242" s="201">
        <v>6</v>
      </c>
      <c r="G242" s="190" t="s">
        <v>1327</v>
      </c>
      <c r="H242" s="187" t="s">
        <v>1317</v>
      </c>
      <c r="I242" s="172">
        <v>1.7</v>
      </c>
      <c r="J242" s="171">
        <f t="shared" si="4"/>
        <v>10.199999999999999</v>
      </c>
      <c r="L242" s="16" t="s">
        <v>57</v>
      </c>
    </row>
    <row r="243" spans="1:12" ht="16.8" x14ac:dyDescent="0.3">
      <c r="A243" s="225"/>
      <c r="B243" s="207"/>
      <c r="C243" s="206"/>
      <c r="D243" s="207"/>
      <c r="E243" s="205">
        <v>1</v>
      </c>
      <c r="F243" s="205">
        <v>1</v>
      </c>
      <c r="G243" s="226" t="s">
        <v>1526</v>
      </c>
      <c r="H243" s="207" t="s">
        <v>1317</v>
      </c>
      <c r="I243" s="173">
        <v>0.65</v>
      </c>
      <c r="J243" s="174">
        <f t="shared" si="4"/>
        <v>0.65</v>
      </c>
      <c r="L243" s="185" t="s">
        <v>57</v>
      </c>
    </row>
    <row r="244" spans="1:12" ht="16.8" x14ac:dyDescent="0.3">
      <c r="A244" s="223">
        <v>46160</v>
      </c>
      <c r="B244" s="181" t="s">
        <v>1527</v>
      </c>
      <c r="C244" s="238">
        <v>1715505101001</v>
      </c>
      <c r="D244" s="211" t="s">
        <v>1528</v>
      </c>
      <c r="E244" s="210">
        <v>1</v>
      </c>
      <c r="F244" s="210">
        <v>1</v>
      </c>
      <c r="G244" s="181" t="s">
        <v>1529</v>
      </c>
      <c r="H244" s="211" t="s">
        <v>1443</v>
      </c>
      <c r="I244" s="176">
        <v>4.7</v>
      </c>
      <c r="J244" s="177">
        <f t="shared" si="4"/>
        <v>4.7</v>
      </c>
      <c r="L244" s="185" t="s">
        <v>57</v>
      </c>
    </row>
    <row r="245" spans="1:12" ht="16.8" x14ac:dyDescent="0.3">
      <c r="A245" s="224"/>
      <c r="B245" s="239"/>
      <c r="C245" s="240"/>
      <c r="D245" s="239"/>
      <c r="E245" s="241">
        <v>2</v>
      </c>
      <c r="F245" s="241">
        <v>2</v>
      </c>
      <c r="G245" s="242" t="s">
        <v>1530</v>
      </c>
      <c r="H245" s="239" t="s">
        <v>1443</v>
      </c>
      <c r="I245" s="173">
        <v>4.3499999999999996</v>
      </c>
      <c r="J245" s="174">
        <f t="shared" si="4"/>
        <v>8.6999999999999993</v>
      </c>
      <c r="L245" s="16" t="s">
        <v>57</v>
      </c>
    </row>
    <row r="246" spans="1:12" ht="16.8" x14ac:dyDescent="0.3">
      <c r="A246" s="224"/>
      <c r="B246" s="239"/>
      <c r="C246" s="240"/>
      <c r="D246" s="239"/>
      <c r="E246" s="241">
        <v>1</v>
      </c>
      <c r="F246" s="241">
        <v>1</v>
      </c>
      <c r="G246" s="242" t="s">
        <v>1531</v>
      </c>
      <c r="H246" s="239" t="s">
        <v>1443</v>
      </c>
      <c r="I246" s="173">
        <v>4.3499999999999996</v>
      </c>
      <c r="J246" s="174">
        <f t="shared" si="4"/>
        <v>4.3499999999999996</v>
      </c>
      <c r="L246" s="185" t="s">
        <v>57</v>
      </c>
    </row>
    <row r="247" spans="1:12" ht="16.8" x14ac:dyDescent="0.3">
      <c r="A247" s="225"/>
      <c r="B247" s="207"/>
      <c r="C247" s="206"/>
      <c r="D247" s="207"/>
      <c r="E247" s="205">
        <v>3</v>
      </c>
      <c r="F247" s="205">
        <v>3</v>
      </c>
      <c r="G247" s="226" t="s">
        <v>1532</v>
      </c>
      <c r="H247" s="207" t="s">
        <v>1443</v>
      </c>
      <c r="I247" s="173">
        <v>6.52</v>
      </c>
      <c r="J247" s="174">
        <f t="shared" si="4"/>
        <v>19.559999999999999</v>
      </c>
      <c r="L247" s="185" t="s">
        <v>57</v>
      </c>
    </row>
    <row r="248" spans="1:12" ht="16.8" x14ac:dyDescent="0.3">
      <c r="A248" s="216">
        <v>46160</v>
      </c>
      <c r="B248" s="236" t="s">
        <v>1533</v>
      </c>
      <c r="C248" s="238">
        <v>1715744882001</v>
      </c>
      <c r="D248" s="236" t="s">
        <v>1534</v>
      </c>
      <c r="E248" s="218">
        <v>12</v>
      </c>
      <c r="F248" s="218">
        <v>12</v>
      </c>
      <c r="G248" s="236" t="s">
        <v>1535</v>
      </c>
      <c r="H248" s="219" t="s">
        <v>1315</v>
      </c>
      <c r="I248" s="176">
        <v>0.43</v>
      </c>
      <c r="J248" s="177">
        <f t="shared" si="4"/>
        <v>5.16</v>
      </c>
      <c r="L248" s="16" t="s">
        <v>57</v>
      </c>
    </row>
    <row r="249" spans="1:12" ht="16.8" x14ac:dyDescent="0.3">
      <c r="A249" s="216">
        <v>46163</v>
      </c>
      <c r="B249" s="236" t="s">
        <v>1536</v>
      </c>
      <c r="C249" s="238">
        <v>1760411379001</v>
      </c>
      <c r="D249" s="236" t="s">
        <v>1537</v>
      </c>
      <c r="E249" s="218">
        <v>3</v>
      </c>
      <c r="F249" s="218">
        <v>3</v>
      </c>
      <c r="G249" s="236" t="s">
        <v>1538</v>
      </c>
      <c r="H249" s="219" t="s">
        <v>1317</v>
      </c>
      <c r="I249" s="176">
        <v>3.48</v>
      </c>
      <c r="J249" s="177">
        <f t="shared" si="4"/>
        <v>10.44</v>
      </c>
      <c r="L249" s="185" t="s">
        <v>57</v>
      </c>
    </row>
    <row r="250" spans="1:12" ht="16.8" x14ac:dyDescent="0.3">
      <c r="A250" s="222">
        <v>46168</v>
      </c>
      <c r="B250" s="190" t="s">
        <v>1539</v>
      </c>
      <c r="C250" s="238">
        <v>1719377168001</v>
      </c>
      <c r="D250" s="239" t="s">
        <v>1522</v>
      </c>
      <c r="E250" s="241">
        <v>1</v>
      </c>
      <c r="F250" s="241">
        <v>1</v>
      </c>
      <c r="G250" s="190" t="s">
        <v>1540</v>
      </c>
      <c r="H250" s="239" t="s">
        <v>1317</v>
      </c>
      <c r="I250" s="173">
        <v>13.04</v>
      </c>
      <c r="J250" s="174">
        <f t="shared" si="4"/>
        <v>13.04</v>
      </c>
      <c r="L250" s="185" t="s">
        <v>57</v>
      </c>
    </row>
    <row r="251" spans="1:12" ht="16.8" x14ac:dyDescent="0.3">
      <c r="A251" s="224"/>
      <c r="B251" s="239"/>
      <c r="C251" s="240"/>
      <c r="D251" s="239"/>
      <c r="E251" s="241">
        <v>1</v>
      </c>
      <c r="F251" s="241">
        <v>1</v>
      </c>
      <c r="G251" s="190" t="s">
        <v>1541</v>
      </c>
      <c r="H251" s="239" t="s">
        <v>346</v>
      </c>
      <c r="I251" s="173">
        <v>6.96</v>
      </c>
      <c r="J251" s="174">
        <f t="shared" si="4"/>
        <v>6.96</v>
      </c>
      <c r="L251" s="16" t="s">
        <v>57</v>
      </c>
    </row>
    <row r="252" spans="1:12" ht="16.8" x14ac:dyDescent="0.3">
      <c r="A252" s="224"/>
      <c r="B252" s="239"/>
      <c r="C252" s="240"/>
      <c r="D252" s="239"/>
      <c r="E252" s="241">
        <v>1</v>
      </c>
      <c r="F252" s="241">
        <v>1</v>
      </c>
      <c r="G252" s="190" t="s">
        <v>1542</v>
      </c>
      <c r="H252" s="239" t="s">
        <v>346</v>
      </c>
      <c r="I252" s="173">
        <v>10</v>
      </c>
      <c r="J252" s="174">
        <f t="shared" si="4"/>
        <v>10</v>
      </c>
      <c r="L252" s="185" t="s">
        <v>57</v>
      </c>
    </row>
    <row r="253" spans="1:12" ht="16.8" x14ac:dyDescent="0.3">
      <c r="A253" s="224"/>
      <c r="B253" s="239"/>
      <c r="C253" s="240"/>
      <c r="D253" s="239"/>
      <c r="E253" s="241">
        <v>3</v>
      </c>
      <c r="F253" s="241">
        <v>3</v>
      </c>
      <c r="G253" s="190" t="s">
        <v>1492</v>
      </c>
      <c r="H253" s="239" t="s">
        <v>1317</v>
      </c>
      <c r="I253" s="173">
        <v>1.1299999999999999</v>
      </c>
      <c r="J253" s="174">
        <f t="shared" si="4"/>
        <v>3.3899999999999997</v>
      </c>
      <c r="L253" s="185" t="s">
        <v>57</v>
      </c>
    </row>
    <row r="254" spans="1:12" ht="16.8" x14ac:dyDescent="0.3">
      <c r="A254" s="224"/>
      <c r="B254" s="239"/>
      <c r="C254" s="240"/>
      <c r="D254" s="239"/>
      <c r="E254" s="241">
        <v>2</v>
      </c>
      <c r="F254" s="241">
        <v>2</v>
      </c>
      <c r="G254" s="190" t="s">
        <v>1543</v>
      </c>
      <c r="H254" s="239" t="s">
        <v>346</v>
      </c>
      <c r="I254" s="173">
        <v>3.91</v>
      </c>
      <c r="J254" s="174">
        <f t="shared" si="4"/>
        <v>7.82</v>
      </c>
      <c r="L254" s="16" t="s">
        <v>57</v>
      </c>
    </row>
    <row r="255" spans="1:12" ht="16.8" x14ac:dyDescent="0.3">
      <c r="A255" s="224"/>
      <c r="B255" s="239"/>
      <c r="C255" s="240"/>
      <c r="D255" s="239"/>
      <c r="E255" s="241">
        <v>6</v>
      </c>
      <c r="F255" s="241">
        <v>6</v>
      </c>
      <c r="G255" s="190" t="s">
        <v>1348</v>
      </c>
      <c r="H255" s="239" t="s">
        <v>1317</v>
      </c>
      <c r="I255" s="173">
        <v>1.3</v>
      </c>
      <c r="J255" s="174">
        <f t="shared" si="4"/>
        <v>7.8000000000000007</v>
      </c>
      <c r="L255" s="185" t="s">
        <v>57</v>
      </c>
    </row>
    <row r="256" spans="1:12" ht="16.8" x14ac:dyDescent="0.3">
      <c r="A256" s="224"/>
      <c r="B256" s="239"/>
      <c r="C256" s="240"/>
      <c r="D256" s="239"/>
      <c r="E256" s="241">
        <v>3</v>
      </c>
      <c r="F256" s="241">
        <v>3</v>
      </c>
      <c r="G256" s="190" t="s">
        <v>1331</v>
      </c>
      <c r="H256" s="239" t="s">
        <v>1317</v>
      </c>
      <c r="I256" s="173">
        <v>1.17</v>
      </c>
      <c r="J256" s="174">
        <f t="shared" si="4"/>
        <v>3.51</v>
      </c>
      <c r="L256" s="185" t="s">
        <v>57</v>
      </c>
    </row>
    <row r="257" spans="1:12" ht="16.8" x14ac:dyDescent="0.3">
      <c r="A257" s="224"/>
      <c r="B257" s="239"/>
      <c r="C257" s="240"/>
      <c r="D257" s="239"/>
      <c r="E257" s="241">
        <v>6</v>
      </c>
      <c r="F257" s="241">
        <v>6</v>
      </c>
      <c r="G257" s="190" t="s">
        <v>1535</v>
      </c>
      <c r="H257" s="239" t="s">
        <v>1315</v>
      </c>
      <c r="I257" s="173">
        <v>1.74</v>
      </c>
      <c r="J257" s="174">
        <f t="shared" si="4"/>
        <v>10.44</v>
      </c>
      <c r="L257" s="16" t="s">
        <v>57</v>
      </c>
    </row>
    <row r="258" spans="1:12" ht="16.8" x14ac:dyDescent="0.3">
      <c r="A258" s="224"/>
      <c r="B258" s="239"/>
      <c r="C258" s="240"/>
      <c r="D258" s="239"/>
      <c r="E258" s="241">
        <v>12</v>
      </c>
      <c r="F258" s="241">
        <v>12</v>
      </c>
      <c r="G258" s="190" t="s">
        <v>1357</v>
      </c>
      <c r="H258" s="239" t="s">
        <v>1315</v>
      </c>
      <c r="I258" s="173">
        <v>2.17</v>
      </c>
      <c r="J258" s="174">
        <f t="shared" si="4"/>
        <v>26.04</v>
      </c>
      <c r="L258" s="185" t="s">
        <v>57</v>
      </c>
    </row>
    <row r="259" spans="1:12" ht="16.8" x14ac:dyDescent="0.3">
      <c r="A259" s="224"/>
      <c r="B259" s="239"/>
      <c r="C259" s="240"/>
      <c r="D259" s="239"/>
      <c r="E259" s="241">
        <v>40</v>
      </c>
      <c r="F259" s="241">
        <v>40</v>
      </c>
      <c r="G259" s="190" t="s">
        <v>1544</v>
      </c>
      <c r="H259" s="239" t="s">
        <v>405</v>
      </c>
      <c r="I259" s="173">
        <v>0.22</v>
      </c>
      <c r="J259" s="174">
        <f t="shared" si="4"/>
        <v>8.8000000000000007</v>
      </c>
      <c r="L259" s="185" t="s">
        <v>57</v>
      </c>
    </row>
    <row r="260" spans="1:12" ht="16.8" x14ac:dyDescent="0.3">
      <c r="A260" s="223">
        <v>46176</v>
      </c>
      <c r="B260" s="181" t="s">
        <v>1545</v>
      </c>
      <c r="C260" s="181"/>
      <c r="D260" s="181" t="s">
        <v>1546</v>
      </c>
      <c r="E260" s="210">
        <v>3</v>
      </c>
      <c r="F260" s="210">
        <v>3</v>
      </c>
      <c r="G260" s="181" t="s">
        <v>1547</v>
      </c>
      <c r="H260" s="211" t="s">
        <v>1317</v>
      </c>
      <c r="I260" s="176">
        <v>1.83</v>
      </c>
      <c r="J260" s="177">
        <f t="shared" si="4"/>
        <v>5.49</v>
      </c>
      <c r="L260" s="16" t="s">
        <v>57</v>
      </c>
    </row>
    <row r="261" spans="1:12" ht="16.8" x14ac:dyDescent="0.3">
      <c r="A261" s="225"/>
      <c r="B261" s="207"/>
      <c r="C261" s="206"/>
      <c r="D261" s="207"/>
      <c r="E261" s="205">
        <v>1</v>
      </c>
      <c r="F261" s="205">
        <v>1</v>
      </c>
      <c r="G261" s="226" t="s">
        <v>1548</v>
      </c>
      <c r="H261" s="207" t="s">
        <v>1317</v>
      </c>
      <c r="I261" s="173">
        <v>1.3</v>
      </c>
      <c r="J261" s="174">
        <f t="shared" si="4"/>
        <v>1.3</v>
      </c>
      <c r="L261" s="185" t="s">
        <v>57</v>
      </c>
    </row>
    <row r="262" spans="1:12" ht="16.8" x14ac:dyDescent="0.3">
      <c r="A262" s="216">
        <v>46174</v>
      </c>
      <c r="B262" s="236" t="s">
        <v>1549</v>
      </c>
      <c r="C262" s="236"/>
      <c r="D262" s="236" t="s">
        <v>1507</v>
      </c>
      <c r="E262" s="218">
        <v>1</v>
      </c>
      <c r="F262" s="218">
        <v>1</v>
      </c>
      <c r="G262" s="236" t="s">
        <v>1374</v>
      </c>
      <c r="H262" s="219" t="s">
        <v>405</v>
      </c>
      <c r="I262" s="176">
        <v>1.61</v>
      </c>
      <c r="J262" s="177">
        <f t="shared" si="4"/>
        <v>1.61</v>
      </c>
      <c r="L262" s="185" t="s">
        <v>57</v>
      </c>
    </row>
    <row r="263" spans="1:12" ht="16.8" x14ac:dyDescent="0.3">
      <c r="A263" s="223">
        <v>46174</v>
      </c>
      <c r="B263" s="190" t="s">
        <v>1550</v>
      </c>
      <c r="C263" s="190"/>
      <c r="D263" s="190" t="s">
        <v>1517</v>
      </c>
      <c r="E263" s="241">
        <v>1</v>
      </c>
      <c r="F263" s="241">
        <v>1</v>
      </c>
      <c r="G263" s="190" t="s">
        <v>1439</v>
      </c>
      <c r="H263" s="239" t="s">
        <v>405</v>
      </c>
      <c r="I263" s="172">
        <v>945</v>
      </c>
      <c r="J263" s="171">
        <f t="shared" si="4"/>
        <v>945</v>
      </c>
      <c r="L263" s="16" t="s">
        <v>57</v>
      </c>
    </row>
    <row r="264" spans="1:12" ht="16.8" x14ac:dyDescent="0.3">
      <c r="A264" s="216">
        <v>46174</v>
      </c>
      <c r="B264" s="181" t="s">
        <v>1551</v>
      </c>
      <c r="C264" s="237">
        <v>1715744882001</v>
      </c>
      <c r="D264" s="181" t="s">
        <v>1520</v>
      </c>
      <c r="E264" s="210">
        <v>1</v>
      </c>
      <c r="F264" s="210">
        <v>100</v>
      </c>
      <c r="G264" s="181" t="s">
        <v>1552</v>
      </c>
      <c r="H264" s="211" t="s">
        <v>1443</v>
      </c>
      <c r="I264" s="176">
        <v>2.17</v>
      </c>
      <c r="J264" s="177">
        <f t="shared" si="4"/>
        <v>2.17</v>
      </c>
      <c r="L264" s="185" t="s">
        <v>57</v>
      </c>
    </row>
    <row r="265" spans="1:12" ht="16.8" x14ac:dyDescent="0.3">
      <c r="A265" s="222"/>
      <c r="B265" s="240"/>
      <c r="C265" s="240"/>
      <c r="D265" s="240"/>
      <c r="E265" s="241">
        <v>1</v>
      </c>
      <c r="F265" s="241">
        <v>1</v>
      </c>
      <c r="G265" s="242" t="s">
        <v>1553</v>
      </c>
      <c r="H265" s="239" t="s">
        <v>1443</v>
      </c>
      <c r="I265" s="173">
        <v>6.52</v>
      </c>
      <c r="J265" s="174">
        <f t="shared" ref="J265:J294" si="5">I265*E265</f>
        <v>6.52</v>
      </c>
      <c r="L265" s="185" t="s">
        <v>57</v>
      </c>
    </row>
    <row r="266" spans="1:12" ht="16.8" x14ac:dyDescent="0.3">
      <c r="A266" s="222"/>
      <c r="B266" s="240"/>
      <c r="C266" s="240"/>
      <c r="D266" s="240"/>
      <c r="E266" s="241">
        <v>1</v>
      </c>
      <c r="F266" s="241">
        <v>1</v>
      </c>
      <c r="G266" s="242" t="s">
        <v>1554</v>
      </c>
      <c r="H266" s="239" t="s">
        <v>1443</v>
      </c>
      <c r="I266" s="173">
        <v>1.74</v>
      </c>
      <c r="J266" s="174">
        <f t="shared" si="5"/>
        <v>1.74</v>
      </c>
      <c r="L266" s="16" t="s">
        <v>57</v>
      </c>
    </row>
    <row r="267" spans="1:12" ht="16.8" x14ac:dyDescent="0.3">
      <c r="A267" s="235"/>
      <c r="B267" s="206"/>
      <c r="C267" s="206"/>
      <c r="D267" s="206"/>
      <c r="E267" s="205">
        <v>3</v>
      </c>
      <c r="F267" s="205">
        <v>3</v>
      </c>
      <c r="G267" s="226" t="s">
        <v>1555</v>
      </c>
      <c r="H267" s="207" t="s">
        <v>1315</v>
      </c>
      <c r="I267" s="173">
        <v>6.22</v>
      </c>
      <c r="J267" s="174">
        <f t="shared" si="5"/>
        <v>18.66</v>
      </c>
      <c r="L267" s="185" t="s">
        <v>57</v>
      </c>
    </row>
    <row r="268" spans="1:12" ht="16.8" x14ac:dyDescent="0.3">
      <c r="A268" s="216">
        <v>46174</v>
      </c>
      <c r="B268" s="236" t="s">
        <v>1556</v>
      </c>
      <c r="C268" s="236"/>
      <c r="D268" s="236" t="s">
        <v>1510</v>
      </c>
      <c r="E268" s="218">
        <v>1</v>
      </c>
      <c r="F268" s="218">
        <v>1</v>
      </c>
      <c r="G268" s="236" t="s">
        <v>1557</v>
      </c>
      <c r="H268" s="219" t="s">
        <v>405</v>
      </c>
      <c r="I268" s="176">
        <v>5.81</v>
      </c>
      <c r="J268" s="177">
        <f t="shared" si="5"/>
        <v>5.81</v>
      </c>
      <c r="L268" s="185" t="s">
        <v>57</v>
      </c>
    </row>
    <row r="269" spans="1:12" ht="16.8" x14ac:dyDescent="0.3">
      <c r="A269" s="216">
        <v>46174</v>
      </c>
      <c r="B269" s="236" t="s">
        <v>1558</v>
      </c>
      <c r="C269" s="236"/>
      <c r="D269" s="236" t="s">
        <v>1507</v>
      </c>
      <c r="E269" s="218">
        <v>1</v>
      </c>
      <c r="F269" s="218">
        <v>1</v>
      </c>
      <c r="G269" s="236" t="s">
        <v>1374</v>
      </c>
      <c r="H269" s="219" t="s">
        <v>405</v>
      </c>
      <c r="I269" s="176">
        <v>14.08</v>
      </c>
      <c r="J269" s="177">
        <f t="shared" si="5"/>
        <v>14.08</v>
      </c>
      <c r="L269" s="16" t="s">
        <v>57</v>
      </c>
    </row>
    <row r="270" spans="1:12" ht="16.8" x14ac:dyDescent="0.3">
      <c r="A270" s="223">
        <v>46178</v>
      </c>
      <c r="B270" s="181" t="s">
        <v>1559</v>
      </c>
      <c r="C270" s="181"/>
      <c r="D270" s="181" t="s">
        <v>1515</v>
      </c>
      <c r="E270" s="210">
        <v>1</v>
      </c>
      <c r="F270" s="210">
        <v>1</v>
      </c>
      <c r="G270" s="228" t="s">
        <v>1414</v>
      </c>
      <c r="H270" s="229" t="s">
        <v>405</v>
      </c>
      <c r="I270" s="229">
        <v>7.5</v>
      </c>
      <c r="J270" s="177">
        <f t="shared" si="5"/>
        <v>7.5</v>
      </c>
      <c r="L270" s="185" t="s">
        <v>57</v>
      </c>
    </row>
    <row r="271" spans="1:12" ht="16.8" x14ac:dyDescent="0.3">
      <c r="A271" s="222"/>
      <c r="B271" s="242"/>
      <c r="C271" s="242"/>
      <c r="D271" s="242"/>
      <c r="E271" s="241">
        <v>1</v>
      </c>
      <c r="F271" s="241">
        <v>1</v>
      </c>
      <c r="G271" s="243" t="s">
        <v>1342</v>
      </c>
      <c r="H271" s="244" t="s">
        <v>405</v>
      </c>
      <c r="I271" s="244">
        <v>4.75</v>
      </c>
      <c r="J271" s="177">
        <f t="shared" si="5"/>
        <v>4.75</v>
      </c>
      <c r="L271" s="185" t="s">
        <v>57</v>
      </c>
    </row>
    <row r="272" spans="1:12" ht="16.8" x14ac:dyDescent="0.3">
      <c r="A272" s="224"/>
      <c r="B272" s="239"/>
      <c r="C272" s="240"/>
      <c r="D272" s="239"/>
      <c r="E272" s="241">
        <v>1</v>
      </c>
      <c r="F272" s="241">
        <v>1</v>
      </c>
      <c r="G272" s="243" t="s">
        <v>1343</v>
      </c>
      <c r="H272" s="244" t="s">
        <v>405</v>
      </c>
      <c r="I272" s="244">
        <v>3.75</v>
      </c>
      <c r="J272" s="174">
        <f t="shared" si="5"/>
        <v>3.75</v>
      </c>
      <c r="L272" s="16" t="s">
        <v>57</v>
      </c>
    </row>
    <row r="273" spans="1:12" ht="16.8" x14ac:dyDescent="0.3">
      <c r="A273" s="225"/>
      <c r="B273" s="207"/>
      <c r="C273" s="206"/>
      <c r="D273" s="207"/>
      <c r="E273" s="205">
        <v>1</v>
      </c>
      <c r="F273" s="205">
        <v>1</v>
      </c>
      <c r="G273" s="232" t="s">
        <v>1344</v>
      </c>
      <c r="H273" s="233" t="s">
        <v>405</v>
      </c>
      <c r="I273" s="233">
        <v>4</v>
      </c>
      <c r="J273" s="174">
        <f t="shared" si="5"/>
        <v>4</v>
      </c>
      <c r="L273" s="185" t="s">
        <v>57</v>
      </c>
    </row>
    <row r="274" spans="1:12" ht="16.8" x14ac:dyDescent="0.3">
      <c r="A274" s="223">
        <v>46181</v>
      </c>
      <c r="B274" s="181" t="s">
        <v>1560</v>
      </c>
      <c r="C274" s="245">
        <v>1715744882001</v>
      </c>
      <c r="D274" s="211" t="s">
        <v>1520</v>
      </c>
      <c r="E274" s="210">
        <v>1</v>
      </c>
      <c r="F274" s="210">
        <v>1</v>
      </c>
      <c r="G274" s="181" t="s">
        <v>1561</v>
      </c>
      <c r="H274" s="229" t="s">
        <v>1446</v>
      </c>
      <c r="I274" s="246">
        <v>5.65</v>
      </c>
      <c r="J274" s="177">
        <f t="shared" si="5"/>
        <v>5.65</v>
      </c>
      <c r="L274" s="185" t="s">
        <v>57</v>
      </c>
    </row>
    <row r="275" spans="1:12" ht="16.8" x14ac:dyDescent="0.3">
      <c r="A275" s="224"/>
      <c r="B275" s="239"/>
      <c r="C275" s="240"/>
      <c r="D275" s="239"/>
      <c r="E275" s="241">
        <v>1</v>
      </c>
      <c r="F275" s="241">
        <v>1</v>
      </c>
      <c r="G275" s="242" t="s">
        <v>1562</v>
      </c>
      <c r="H275" s="244" t="s">
        <v>405</v>
      </c>
      <c r="I275" s="233">
        <v>9.1300000000000008</v>
      </c>
      <c r="J275" s="174">
        <f t="shared" si="5"/>
        <v>9.1300000000000008</v>
      </c>
      <c r="L275" s="16" t="s">
        <v>57</v>
      </c>
    </row>
    <row r="276" spans="1:12" ht="16.8" x14ac:dyDescent="0.3">
      <c r="A276" s="225"/>
      <c r="B276" s="207"/>
      <c r="C276" s="206"/>
      <c r="D276" s="207"/>
      <c r="E276" s="205">
        <v>3</v>
      </c>
      <c r="F276" s="205">
        <v>3</v>
      </c>
      <c r="G276" s="226" t="s">
        <v>1563</v>
      </c>
      <c r="H276" s="233" t="s">
        <v>1317</v>
      </c>
      <c r="I276" s="233">
        <v>3.52</v>
      </c>
      <c r="J276" s="174">
        <f t="shared" si="5"/>
        <v>10.56</v>
      </c>
      <c r="L276" s="185" t="s">
        <v>57</v>
      </c>
    </row>
    <row r="277" spans="1:12" ht="16.8" x14ac:dyDescent="0.3">
      <c r="A277" s="223">
        <v>46188</v>
      </c>
      <c r="B277" s="211" t="s">
        <v>1564</v>
      </c>
      <c r="C277" s="237">
        <v>1792738741001</v>
      </c>
      <c r="D277" s="211" t="s">
        <v>1565</v>
      </c>
      <c r="E277" s="210">
        <v>100</v>
      </c>
      <c r="F277" s="210">
        <v>100</v>
      </c>
      <c r="G277" s="181" t="s">
        <v>1566</v>
      </c>
      <c r="H277" s="229" t="s">
        <v>1317</v>
      </c>
      <c r="I277" s="246">
        <v>6.5000000000000002E-2</v>
      </c>
      <c r="J277" s="177">
        <f t="shared" si="5"/>
        <v>6.5</v>
      </c>
      <c r="L277" s="185" t="s">
        <v>57</v>
      </c>
    </row>
    <row r="278" spans="1:12" ht="16.8" x14ac:dyDescent="0.3">
      <c r="A278" s="225"/>
      <c r="B278" s="207"/>
      <c r="C278" s="247"/>
      <c r="D278" s="207"/>
      <c r="E278" s="205">
        <v>200</v>
      </c>
      <c r="F278" s="205">
        <v>200</v>
      </c>
      <c r="G278" s="226" t="s">
        <v>1567</v>
      </c>
      <c r="H278" s="233" t="s">
        <v>1317</v>
      </c>
      <c r="I278" s="233">
        <v>0.05</v>
      </c>
      <c r="J278" s="174">
        <f t="shared" si="5"/>
        <v>10</v>
      </c>
      <c r="L278" s="16" t="s">
        <v>57</v>
      </c>
    </row>
    <row r="279" spans="1:12" ht="16.8" x14ac:dyDescent="0.3">
      <c r="A279" s="223">
        <v>46188</v>
      </c>
      <c r="B279" s="181" t="s">
        <v>1568</v>
      </c>
      <c r="C279" s="237">
        <v>1723702203001</v>
      </c>
      <c r="D279" s="181" t="s">
        <v>1569</v>
      </c>
      <c r="E279" s="210">
        <v>40</v>
      </c>
      <c r="F279" s="210">
        <v>40</v>
      </c>
      <c r="G279" s="181" t="s">
        <v>1570</v>
      </c>
      <c r="H279" s="229" t="s">
        <v>405</v>
      </c>
      <c r="I279" s="246">
        <v>0.17</v>
      </c>
      <c r="J279" s="177">
        <f>I279*E279</f>
        <v>6.8000000000000007</v>
      </c>
      <c r="L279" s="185" t="s">
        <v>57</v>
      </c>
    </row>
    <row r="280" spans="1:12" ht="16.8" x14ac:dyDescent="0.3">
      <c r="A280" s="225"/>
      <c r="B280" s="207"/>
      <c r="C280" s="206"/>
      <c r="D280" s="207"/>
      <c r="E280" s="205">
        <v>27</v>
      </c>
      <c r="F280" s="205">
        <v>27</v>
      </c>
      <c r="G280" s="226" t="s">
        <v>1571</v>
      </c>
      <c r="H280" s="233" t="s">
        <v>405</v>
      </c>
      <c r="I280" s="233">
        <v>0.21740000000000001</v>
      </c>
      <c r="J280" s="174">
        <f t="shared" si="5"/>
        <v>5.8698000000000006</v>
      </c>
      <c r="L280" s="185" t="s">
        <v>57</v>
      </c>
    </row>
    <row r="281" spans="1:12" ht="16.8" x14ac:dyDescent="0.3">
      <c r="A281" s="216">
        <v>46197</v>
      </c>
      <c r="B281" s="236" t="s">
        <v>1572</v>
      </c>
      <c r="C281" s="238">
        <v>1790710319001</v>
      </c>
      <c r="D281" s="236" t="s">
        <v>1573</v>
      </c>
      <c r="E281" s="218">
        <v>1</v>
      </c>
      <c r="F281" s="218">
        <v>1</v>
      </c>
      <c r="G281" s="236" t="s">
        <v>1574</v>
      </c>
      <c r="H281" s="246" t="s">
        <v>1443</v>
      </c>
      <c r="I281" s="246">
        <v>2.6</v>
      </c>
      <c r="J281" s="177">
        <f t="shared" si="5"/>
        <v>2.6</v>
      </c>
      <c r="L281" s="16" t="s">
        <v>57</v>
      </c>
    </row>
    <row r="282" spans="1:12" ht="16.8" x14ac:dyDescent="0.3">
      <c r="A282" s="223">
        <v>46199</v>
      </c>
      <c r="B282" s="190" t="s">
        <v>1575</v>
      </c>
      <c r="C282" s="238">
        <v>1715744882001</v>
      </c>
      <c r="D282" s="211" t="s">
        <v>1520</v>
      </c>
      <c r="E282" s="210">
        <v>1</v>
      </c>
      <c r="F282" s="210">
        <v>1</v>
      </c>
      <c r="G282" s="211" t="s">
        <v>1576</v>
      </c>
      <c r="H282" s="211" t="s">
        <v>1317</v>
      </c>
      <c r="I282" s="176">
        <v>4.2</v>
      </c>
      <c r="J282" s="177">
        <f t="shared" si="5"/>
        <v>4.2</v>
      </c>
      <c r="L282" s="185" t="s">
        <v>57</v>
      </c>
    </row>
    <row r="283" spans="1:12" ht="16.8" x14ac:dyDescent="0.3">
      <c r="A283" s="224"/>
      <c r="B283" s="239"/>
      <c r="C283" s="240"/>
      <c r="D283" s="239"/>
      <c r="E283" s="241">
        <v>3</v>
      </c>
      <c r="F283" s="241">
        <v>3</v>
      </c>
      <c r="G283" s="190" t="s">
        <v>1555</v>
      </c>
      <c r="H283" s="239" t="s">
        <v>1315</v>
      </c>
      <c r="I283" s="173">
        <v>7.15</v>
      </c>
      <c r="J283" s="174">
        <f t="shared" si="5"/>
        <v>21.450000000000003</v>
      </c>
      <c r="L283" s="185" t="s">
        <v>57</v>
      </c>
    </row>
    <row r="284" spans="1:12" ht="16.8" x14ac:dyDescent="0.3">
      <c r="A284" s="224"/>
      <c r="B284" s="239"/>
      <c r="C284" s="240"/>
      <c r="D284" s="239"/>
      <c r="E284" s="241">
        <v>3</v>
      </c>
      <c r="F284" s="241">
        <v>3</v>
      </c>
      <c r="G284" s="239" t="s">
        <v>1481</v>
      </c>
      <c r="H284" s="239" t="s">
        <v>1317</v>
      </c>
      <c r="I284" s="173">
        <v>4.8</v>
      </c>
      <c r="J284" s="174">
        <f t="shared" si="5"/>
        <v>14.399999999999999</v>
      </c>
      <c r="L284" s="16" t="s">
        <v>57</v>
      </c>
    </row>
    <row r="285" spans="1:12" ht="16.8" x14ac:dyDescent="0.3">
      <c r="A285" s="224"/>
      <c r="B285" s="239"/>
      <c r="C285" s="240"/>
      <c r="D285" s="239"/>
      <c r="E285" s="241">
        <v>3</v>
      </c>
      <c r="F285" s="241">
        <v>3</v>
      </c>
      <c r="G285" s="239" t="s">
        <v>1577</v>
      </c>
      <c r="H285" s="239" t="s">
        <v>1317</v>
      </c>
      <c r="I285" s="173">
        <v>1.75</v>
      </c>
      <c r="J285" s="174">
        <f t="shared" si="5"/>
        <v>5.25</v>
      </c>
      <c r="L285" s="185" t="s">
        <v>57</v>
      </c>
    </row>
    <row r="286" spans="1:12" ht="16.8" x14ac:dyDescent="0.3">
      <c r="A286" s="225"/>
      <c r="B286" s="207"/>
      <c r="C286" s="206"/>
      <c r="D286" s="207"/>
      <c r="E286" s="205">
        <v>1</v>
      </c>
      <c r="F286" s="205">
        <v>100</v>
      </c>
      <c r="G286" s="207" t="s">
        <v>1523</v>
      </c>
      <c r="H286" s="207" t="s">
        <v>346</v>
      </c>
      <c r="I286" s="173">
        <v>6</v>
      </c>
      <c r="J286" s="174">
        <f t="shared" si="5"/>
        <v>6</v>
      </c>
      <c r="L286" s="185" t="s">
        <v>57</v>
      </c>
    </row>
    <row r="287" spans="1:12" ht="16.8" x14ac:dyDescent="0.3">
      <c r="A287" s="223">
        <v>46199</v>
      </c>
      <c r="B287" s="211"/>
      <c r="C287" s="238">
        <v>1715744882001</v>
      </c>
      <c r="D287" s="211" t="s">
        <v>1520</v>
      </c>
      <c r="E287" s="210">
        <v>1</v>
      </c>
      <c r="F287" s="210">
        <v>1</v>
      </c>
      <c r="G287" s="211" t="s">
        <v>1314</v>
      </c>
      <c r="H287" s="211" t="s">
        <v>346</v>
      </c>
      <c r="I287" s="219">
        <v>28.35</v>
      </c>
      <c r="J287" s="177">
        <f t="shared" si="5"/>
        <v>28.35</v>
      </c>
      <c r="L287" s="16" t="s">
        <v>57</v>
      </c>
    </row>
    <row r="288" spans="1:12" ht="16.8" x14ac:dyDescent="0.3">
      <c r="A288" s="224"/>
      <c r="B288" s="239"/>
      <c r="C288" s="240"/>
      <c r="D288" s="239"/>
      <c r="E288" s="241">
        <v>1</v>
      </c>
      <c r="F288" s="241">
        <v>1</v>
      </c>
      <c r="G288" s="239" t="s">
        <v>1578</v>
      </c>
      <c r="H288" s="239" t="s">
        <v>1317</v>
      </c>
      <c r="I288" s="173">
        <v>9</v>
      </c>
      <c r="J288" s="174">
        <f t="shared" si="5"/>
        <v>9</v>
      </c>
      <c r="L288" s="185" t="s">
        <v>57</v>
      </c>
    </row>
    <row r="289" spans="1:12" ht="16.8" x14ac:dyDescent="0.3">
      <c r="A289" s="224"/>
      <c r="B289" s="239"/>
      <c r="C289" s="240"/>
      <c r="D289" s="239"/>
      <c r="E289" s="241">
        <v>1</v>
      </c>
      <c r="F289" s="241">
        <v>12</v>
      </c>
      <c r="G289" s="239" t="s">
        <v>1352</v>
      </c>
      <c r="H289" s="239" t="s">
        <v>346</v>
      </c>
      <c r="I289" s="172">
        <v>4.2</v>
      </c>
      <c r="J289" s="171">
        <f t="shared" si="5"/>
        <v>4.2</v>
      </c>
      <c r="L289" s="185" t="s">
        <v>57</v>
      </c>
    </row>
    <row r="290" spans="1:12" ht="16.8" x14ac:dyDescent="0.3">
      <c r="A290" s="223">
        <v>46199</v>
      </c>
      <c r="B290" s="181" t="s">
        <v>1579</v>
      </c>
      <c r="C290" s="237">
        <v>1793191373001</v>
      </c>
      <c r="D290" s="211" t="s">
        <v>1580</v>
      </c>
      <c r="E290" s="210">
        <v>1</v>
      </c>
      <c r="F290" s="210">
        <v>1</v>
      </c>
      <c r="G290" s="211" t="s">
        <v>1581</v>
      </c>
      <c r="H290" s="211" t="s">
        <v>405</v>
      </c>
      <c r="I290" s="176">
        <v>10.43</v>
      </c>
      <c r="J290" s="177">
        <f t="shared" si="5"/>
        <v>10.43</v>
      </c>
      <c r="L290" s="16" t="s">
        <v>57</v>
      </c>
    </row>
    <row r="291" spans="1:12" ht="16.8" x14ac:dyDescent="0.3">
      <c r="A291" s="225"/>
      <c r="B291" s="207"/>
      <c r="C291" s="206"/>
      <c r="D291" s="207"/>
      <c r="E291" s="205">
        <v>1</v>
      </c>
      <c r="F291" s="205">
        <v>1</v>
      </c>
      <c r="G291" s="207" t="s">
        <v>1582</v>
      </c>
      <c r="H291" s="207" t="s">
        <v>405</v>
      </c>
      <c r="I291" s="173">
        <v>10.44</v>
      </c>
      <c r="J291" s="174">
        <f t="shared" si="5"/>
        <v>10.44</v>
      </c>
      <c r="L291" s="185" t="s">
        <v>57</v>
      </c>
    </row>
    <row r="292" spans="1:12" ht="16.8" x14ac:dyDescent="0.3">
      <c r="A292" s="223">
        <v>46199</v>
      </c>
      <c r="B292" s="190" t="s">
        <v>1583</v>
      </c>
      <c r="C292" s="238">
        <v>1724426851001</v>
      </c>
      <c r="D292" s="239" t="s">
        <v>1546</v>
      </c>
      <c r="E292" s="241">
        <v>3</v>
      </c>
      <c r="F292" s="241">
        <v>3</v>
      </c>
      <c r="G292" s="239" t="s">
        <v>1584</v>
      </c>
      <c r="H292" s="239" t="s">
        <v>1317</v>
      </c>
      <c r="I292" s="173">
        <v>4</v>
      </c>
      <c r="J292" s="174">
        <f t="shared" si="5"/>
        <v>12</v>
      </c>
      <c r="L292" s="185" t="s">
        <v>57</v>
      </c>
    </row>
    <row r="293" spans="1:12" ht="16.8" x14ac:dyDescent="0.3">
      <c r="A293" s="223">
        <v>46200</v>
      </c>
      <c r="B293" s="211" t="s">
        <v>1585</v>
      </c>
      <c r="C293" s="238">
        <v>1790710319001</v>
      </c>
      <c r="D293" s="236" t="s">
        <v>1573</v>
      </c>
      <c r="E293" s="210">
        <v>1</v>
      </c>
      <c r="F293" s="210">
        <v>1</v>
      </c>
      <c r="G293" s="211" t="s">
        <v>1586</v>
      </c>
      <c r="H293" s="211" t="s">
        <v>1446</v>
      </c>
      <c r="I293" s="176">
        <v>6.52</v>
      </c>
      <c r="J293" s="177">
        <f t="shared" si="5"/>
        <v>6.52</v>
      </c>
      <c r="L293" s="16" t="s">
        <v>57</v>
      </c>
    </row>
    <row r="294" spans="1:12" ht="16.8" x14ac:dyDescent="0.3">
      <c r="A294" s="225"/>
      <c r="B294" s="207"/>
      <c r="C294" s="206"/>
      <c r="D294" s="207"/>
      <c r="E294" s="205">
        <v>1</v>
      </c>
      <c r="F294" s="205">
        <v>4</v>
      </c>
      <c r="G294" s="207" t="s">
        <v>1587</v>
      </c>
      <c r="H294" s="207" t="s">
        <v>405</v>
      </c>
      <c r="I294" s="173">
        <v>3.86</v>
      </c>
      <c r="J294" s="174">
        <f t="shared" si="5"/>
        <v>3.86</v>
      </c>
      <c r="L294" s="185" t="s">
        <v>57</v>
      </c>
    </row>
  </sheetData>
  <mergeCells count="35">
    <mergeCell ref="A1:L1"/>
    <mergeCell ref="A40:A57"/>
    <mergeCell ref="B40:B57"/>
    <mergeCell ref="A58:A67"/>
    <mergeCell ref="B58:B67"/>
    <mergeCell ref="A68:J68"/>
    <mergeCell ref="A69:A72"/>
    <mergeCell ref="B69:B72"/>
    <mergeCell ref="A73:A76"/>
    <mergeCell ref="B73:B76"/>
    <mergeCell ref="A77:A89"/>
    <mergeCell ref="B77:B89"/>
    <mergeCell ref="A92:A94"/>
    <mergeCell ref="B92:B94"/>
    <mergeCell ref="A96:A102"/>
    <mergeCell ref="B96:B102"/>
    <mergeCell ref="A103:J103"/>
    <mergeCell ref="A108:A109"/>
    <mergeCell ref="B108:B109"/>
    <mergeCell ref="A110:A111"/>
    <mergeCell ref="B110:B111"/>
    <mergeCell ref="A113:A119"/>
    <mergeCell ref="B113:B119"/>
    <mergeCell ref="A120:A132"/>
    <mergeCell ref="B120:B132"/>
    <mergeCell ref="A134:A136"/>
    <mergeCell ref="B134:B136"/>
    <mergeCell ref="A147:J147"/>
    <mergeCell ref="A179:J179"/>
    <mergeCell ref="A137:A140"/>
    <mergeCell ref="B137:B140"/>
    <mergeCell ref="A142:A144"/>
    <mergeCell ref="B142:B144"/>
    <mergeCell ref="A145:A146"/>
    <mergeCell ref="B145:B14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H927"/>
  <sheetViews>
    <sheetView workbookViewId="0">
      <selection activeCell="D3" sqref="D3"/>
    </sheetView>
  </sheetViews>
  <sheetFormatPr baseColWidth="10" defaultColWidth="9.109375" defaultRowHeight="19.2" x14ac:dyDescent="0.45"/>
  <cols>
    <col min="1" max="4" width="15" style="36" customWidth="1"/>
    <col min="5" max="5" width="24" style="36" customWidth="1"/>
    <col min="6" max="6" width="16" style="36" customWidth="1"/>
    <col min="7" max="7" width="17" style="36" customWidth="1"/>
    <col min="8" max="8" width="20" style="36" customWidth="1"/>
    <col min="9" max="16384" width="9.109375" style="36"/>
  </cols>
  <sheetData>
    <row r="1" spans="1:8" ht="39.9" customHeight="1" x14ac:dyDescent="0.45">
      <c r="A1" s="263" t="s">
        <v>59</v>
      </c>
      <c r="B1" s="263"/>
      <c r="C1" s="264"/>
      <c r="D1" s="264"/>
      <c r="E1" s="264"/>
      <c r="F1" s="264"/>
      <c r="G1" s="264"/>
      <c r="H1" s="264"/>
    </row>
    <row r="2" spans="1:8" ht="24.9" customHeight="1" x14ac:dyDescent="0.45">
      <c r="A2" s="75" t="s">
        <v>66</v>
      </c>
      <c r="B2" s="37" t="s">
        <v>62</v>
      </c>
      <c r="C2" s="37" t="s">
        <v>63</v>
      </c>
      <c r="D2" s="37" t="s">
        <v>64</v>
      </c>
      <c r="E2" s="37" t="s">
        <v>60</v>
      </c>
      <c r="F2" s="37" t="s">
        <v>61</v>
      </c>
      <c r="G2" s="37" t="s">
        <v>53</v>
      </c>
      <c r="H2" s="37" t="s">
        <v>65</v>
      </c>
    </row>
    <row r="3" spans="1:8" ht="20.100000000000001" customHeight="1" x14ac:dyDescent="0.45">
      <c r="A3" s="38"/>
      <c r="B3" s="38" t="s">
        <v>67</v>
      </c>
      <c r="C3" s="38" t="s">
        <v>68</v>
      </c>
      <c r="D3" s="76" t="s">
        <v>69</v>
      </c>
      <c r="E3" s="77">
        <v>45990</v>
      </c>
      <c r="F3" s="78">
        <v>8</v>
      </c>
      <c r="G3" s="79" t="s">
        <v>58</v>
      </c>
      <c r="H3" s="40">
        <v>254888673</v>
      </c>
    </row>
    <row r="4" spans="1:8" ht="20.100000000000001" customHeight="1" x14ac:dyDescent="0.45">
      <c r="A4" s="40"/>
      <c r="B4" s="40" t="s">
        <v>67</v>
      </c>
      <c r="C4" s="40" t="s">
        <v>70</v>
      </c>
      <c r="D4" s="80" t="s">
        <v>69</v>
      </c>
      <c r="E4" s="81">
        <v>45990</v>
      </c>
      <c r="F4" s="82">
        <v>15</v>
      </c>
      <c r="G4" s="79" t="s">
        <v>58</v>
      </c>
      <c r="H4" s="40">
        <v>254888673</v>
      </c>
    </row>
    <row r="5" spans="1:8" ht="20.100000000000001" customHeight="1" x14ac:dyDescent="0.45">
      <c r="A5" s="40"/>
      <c r="B5" s="40" t="s">
        <v>67</v>
      </c>
      <c r="C5" s="40" t="s">
        <v>34</v>
      </c>
      <c r="D5" s="80" t="s">
        <v>69</v>
      </c>
      <c r="E5" s="81">
        <v>45990</v>
      </c>
      <c r="F5" s="82">
        <v>13</v>
      </c>
      <c r="G5" s="79" t="s">
        <v>58</v>
      </c>
      <c r="H5" s="40">
        <v>254888673</v>
      </c>
    </row>
    <row r="6" spans="1:8" x14ac:dyDescent="0.45">
      <c r="A6" s="40"/>
      <c r="B6" s="40" t="s">
        <v>71</v>
      </c>
      <c r="C6" s="40" t="s">
        <v>72</v>
      </c>
      <c r="D6" s="80" t="s">
        <v>73</v>
      </c>
      <c r="E6" s="81">
        <v>45990</v>
      </c>
      <c r="F6" s="82">
        <v>12.5</v>
      </c>
      <c r="G6" s="79" t="s">
        <v>58</v>
      </c>
      <c r="H6" s="40"/>
    </row>
    <row r="7" spans="1:8" x14ac:dyDescent="0.45">
      <c r="A7" s="40"/>
      <c r="B7" s="40" t="s">
        <v>74</v>
      </c>
      <c r="C7" s="40" t="s">
        <v>75</v>
      </c>
      <c r="D7" s="80" t="s">
        <v>69</v>
      </c>
      <c r="E7" s="81">
        <v>45990</v>
      </c>
      <c r="F7" s="82">
        <v>10</v>
      </c>
      <c r="G7" s="79" t="s">
        <v>58</v>
      </c>
      <c r="H7" s="40"/>
    </row>
    <row r="8" spans="1:8" x14ac:dyDescent="0.45">
      <c r="A8" s="40"/>
      <c r="B8" s="40" t="s">
        <v>76</v>
      </c>
      <c r="C8" s="40" t="s">
        <v>75</v>
      </c>
      <c r="D8" s="80" t="s">
        <v>69</v>
      </c>
      <c r="E8" s="81">
        <v>45990</v>
      </c>
      <c r="F8" s="82">
        <v>10</v>
      </c>
      <c r="G8" s="79" t="s">
        <v>58</v>
      </c>
      <c r="H8" s="40">
        <v>265634126</v>
      </c>
    </row>
    <row r="9" spans="1:8" x14ac:dyDescent="0.45">
      <c r="A9" s="40"/>
      <c r="B9" s="40" t="s">
        <v>77</v>
      </c>
      <c r="C9" s="40" t="s">
        <v>75</v>
      </c>
      <c r="D9" s="80" t="s">
        <v>73</v>
      </c>
      <c r="E9" s="81">
        <v>45990</v>
      </c>
      <c r="F9" s="82">
        <v>10</v>
      </c>
      <c r="G9" s="79" t="s">
        <v>58</v>
      </c>
      <c r="H9" s="40">
        <v>265634126</v>
      </c>
    </row>
    <row r="10" spans="1:8" x14ac:dyDescent="0.45">
      <c r="A10" s="41"/>
      <c r="B10" s="41" t="s">
        <v>78</v>
      </c>
      <c r="C10" s="41" t="s">
        <v>75</v>
      </c>
      <c r="D10" s="83" t="s">
        <v>69</v>
      </c>
      <c r="E10" s="84">
        <v>45991</v>
      </c>
      <c r="F10" s="85">
        <v>10</v>
      </c>
      <c r="G10" s="85" t="s">
        <v>79</v>
      </c>
      <c r="H10" s="41" t="s">
        <v>80</v>
      </c>
    </row>
    <row r="11" spans="1:8" x14ac:dyDescent="0.45">
      <c r="A11" s="41"/>
      <c r="B11" s="41" t="s">
        <v>81</v>
      </c>
      <c r="C11" s="41" t="s">
        <v>75</v>
      </c>
      <c r="D11" s="83" t="s">
        <v>69</v>
      </c>
      <c r="E11" s="84">
        <v>45991</v>
      </c>
      <c r="F11" s="85">
        <v>10</v>
      </c>
      <c r="G11" s="85" t="s">
        <v>79</v>
      </c>
      <c r="H11" s="41" t="s">
        <v>80</v>
      </c>
    </row>
    <row r="12" spans="1:8" x14ac:dyDescent="0.45">
      <c r="A12" s="41"/>
      <c r="B12" s="41" t="s">
        <v>82</v>
      </c>
      <c r="C12" s="41" t="s">
        <v>75</v>
      </c>
      <c r="D12" s="83" t="s">
        <v>73</v>
      </c>
      <c r="E12" s="84">
        <v>45991</v>
      </c>
      <c r="F12" s="85">
        <v>10</v>
      </c>
      <c r="G12" s="85" t="s">
        <v>79</v>
      </c>
      <c r="H12" s="41" t="s">
        <v>80</v>
      </c>
    </row>
    <row r="13" spans="1:8" x14ac:dyDescent="0.45">
      <c r="A13" s="38"/>
      <c r="B13" s="38"/>
      <c r="C13" s="49" t="s">
        <v>83</v>
      </c>
      <c r="D13" s="76"/>
      <c r="E13" s="77">
        <v>45992</v>
      </c>
      <c r="F13" s="86">
        <v>8</v>
      </c>
      <c r="G13" s="79"/>
      <c r="H13" s="40"/>
    </row>
    <row r="14" spans="1:8" x14ac:dyDescent="0.45">
      <c r="A14" s="40"/>
      <c r="B14" s="40"/>
      <c r="C14" s="51" t="s">
        <v>84</v>
      </c>
      <c r="D14" s="80"/>
      <c r="E14" s="77">
        <v>45992</v>
      </c>
      <c r="F14" s="87">
        <v>7</v>
      </c>
      <c r="G14" s="79"/>
      <c r="H14" s="40"/>
    </row>
    <row r="15" spans="1:8" x14ac:dyDescent="0.45">
      <c r="A15" s="40"/>
      <c r="B15" s="40"/>
      <c r="C15" s="51" t="s">
        <v>85</v>
      </c>
      <c r="D15" s="80"/>
      <c r="E15" s="77">
        <v>45992</v>
      </c>
      <c r="F15" s="87">
        <v>8</v>
      </c>
      <c r="G15" s="79"/>
      <c r="H15" s="40"/>
    </row>
    <row r="16" spans="1:8" x14ac:dyDescent="0.45">
      <c r="A16" s="42"/>
      <c r="B16" s="42"/>
      <c r="C16" s="42"/>
      <c r="D16" s="88"/>
      <c r="E16" s="89">
        <v>45993</v>
      </c>
      <c r="F16" s="90">
        <v>0</v>
      </c>
      <c r="G16" s="90"/>
      <c r="H16" s="43"/>
    </row>
    <row r="17" spans="1:8" x14ac:dyDescent="0.45">
      <c r="A17" s="38"/>
      <c r="B17" s="40" t="s">
        <v>86</v>
      </c>
      <c r="C17" s="40" t="s">
        <v>87</v>
      </c>
      <c r="D17" s="40" t="s">
        <v>88</v>
      </c>
      <c r="E17" s="77">
        <v>45994</v>
      </c>
      <c r="F17" s="91">
        <v>15</v>
      </c>
      <c r="G17" s="79" t="s">
        <v>89</v>
      </c>
      <c r="H17" s="40">
        <v>87012817</v>
      </c>
    </row>
    <row r="18" spans="1:8" x14ac:dyDescent="0.45">
      <c r="A18" s="40"/>
      <c r="B18" s="40" t="s">
        <v>86</v>
      </c>
      <c r="C18" s="40" t="s">
        <v>90</v>
      </c>
      <c r="D18" s="40" t="s">
        <v>88</v>
      </c>
      <c r="E18" s="77">
        <v>45994</v>
      </c>
      <c r="F18" s="91">
        <v>5</v>
      </c>
      <c r="G18" s="79" t="s">
        <v>89</v>
      </c>
      <c r="H18" s="40">
        <v>87078236</v>
      </c>
    </row>
    <row r="19" spans="1:8" x14ac:dyDescent="0.45">
      <c r="A19" s="40"/>
      <c r="B19" s="40" t="s">
        <v>91</v>
      </c>
      <c r="C19" s="40" t="s">
        <v>87</v>
      </c>
      <c r="D19" s="40" t="s">
        <v>92</v>
      </c>
      <c r="E19" s="77">
        <v>45994</v>
      </c>
      <c r="F19" s="91">
        <v>15</v>
      </c>
      <c r="G19" s="79" t="s">
        <v>89</v>
      </c>
      <c r="H19" s="40">
        <v>81468666</v>
      </c>
    </row>
    <row r="20" spans="1:8" x14ac:dyDescent="0.45">
      <c r="A20" s="40"/>
      <c r="B20" s="40" t="s">
        <v>91</v>
      </c>
      <c r="C20" s="40" t="s">
        <v>93</v>
      </c>
      <c r="D20" s="40" t="s">
        <v>92</v>
      </c>
      <c r="E20" s="77">
        <v>45994</v>
      </c>
      <c r="F20" s="91">
        <v>15</v>
      </c>
      <c r="G20" s="79" t="s">
        <v>89</v>
      </c>
      <c r="H20" s="40">
        <v>81468666</v>
      </c>
    </row>
    <row r="21" spans="1:8" x14ac:dyDescent="0.45">
      <c r="A21" s="42"/>
      <c r="B21" s="43" t="s">
        <v>94</v>
      </c>
      <c r="C21" s="43" t="s">
        <v>95</v>
      </c>
      <c r="D21" s="43" t="s">
        <v>88</v>
      </c>
      <c r="E21" s="89">
        <v>45995</v>
      </c>
      <c r="F21" s="92">
        <v>10</v>
      </c>
      <c r="G21" s="92" t="s">
        <v>96</v>
      </c>
      <c r="H21" s="43">
        <v>72542723</v>
      </c>
    </row>
    <row r="22" spans="1:8" x14ac:dyDescent="0.45">
      <c r="A22" s="43"/>
      <c r="B22" s="43" t="s">
        <v>97</v>
      </c>
      <c r="C22" s="43" t="s">
        <v>98</v>
      </c>
      <c r="D22" s="43" t="s">
        <v>88</v>
      </c>
      <c r="E22" s="89">
        <v>45995</v>
      </c>
      <c r="F22" s="92">
        <v>8</v>
      </c>
      <c r="G22" s="92" t="s">
        <v>99</v>
      </c>
      <c r="H22" s="43">
        <v>71538603</v>
      </c>
    </row>
    <row r="23" spans="1:8" x14ac:dyDescent="0.45">
      <c r="A23" s="38"/>
      <c r="B23" s="38"/>
      <c r="C23" s="38"/>
      <c r="D23" s="76"/>
      <c r="E23" s="77">
        <v>45996</v>
      </c>
      <c r="F23" s="78">
        <v>0</v>
      </c>
      <c r="G23" s="79"/>
      <c r="H23" s="40"/>
    </row>
    <row r="24" spans="1:8" x14ac:dyDescent="0.45">
      <c r="A24" s="42"/>
      <c r="B24" s="43"/>
      <c r="C24" s="43" t="s">
        <v>95</v>
      </c>
      <c r="D24" s="43" t="s">
        <v>88</v>
      </c>
      <c r="E24" s="89">
        <v>45997</v>
      </c>
      <c r="F24" s="92">
        <v>10</v>
      </c>
      <c r="G24" s="92" t="s">
        <v>100</v>
      </c>
      <c r="H24" s="43">
        <v>587698020900</v>
      </c>
    </row>
    <row r="25" spans="1:8" x14ac:dyDescent="0.45">
      <c r="A25" s="43"/>
      <c r="B25" s="43" t="s">
        <v>101</v>
      </c>
      <c r="C25" s="43" t="s">
        <v>95</v>
      </c>
      <c r="D25" s="43" t="s">
        <v>88</v>
      </c>
      <c r="E25" s="89">
        <v>45997</v>
      </c>
      <c r="F25" s="92">
        <v>10</v>
      </c>
      <c r="G25" s="92" t="s">
        <v>96</v>
      </c>
      <c r="H25" s="43">
        <v>36236718</v>
      </c>
    </row>
    <row r="26" spans="1:8" x14ac:dyDescent="0.45">
      <c r="A26" s="43"/>
      <c r="B26" s="43"/>
      <c r="C26" s="43" t="s">
        <v>102</v>
      </c>
      <c r="D26" s="93" t="s">
        <v>92</v>
      </c>
      <c r="E26" s="89">
        <v>45997</v>
      </c>
      <c r="F26" s="92">
        <v>16</v>
      </c>
      <c r="G26" s="90"/>
      <c r="H26" s="43"/>
    </row>
    <row r="27" spans="1:8" x14ac:dyDescent="0.45">
      <c r="A27" s="43"/>
      <c r="B27" s="43"/>
      <c r="C27" s="43" t="s">
        <v>103</v>
      </c>
      <c r="D27" s="93" t="s">
        <v>92</v>
      </c>
      <c r="E27" s="89">
        <v>45997</v>
      </c>
      <c r="F27" s="92">
        <v>32</v>
      </c>
      <c r="G27" s="90"/>
      <c r="H27" s="43"/>
    </row>
    <row r="28" spans="1:8" x14ac:dyDescent="0.45">
      <c r="A28" s="43"/>
      <c r="B28" s="43"/>
      <c r="C28" s="43" t="s">
        <v>104</v>
      </c>
      <c r="D28" s="93" t="s">
        <v>92</v>
      </c>
      <c r="E28" s="89">
        <v>45997</v>
      </c>
      <c r="F28" s="92">
        <v>12</v>
      </c>
      <c r="G28" s="90"/>
      <c r="H28" s="43"/>
    </row>
    <row r="29" spans="1:8" x14ac:dyDescent="0.45">
      <c r="A29" s="43"/>
      <c r="B29" s="43"/>
      <c r="C29" s="43" t="s">
        <v>105</v>
      </c>
      <c r="D29" s="93" t="s">
        <v>92</v>
      </c>
      <c r="E29" s="89">
        <v>45997</v>
      </c>
      <c r="F29" s="92">
        <v>30</v>
      </c>
      <c r="G29" s="90"/>
      <c r="H29" s="43"/>
    </row>
    <row r="30" spans="1:8" x14ac:dyDescent="0.45">
      <c r="A30" s="38"/>
      <c r="B30" s="40" t="s">
        <v>106</v>
      </c>
      <c r="C30" s="40" t="s">
        <v>87</v>
      </c>
      <c r="D30" s="40" t="s">
        <v>88</v>
      </c>
      <c r="E30" s="77">
        <v>45998</v>
      </c>
      <c r="F30" s="91">
        <v>15</v>
      </c>
      <c r="G30" s="91" t="s">
        <v>99</v>
      </c>
      <c r="H30" s="40">
        <v>90291457</v>
      </c>
    </row>
    <row r="31" spans="1:8" x14ac:dyDescent="0.45">
      <c r="A31" s="40"/>
      <c r="B31" s="40"/>
      <c r="C31" s="40" t="s">
        <v>107</v>
      </c>
      <c r="D31" s="40" t="s">
        <v>92</v>
      </c>
      <c r="E31" s="77">
        <v>45998</v>
      </c>
      <c r="F31" s="91">
        <v>20</v>
      </c>
      <c r="G31" s="91" t="s">
        <v>108</v>
      </c>
      <c r="H31" s="40">
        <v>775038020900</v>
      </c>
    </row>
    <row r="32" spans="1:8" x14ac:dyDescent="0.45">
      <c r="A32" s="40"/>
      <c r="B32" s="40" t="s">
        <v>109</v>
      </c>
      <c r="C32" s="40" t="s">
        <v>110</v>
      </c>
      <c r="D32" s="40" t="s">
        <v>92</v>
      </c>
      <c r="E32" s="77">
        <v>45998</v>
      </c>
      <c r="F32" s="91">
        <v>25</v>
      </c>
      <c r="G32" s="91" t="s">
        <v>99</v>
      </c>
      <c r="H32" s="40">
        <v>111822359</v>
      </c>
    </row>
    <row r="33" spans="1:8" x14ac:dyDescent="0.45">
      <c r="A33" s="40"/>
      <c r="B33" s="40" t="s">
        <v>111</v>
      </c>
      <c r="C33" s="40" t="s">
        <v>112</v>
      </c>
      <c r="D33" s="40" t="s">
        <v>88</v>
      </c>
      <c r="E33" s="77">
        <v>45998</v>
      </c>
      <c r="F33" s="91">
        <v>32</v>
      </c>
      <c r="G33" s="91" t="s">
        <v>99</v>
      </c>
      <c r="H33" s="40">
        <v>112564545</v>
      </c>
    </row>
    <row r="34" spans="1:8" x14ac:dyDescent="0.45">
      <c r="A34" s="40"/>
      <c r="B34" s="40"/>
      <c r="C34" s="40" t="s">
        <v>104</v>
      </c>
      <c r="D34" s="40" t="s">
        <v>88</v>
      </c>
      <c r="E34" s="77">
        <v>45998</v>
      </c>
      <c r="F34" s="91">
        <v>12</v>
      </c>
      <c r="G34" s="91"/>
      <c r="H34" s="40"/>
    </row>
    <row r="35" spans="1:8" x14ac:dyDescent="0.45">
      <c r="A35" s="40"/>
      <c r="B35" s="40"/>
      <c r="C35" s="40" t="s">
        <v>90</v>
      </c>
      <c r="D35" s="40" t="s">
        <v>88</v>
      </c>
      <c r="E35" s="77">
        <v>45998</v>
      </c>
      <c r="F35" s="91">
        <v>5</v>
      </c>
      <c r="G35" s="91"/>
      <c r="H35" s="40"/>
    </row>
    <row r="36" spans="1:8" x14ac:dyDescent="0.45">
      <c r="A36" s="40"/>
      <c r="B36" s="40"/>
      <c r="C36" s="40" t="s">
        <v>113</v>
      </c>
      <c r="D36" s="40" t="s">
        <v>92</v>
      </c>
      <c r="E36" s="77">
        <v>45998</v>
      </c>
      <c r="F36" s="91">
        <v>30</v>
      </c>
      <c r="G36" s="91"/>
      <c r="H36" s="40"/>
    </row>
    <row r="37" spans="1:8" x14ac:dyDescent="0.45">
      <c r="A37" s="43"/>
      <c r="B37" s="43" t="s">
        <v>114</v>
      </c>
      <c r="C37" s="43" t="s">
        <v>87</v>
      </c>
      <c r="D37" s="43" t="s">
        <v>92</v>
      </c>
      <c r="E37" s="89">
        <v>45999</v>
      </c>
      <c r="F37" s="92">
        <v>15</v>
      </c>
      <c r="G37" s="92" t="s">
        <v>99</v>
      </c>
      <c r="H37" s="43">
        <v>53775303</v>
      </c>
    </row>
    <row r="38" spans="1:8" x14ac:dyDescent="0.45">
      <c r="A38" s="43"/>
      <c r="B38" s="43" t="s">
        <v>115</v>
      </c>
      <c r="C38" s="43" t="s">
        <v>116</v>
      </c>
      <c r="D38" s="43" t="s">
        <v>88</v>
      </c>
      <c r="E38" s="89">
        <v>45999</v>
      </c>
      <c r="F38" s="92">
        <v>30</v>
      </c>
      <c r="G38" s="92" t="s">
        <v>99</v>
      </c>
      <c r="H38" s="43">
        <v>57898384</v>
      </c>
    </row>
    <row r="39" spans="1:8" x14ac:dyDescent="0.45">
      <c r="A39" s="43">
        <v>1707963227</v>
      </c>
      <c r="B39" s="43" t="s">
        <v>77</v>
      </c>
      <c r="C39" s="43" t="s">
        <v>104</v>
      </c>
      <c r="D39" s="43" t="s">
        <v>88</v>
      </c>
      <c r="E39" s="89">
        <v>45999</v>
      </c>
      <c r="F39" s="92">
        <v>12</v>
      </c>
      <c r="G39" s="92" t="s">
        <v>99</v>
      </c>
      <c r="H39" s="43">
        <v>67017505</v>
      </c>
    </row>
    <row r="40" spans="1:8" x14ac:dyDescent="0.45">
      <c r="A40" s="43"/>
      <c r="B40" s="43"/>
      <c r="C40" s="43" t="s">
        <v>95</v>
      </c>
      <c r="D40" s="43" t="s">
        <v>92</v>
      </c>
      <c r="E40" s="89">
        <v>45999</v>
      </c>
      <c r="F40" s="92">
        <v>10</v>
      </c>
      <c r="G40" s="92"/>
      <c r="H40" s="43"/>
    </row>
    <row r="41" spans="1:8" x14ac:dyDescent="0.45">
      <c r="A41" s="43"/>
      <c r="B41" s="43"/>
      <c r="C41" s="43" t="s">
        <v>117</v>
      </c>
      <c r="D41" s="43" t="s">
        <v>92</v>
      </c>
      <c r="E41" s="89">
        <v>45999</v>
      </c>
      <c r="F41" s="92">
        <v>6</v>
      </c>
      <c r="G41" s="92"/>
      <c r="H41" s="43"/>
    </row>
    <row r="42" spans="1:8" x14ac:dyDescent="0.45">
      <c r="A42" s="43"/>
      <c r="B42" s="43"/>
      <c r="C42" s="43" t="s">
        <v>118</v>
      </c>
      <c r="D42" s="43" t="s">
        <v>92</v>
      </c>
      <c r="E42" s="89">
        <v>45999</v>
      </c>
      <c r="F42" s="92">
        <v>3</v>
      </c>
      <c r="G42" s="92"/>
      <c r="H42" s="43"/>
    </row>
    <row r="43" spans="1:8" x14ac:dyDescent="0.45">
      <c r="A43" s="40"/>
      <c r="B43" s="40" t="s">
        <v>119</v>
      </c>
      <c r="C43" s="40" t="s">
        <v>95</v>
      </c>
      <c r="D43" s="40" t="s">
        <v>88</v>
      </c>
      <c r="E43" s="77">
        <v>46000</v>
      </c>
      <c r="F43" s="91">
        <v>10</v>
      </c>
      <c r="G43" s="91" t="s">
        <v>96</v>
      </c>
      <c r="H43" s="40">
        <v>3217053104</v>
      </c>
    </row>
    <row r="44" spans="1:8" x14ac:dyDescent="0.45">
      <c r="A44" s="40"/>
      <c r="B44" s="40" t="s">
        <v>119</v>
      </c>
      <c r="C44" s="40" t="s">
        <v>95</v>
      </c>
      <c r="D44" s="40" t="s">
        <v>92</v>
      </c>
      <c r="E44" s="77">
        <v>46000</v>
      </c>
      <c r="F44" s="91">
        <v>10</v>
      </c>
      <c r="G44" s="91" t="s">
        <v>96</v>
      </c>
      <c r="H44" s="40">
        <v>3217053104</v>
      </c>
    </row>
    <row r="45" spans="1:8" x14ac:dyDescent="0.45">
      <c r="A45" s="43"/>
      <c r="B45" s="43" t="s">
        <v>120</v>
      </c>
      <c r="C45" s="43" t="s">
        <v>102</v>
      </c>
      <c r="D45" s="43" t="s">
        <v>92</v>
      </c>
      <c r="E45" s="89">
        <v>46001</v>
      </c>
      <c r="F45" s="92">
        <v>16</v>
      </c>
      <c r="G45" s="92" t="s">
        <v>99</v>
      </c>
      <c r="H45" s="43">
        <v>76409913</v>
      </c>
    </row>
    <row r="46" spans="1:8" x14ac:dyDescent="0.45">
      <c r="A46" s="43"/>
      <c r="B46" s="43" t="s">
        <v>121</v>
      </c>
      <c r="C46" s="43" t="s">
        <v>122</v>
      </c>
      <c r="D46" s="43" t="s">
        <v>92</v>
      </c>
      <c r="E46" s="89">
        <v>46001</v>
      </c>
      <c r="F46" s="92">
        <v>30</v>
      </c>
      <c r="G46" s="92" t="s">
        <v>99</v>
      </c>
      <c r="H46" s="43">
        <v>42541456</v>
      </c>
    </row>
    <row r="47" spans="1:8" x14ac:dyDescent="0.45">
      <c r="A47" s="43"/>
      <c r="B47" s="43"/>
      <c r="C47" s="43" t="s">
        <v>123</v>
      </c>
      <c r="D47" s="43" t="s">
        <v>92</v>
      </c>
      <c r="E47" s="89">
        <v>46001</v>
      </c>
      <c r="F47" s="92">
        <v>15</v>
      </c>
      <c r="G47" s="92" t="s">
        <v>99</v>
      </c>
      <c r="H47" s="43">
        <v>42541456</v>
      </c>
    </row>
    <row r="48" spans="1:8" x14ac:dyDescent="0.45">
      <c r="A48" s="43"/>
      <c r="B48" s="43"/>
      <c r="C48" s="43" t="s">
        <v>87</v>
      </c>
      <c r="D48" s="43" t="s">
        <v>92</v>
      </c>
      <c r="E48" s="89">
        <v>46001</v>
      </c>
      <c r="F48" s="92">
        <v>15</v>
      </c>
      <c r="G48" s="92" t="s">
        <v>99</v>
      </c>
      <c r="H48" s="43">
        <v>42541456</v>
      </c>
    </row>
    <row r="49" spans="1:8" x14ac:dyDescent="0.45">
      <c r="A49" s="43"/>
      <c r="B49" s="43"/>
      <c r="C49" s="43" t="s">
        <v>90</v>
      </c>
      <c r="D49" s="43" t="s">
        <v>92</v>
      </c>
      <c r="E49" s="89">
        <v>46001</v>
      </c>
      <c r="F49" s="92">
        <v>5</v>
      </c>
      <c r="G49" s="92" t="s">
        <v>99</v>
      </c>
      <c r="H49" s="43">
        <v>42541456</v>
      </c>
    </row>
    <row r="50" spans="1:8" x14ac:dyDescent="0.45">
      <c r="A50" s="40"/>
      <c r="B50" s="40" t="s">
        <v>124</v>
      </c>
      <c r="C50" s="40" t="s">
        <v>125</v>
      </c>
      <c r="D50" s="40" t="s">
        <v>88</v>
      </c>
      <c r="E50" s="77">
        <v>46002</v>
      </c>
      <c r="F50" s="91">
        <v>19</v>
      </c>
      <c r="G50" s="91" t="s">
        <v>99</v>
      </c>
      <c r="H50" s="40">
        <v>51412187</v>
      </c>
    </row>
    <row r="51" spans="1:8" x14ac:dyDescent="0.45">
      <c r="A51" s="40"/>
      <c r="B51" s="40" t="s">
        <v>126</v>
      </c>
      <c r="C51" s="40" t="s">
        <v>95</v>
      </c>
      <c r="D51" s="40" t="s">
        <v>88</v>
      </c>
      <c r="E51" s="77">
        <v>46002</v>
      </c>
      <c r="F51" s="91">
        <v>10</v>
      </c>
      <c r="G51" s="91" t="s">
        <v>99</v>
      </c>
      <c r="H51" s="40">
        <v>32759130</v>
      </c>
    </row>
    <row r="52" spans="1:8" x14ac:dyDescent="0.45">
      <c r="A52" s="40"/>
      <c r="B52" s="40" t="s">
        <v>127</v>
      </c>
      <c r="C52" s="40" t="s">
        <v>128</v>
      </c>
      <c r="D52" s="40" t="s">
        <v>88</v>
      </c>
      <c r="E52" s="77">
        <v>46002</v>
      </c>
      <c r="F52" s="91">
        <v>15</v>
      </c>
      <c r="G52" s="91"/>
      <c r="H52" s="40"/>
    </row>
    <row r="53" spans="1:8" x14ac:dyDescent="0.45">
      <c r="A53" s="40"/>
      <c r="B53" s="40"/>
      <c r="C53" s="40" t="s">
        <v>95</v>
      </c>
      <c r="D53" s="40" t="s">
        <v>88</v>
      </c>
      <c r="E53" s="77">
        <v>46002</v>
      </c>
      <c r="F53" s="91">
        <v>10</v>
      </c>
      <c r="G53" s="91"/>
      <c r="H53" s="40"/>
    </row>
    <row r="54" spans="1:8" x14ac:dyDescent="0.45">
      <c r="A54" s="40"/>
      <c r="B54" s="40"/>
      <c r="C54" s="40" t="s">
        <v>104</v>
      </c>
      <c r="D54" s="40" t="s">
        <v>88</v>
      </c>
      <c r="E54" s="77">
        <v>46002</v>
      </c>
      <c r="F54" s="91">
        <v>12</v>
      </c>
      <c r="G54" s="91"/>
      <c r="H54" s="40"/>
    </row>
    <row r="55" spans="1:8" x14ac:dyDescent="0.45">
      <c r="A55" s="43"/>
      <c r="B55" s="43"/>
      <c r="C55" s="43" t="s">
        <v>129</v>
      </c>
      <c r="D55" s="43" t="s">
        <v>92</v>
      </c>
      <c r="E55" s="89">
        <v>46003</v>
      </c>
      <c r="F55" s="92">
        <v>32</v>
      </c>
      <c r="G55" s="92" t="s">
        <v>99</v>
      </c>
      <c r="H55" s="43">
        <v>66897599</v>
      </c>
    </row>
    <row r="56" spans="1:8" x14ac:dyDescent="0.45">
      <c r="A56" s="43"/>
      <c r="B56" s="43" t="s">
        <v>130</v>
      </c>
      <c r="C56" s="43" t="s">
        <v>95</v>
      </c>
      <c r="D56" s="43" t="s">
        <v>92</v>
      </c>
      <c r="E56" s="89">
        <v>46003</v>
      </c>
      <c r="F56" s="92">
        <v>10</v>
      </c>
      <c r="G56" s="92" t="s">
        <v>99</v>
      </c>
      <c r="H56" s="43">
        <v>81572361</v>
      </c>
    </row>
    <row r="57" spans="1:8" x14ac:dyDescent="0.45">
      <c r="A57" s="43"/>
      <c r="B57" s="43"/>
      <c r="C57" s="43" t="s">
        <v>87</v>
      </c>
      <c r="D57" s="43" t="s">
        <v>92</v>
      </c>
      <c r="E57" s="89">
        <v>46003</v>
      </c>
      <c r="F57" s="92">
        <v>15</v>
      </c>
      <c r="G57" s="92"/>
      <c r="H57" s="43"/>
    </row>
    <row r="58" spans="1:8" x14ac:dyDescent="0.45">
      <c r="A58" s="43"/>
      <c r="B58" s="43"/>
      <c r="C58" s="43" t="s">
        <v>104</v>
      </c>
      <c r="D58" s="93" t="s">
        <v>92</v>
      </c>
      <c r="E58" s="89">
        <v>46003</v>
      </c>
      <c r="F58" s="92">
        <v>12</v>
      </c>
      <c r="G58" s="90"/>
      <c r="H58" s="43"/>
    </row>
    <row r="59" spans="1:8" x14ac:dyDescent="0.45">
      <c r="A59" s="44"/>
      <c r="B59" s="44" t="s">
        <v>131</v>
      </c>
      <c r="C59" s="44" t="s">
        <v>70</v>
      </c>
      <c r="D59" s="44" t="s">
        <v>69</v>
      </c>
      <c r="E59" s="81">
        <v>46004</v>
      </c>
      <c r="F59" s="82">
        <v>15</v>
      </c>
      <c r="G59" s="78" t="s">
        <v>58</v>
      </c>
      <c r="H59" s="44">
        <v>31327027</v>
      </c>
    </row>
    <row r="60" spans="1:8" x14ac:dyDescent="0.45">
      <c r="A60" s="44"/>
      <c r="B60" s="44" t="s">
        <v>71</v>
      </c>
      <c r="C60" s="44" t="s">
        <v>75</v>
      </c>
      <c r="D60" s="44" t="s">
        <v>132</v>
      </c>
      <c r="E60" s="81">
        <v>46004</v>
      </c>
      <c r="F60" s="82">
        <v>7</v>
      </c>
      <c r="G60" s="82" t="s">
        <v>133</v>
      </c>
      <c r="H60" s="44">
        <v>1001</v>
      </c>
    </row>
    <row r="61" spans="1:8" x14ac:dyDescent="0.45">
      <c r="A61" s="44"/>
      <c r="B61" s="44" t="s">
        <v>74</v>
      </c>
      <c r="C61" s="44" t="s">
        <v>134</v>
      </c>
      <c r="D61" s="44" t="s">
        <v>132</v>
      </c>
      <c r="E61" s="81">
        <v>46004</v>
      </c>
      <c r="F61" s="82">
        <v>18</v>
      </c>
      <c r="G61" s="82" t="s">
        <v>133</v>
      </c>
      <c r="H61" s="44">
        <v>1001</v>
      </c>
    </row>
    <row r="62" spans="1:8" x14ac:dyDescent="0.45">
      <c r="A62" s="44"/>
      <c r="B62" s="44" t="s">
        <v>135</v>
      </c>
      <c r="C62" s="44" t="s">
        <v>34</v>
      </c>
      <c r="D62" s="44" t="s">
        <v>132</v>
      </c>
      <c r="E62" s="81">
        <v>46004</v>
      </c>
      <c r="F62" s="82">
        <v>12</v>
      </c>
      <c r="G62" s="78" t="s">
        <v>58</v>
      </c>
      <c r="H62" s="44">
        <v>38660315</v>
      </c>
    </row>
    <row r="63" spans="1:8" x14ac:dyDescent="0.45">
      <c r="A63" s="44"/>
      <c r="B63" s="44" t="s">
        <v>135</v>
      </c>
      <c r="C63" s="44" t="s">
        <v>136</v>
      </c>
      <c r="D63" s="44" t="s">
        <v>137</v>
      </c>
      <c r="E63" s="81">
        <v>46004</v>
      </c>
      <c r="F63" s="82">
        <v>15</v>
      </c>
      <c r="G63" s="78" t="s">
        <v>58</v>
      </c>
      <c r="H63" s="44">
        <v>38660315</v>
      </c>
    </row>
    <row r="64" spans="1:8" x14ac:dyDescent="0.45">
      <c r="A64" s="44"/>
      <c r="B64" s="44" t="s">
        <v>138</v>
      </c>
      <c r="C64" s="44" t="s">
        <v>139</v>
      </c>
      <c r="D64" s="44" t="s">
        <v>69</v>
      </c>
      <c r="E64" s="81">
        <v>46004</v>
      </c>
      <c r="F64" s="82">
        <v>16</v>
      </c>
      <c r="G64" s="82" t="s">
        <v>58</v>
      </c>
      <c r="H64" s="44">
        <v>48207822</v>
      </c>
    </row>
    <row r="65" spans="1:8" x14ac:dyDescent="0.45">
      <c r="A65" s="44"/>
      <c r="B65" s="44" t="s">
        <v>138</v>
      </c>
      <c r="C65" s="44" t="s">
        <v>70</v>
      </c>
      <c r="D65" s="44" t="s">
        <v>69</v>
      </c>
      <c r="E65" s="81">
        <v>46004</v>
      </c>
      <c r="F65" s="82">
        <v>15</v>
      </c>
      <c r="G65" s="82" t="s">
        <v>58</v>
      </c>
      <c r="H65" s="44">
        <v>48207822</v>
      </c>
    </row>
    <row r="66" spans="1:8" x14ac:dyDescent="0.45">
      <c r="A66" s="44"/>
      <c r="B66" s="44" t="s">
        <v>138</v>
      </c>
      <c r="C66" s="44" t="s">
        <v>75</v>
      </c>
      <c r="D66" s="44" t="s">
        <v>132</v>
      </c>
      <c r="E66" s="81">
        <v>46004</v>
      </c>
      <c r="F66" s="82">
        <v>10</v>
      </c>
      <c r="G66" s="82" t="s">
        <v>58</v>
      </c>
      <c r="H66" s="44">
        <v>48207822</v>
      </c>
    </row>
    <row r="67" spans="1:8" x14ac:dyDescent="0.45">
      <c r="A67" s="44"/>
      <c r="B67" s="44" t="s">
        <v>138</v>
      </c>
      <c r="C67" s="44" t="s">
        <v>140</v>
      </c>
      <c r="D67" s="44" t="s">
        <v>132</v>
      </c>
      <c r="E67" s="81">
        <v>46004</v>
      </c>
      <c r="F67" s="82">
        <v>12</v>
      </c>
      <c r="G67" s="82" t="s">
        <v>58</v>
      </c>
      <c r="H67" s="44">
        <v>48207822</v>
      </c>
    </row>
    <row r="68" spans="1:8" x14ac:dyDescent="0.45">
      <c r="A68" s="44"/>
      <c r="B68" s="44" t="s">
        <v>77</v>
      </c>
      <c r="C68" s="44" t="s">
        <v>70</v>
      </c>
      <c r="D68" s="44" t="s">
        <v>69</v>
      </c>
      <c r="E68" s="81">
        <v>46004</v>
      </c>
      <c r="F68" s="82">
        <v>15</v>
      </c>
      <c r="G68" s="82" t="s">
        <v>58</v>
      </c>
      <c r="H68" s="82"/>
    </row>
    <row r="69" spans="1:8" x14ac:dyDescent="0.45">
      <c r="A69" s="44"/>
      <c r="B69" s="44" t="s">
        <v>71</v>
      </c>
      <c r="C69" s="44" t="s">
        <v>141</v>
      </c>
      <c r="D69" s="44" t="s">
        <v>142</v>
      </c>
      <c r="E69" s="81">
        <v>46004</v>
      </c>
      <c r="F69" s="82">
        <v>35</v>
      </c>
      <c r="G69" s="82" t="s">
        <v>133</v>
      </c>
      <c r="H69" s="44">
        <v>1002</v>
      </c>
    </row>
    <row r="70" spans="1:8" x14ac:dyDescent="0.45">
      <c r="A70" s="43"/>
      <c r="B70" s="43" t="s">
        <v>143</v>
      </c>
      <c r="C70" s="43" t="s">
        <v>70</v>
      </c>
      <c r="D70" s="43" t="s">
        <v>69</v>
      </c>
      <c r="E70" s="94">
        <v>46005</v>
      </c>
      <c r="F70" s="92">
        <v>15</v>
      </c>
      <c r="G70" s="92" t="s">
        <v>58</v>
      </c>
      <c r="H70" s="47">
        <v>88501662</v>
      </c>
    </row>
    <row r="71" spans="1:8" x14ac:dyDescent="0.45">
      <c r="A71" s="43"/>
      <c r="B71" s="43" t="s">
        <v>144</v>
      </c>
      <c r="C71" s="43" t="s">
        <v>145</v>
      </c>
      <c r="D71" s="43" t="s">
        <v>69</v>
      </c>
      <c r="E71" s="94">
        <v>46005</v>
      </c>
      <c r="F71" s="92">
        <v>13</v>
      </c>
      <c r="G71" s="92" t="s">
        <v>58</v>
      </c>
      <c r="H71" s="47">
        <v>106505653</v>
      </c>
    </row>
    <row r="72" spans="1:8" x14ac:dyDescent="0.45">
      <c r="A72" s="43"/>
      <c r="B72" s="43" t="s">
        <v>146</v>
      </c>
      <c r="C72" s="43" t="s">
        <v>75</v>
      </c>
      <c r="D72" s="43" t="s">
        <v>69</v>
      </c>
      <c r="E72" s="94">
        <v>46005</v>
      </c>
      <c r="F72" s="92">
        <v>10</v>
      </c>
      <c r="G72" s="92" t="s">
        <v>58</v>
      </c>
      <c r="H72" s="47">
        <v>107262013</v>
      </c>
    </row>
    <row r="73" spans="1:8" x14ac:dyDescent="0.45">
      <c r="A73" s="43"/>
      <c r="B73" s="43" t="s">
        <v>146</v>
      </c>
      <c r="C73" s="43" t="s">
        <v>140</v>
      </c>
      <c r="D73" s="43" t="s">
        <v>69</v>
      </c>
      <c r="E73" s="94">
        <v>46005</v>
      </c>
      <c r="F73" s="92">
        <v>12</v>
      </c>
      <c r="G73" s="92" t="s">
        <v>58</v>
      </c>
      <c r="H73" s="47">
        <v>107262013</v>
      </c>
    </row>
    <row r="74" spans="1:8" x14ac:dyDescent="0.45">
      <c r="A74" s="43"/>
      <c r="B74" s="43" t="s">
        <v>146</v>
      </c>
      <c r="C74" s="43" t="s">
        <v>70</v>
      </c>
      <c r="D74" s="43" t="s">
        <v>132</v>
      </c>
      <c r="E74" s="94">
        <v>46005</v>
      </c>
      <c r="F74" s="92">
        <v>15</v>
      </c>
      <c r="G74" s="92" t="s">
        <v>58</v>
      </c>
      <c r="H74" s="47">
        <v>107262013</v>
      </c>
    </row>
    <row r="75" spans="1:8" x14ac:dyDescent="0.45">
      <c r="A75" s="43"/>
      <c r="B75" s="43" t="s">
        <v>146</v>
      </c>
      <c r="C75" s="43" t="s">
        <v>140</v>
      </c>
      <c r="D75" s="43" t="s">
        <v>132</v>
      </c>
      <c r="E75" s="94">
        <v>46005</v>
      </c>
      <c r="F75" s="92">
        <v>12</v>
      </c>
      <c r="G75" s="92" t="s">
        <v>58</v>
      </c>
      <c r="H75" s="47">
        <v>107262013</v>
      </c>
    </row>
    <row r="76" spans="1:8" x14ac:dyDescent="0.45">
      <c r="A76" s="43"/>
      <c r="B76" s="43" t="s">
        <v>147</v>
      </c>
      <c r="C76" s="43" t="s">
        <v>75</v>
      </c>
      <c r="D76" s="43" t="s">
        <v>69</v>
      </c>
      <c r="E76" s="94">
        <v>46005</v>
      </c>
      <c r="F76" s="92">
        <v>10</v>
      </c>
      <c r="G76" s="92" t="s">
        <v>58</v>
      </c>
      <c r="H76" s="47">
        <v>94658698</v>
      </c>
    </row>
    <row r="77" spans="1:8" x14ac:dyDescent="0.45">
      <c r="A77" s="43"/>
      <c r="B77" s="43" t="s">
        <v>148</v>
      </c>
      <c r="C77" s="43" t="s">
        <v>75</v>
      </c>
      <c r="D77" s="43" t="s">
        <v>132</v>
      </c>
      <c r="E77" s="94">
        <v>46005</v>
      </c>
      <c r="F77" s="92">
        <v>10</v>
      </c>
      <c r="G77" s="92" t="s">
        <v>58</v>
      </c>
      <c r="H77" s="47">
        <v>94658698</v>
      </c>
    </row>
    <row r="78" spans="1:8" x14ac:dyDescent="0.45">
      <c r="A78" s="43"/>
      <c r="B78" s="43" t="s">
        <v>82</v>
      </c>
      <c r="C78" s="43" t="s">
        <v>149</v>
      </c>
      <c r="D78" s="43" t="s">
        <v>132</v>
      </c>
      <c r="E78" s="94">
        <v>46005</v>
      </c>
      <c r="F78" s="92">
        <v>8</v>
      </c>
      <c r="G78" s="92" t="s">
        <v>79</v>
      </c>
      <c r="H78" s="95" t="s">
        <v>150</v>
      </c>
    </row>
    <row r="79" spans="1:8" x14ac:dyDescent="0.45">
      <c r="A79" s="40"/>
      <c r="B79" s="40"/>
      <c r="C79" s="40" t="s">
        <v>87</v>
      </c>
      <c r="D79" s="40" t="s">
        <v>88</v>
      </c>
      <c r="E79" s="77">
        <v>46006</v>
      </c>
      <c r="F79" s="91">
        <v>15</v>
      </c>
      <c r="G79" s="91"/>
      <c r="H79" s="40"/>
    </row>
    <row r="80" spans="1:8" x14ac:dyDescent="0.45">
      <c r="A80" s="40"/>
      <c r="B80" s="40" t="s">
        <v>151</v>
      </c>
      <c r="C80" s="40" t="s">
        <v>87</v>
      </c>
      <c r="D80" s="40" t="s">
        <v>92</v>
      </c>
      <c r="E80" s="77">
        <v>46006</v>
      </c>
      <c r="F80" s="91">
        <v>15</v>
      </c>
      <c r="G80" s="91" t="s">
        <v>99</v>
      </c>
      <c r="H80" s="40">
        <v>208893080</v>
      </c>
    </row>
    <row r="81" spans="1:8" x14ac:dyDescent="0.45">
      <c r="A81" s="40"/>
      <c r="B81" s="40" t="s">
        <v>152</v>
      </c>
      <c r="C81" s="40" t="s">
        <v>87</v>
      </c>
      <c r="D81" s="40" t="s">
        <v>92</v>
      </c>
      <c r="E81" s="77">
        <v>46006</v>
      </c>
      <c r="F81" s="91">
        <v>15</v>
      </c>
      <c r="G81" s="91" t="s">
        <v>99</v>
      </c>
      <c r="H81" s="40">
        <v>208893080</v>
      </c>
    </row>
    <row r="82" spans="1:8" x14ac:dyDescent="0.45">
      <c r="A82" s="42"/>
      <c r="B82" s="42"/>
      <c r="C82" s="43" t="s">
        <v>95</v>
      </c>
      <c r="D82" s="43" t="s">
        <v>88</v>
      </c>
      <c r="E82" s="89">
        <v>46007</v>
      </c>
      <c r="F82" s="92">
        <v>10</v>
      </c>
      <c r="G82" s="92"/>
      <c r="H82" s="43"/>
    </row>
    <row r="83" spans="1:8" x14ac:dyDescent="0.45">
      <c r="A83" s="43"/>
      <c r="B83" s="43"/>
      <c r="C83" s="43" t="s">
        <v>87</v>
      </c>
      <c r="D83" s="43" t="s">
        <v>88</v>
      </c>
      <c r="E83" s="89">
        <v>46007</v>
      </c>
      <c r="F83" s="92">
        <v>15</v>
      </c>
      <c r="G83" s="92"/>
      <c r="H83" s="43"/>
    </row>
    <row r="84" spans="1:8" x14ac:dyDescent="0.45">
      <c r="A84" s="43"/>
      <c r="B84" s="43"/>
      <c r="C84" s="43" t="s">
        <v>153</v>
      </c>
      <c r="D84" s="43" t="s">
        <v>88</v>
      </c>
      <c r="E84" s="89">
        <v>46007</v>
      </c>
      <c r="F84" s="92">
        <v>12</v>
      </c>
      <c r="G84" s="92" t="s">
        <v>79</v>
      </c>
      <c r="H84" s="43"/>
    </row>
    <row r="85" spans="1:8" x14ac:dyDescent="0.45">
      <c r="A85" s="43"/>
      <c r="B85" s="43"/>
      <c r="C85" s="43" t="s">
        <v>87</v>
      </c>
      <c r="D85" s="43" t="s">
        <v>88</v>
      </c>
      <c r="E85" s="89">
        <v>46007</v>
      </c>
      <c r="F85" s="92">
        <v>15</v>
      </c>
      <c r="G85" s="92" t="s">
        <v>154</v>
      </c>
      <c r="H85" s="43"/>
    </row>
    <row r="86" spans="1:8" x14ac:dyDescent="0.45">
      <c r="A86" s="43"/>
      <c r="B86" s="43"/>
      <c r="C86" s="43" t="s">
        <v>155</v>
      </c>
      <c r="D86" s="43" t="s">
        <v>92</v>
      </c>
      <c r="E86" s="89">
        <v>46007</v>
      </c>
      <c r="F86" s="92">
        <v>22</v>
      </c>
      <c r="G86" s="92" t="s">
        <v>154</v>
      </c>
      <c r="H86" s="43"/>
    </row>
    <row r="87" spans="1:8" x14ac:dyDescent="0.45">
      <c r="A87" s="43"/>
      <c r="B87" s="43"/>
      <c r="C87" s="43" t="s">
        <v>156</v>
      </c>
      <c r="D87" s="43" t="s">
        <v>92</v>
      </c>
      <c r="E87" s="89">
        <v>46007</v>
      </c>
      <c r="F87" s="92">
        <v>30</v>
      </c>
      <c r="G87" s="92"/>
      <c r="H87" s="43"/>
    </row>
    <row r="88" spans="1:8" x14ac:dyDescent="0.45">
      <c r="A88" s="38"/>
      <c r="B88" s="45"/>
      <c r="C88" s="38"/>
      <c r="D88" s="76"/>
      <c r="E88" s="77">
        <v>46008</v>
      </c>
      <c r="F88" s="78"/>
      <c r="G88" s="79"/>
      <c r="H88" s="40"/>
    </row>
    <row r="89" spans="1:8" x14ac:dyDescent="0.45">
      <c r="A89" s="40"/>
      <c r="B89" s="46"/>
      <c r="C89" s="40"/>
      <c r="D89" s="80"/>
      <c r="E89" s="77">
        <v>46008</v>
      </c>
      <c r="F89" s="82"/>
      <c r="G89" s="79"/>
      <c r="H89" s="40"/>
    </row>
    <row r="90" spans="1:8" x14ac:dyDescent="0.45">
      <c r="A90" s="40"/>
      <c r="B90" s="46"/>
      <c r="C90" s="40"/>
      <c r="D90" s="80"/>
      <c r="E90" s="77">
        <v>46008</v>
      </c>
      <c r="F90" s="82"/>
      <c r="G90" s="79"/>
      <c r="H90" s="40"/>
    </row>
    <row r="91" spans="1:8" x14ac:dyDescent="0.45">
      <c r="A91" s="40"/>
      <c r="B91" s="46"/>
      <c r="C91" s="40"/>
      <c r="D91" s="80"/>
      <c r="E91" s="77">
        <v>46008</v>
      </c>
      <c r="F91" s="82"/>
      <c r="G91" s="79"/>
      <c r="H91" s="40"/>
    </row>
    <row r="92" spans="1:8" x14ac:dyDescent="0.45">
      <c r="A92" s="42"/>
      <c r="B92" s="45"/>
      <c r="C92" s="42"/>
      <c r="D92" s="88"/>
      <c r="E92" s="89">
        <v>46009</v>
      </c>
      <c r="F92" s="90">
        <v>0</v>
      </c>
      <c r="G92" s="90"/>
      <c r="H92" s="43"/>
    </row>
    <row r="93" spans="1:8" x14ac:dyDescent="0.45">
      <c r="A93" s="40"/>
      <c r="B93" s="40" t="s">
        <v>157</v>
      </c>
      <c r="C93" s="40" t="s">
        <v>95</v>
      </c>
      <c r="D93" s="40" t="s">
        <v>88</v>
      </c>
      <c r="E93" s="77">
        <v>46010</v>
      </c>
      <c r="F93" s="91">
        <v>10</v>
      </c>
      <c r="G93" s="91" t="s">
        <v>99</v>
      </c>
      <c r="H93" s="40">
        <v>66846804</v>
      </c>
    </row>
    <row r="94" spans="1:8" x14ac:dyDescent="0.45">
      <c r="A94" s="40"/>
      <c r="B94" s="40" t="s">
        <v>158</v>
      </c>
      <c r="C94" s="40" t="s">
        <v>87</v>
      </c>
      <c r="D94" s="40" t="s">
        <v>88</v>
      </c>
      <c r="E94" s="77">
        <v>46010</v>
      </c>
      <c r="F94" s="91">
        <v>15</v>
      </c>
      <c r="G94" s="91" t="s">
        <v>96</v>
      </c>
      <c r="H94" s="40">
        <v>34469020900</v>
      </c>
    </row>
    <row r="95" spans="1:8" x14ac:dyDescent="0.45">
      <c r="A95" s="40"/>
      <c r="B95" s="40" t="s">
        <v>159</v>
      </c>
      <c r="C95" s="40" t="s">
        <v>160</v>
      </c>
      <c r="D95" s="40" t="s">
        <v>92</v>
      </c>
      <c r="E95" s="77">
        <v>46010</v>
      </c>
      <c r="F95" s="91">
        <v>15</v>
      </c>
      <c r="G95" s="91" t="s">
        <v>96</v>
      </c>
      <c r="H95" s="40">
        <v>3469020900</v>
      </c>
    </row>
    <row r="96" spans="1:8" x14ac:dyDescent="0.45">
      <c r="A96" s="40"/>
      <c r="B96" s="40"/>
      <c r="C96" s="40" t="s">
        <v>161</v>
      </c>
      <c r="D96" s="40" t="s">
        <v>92</v>
      </c>
      <c r="E96" s="77">
        <v>46010</v>
      </c>
      <c r="F96" s="91">
        <v>25</v>
      </c>
      <c r="G96" s="91"/>
      <c r="H96" s="40"/>
    </row>
    <row r="97" spans="1:8" x14ac:dyDescent="0.45">
      <c r="A97" s="40"/>
      <c r="B97" s="40"/>
      <c r="C97" s="40" t="s">
        <v>153</v>
      </c>
      <c r="D97" s="40" t="s">
        <v>92</v>
      </c>
      <c r="E97" s="77">
        <v>46010</v>
      </c>
      <c r="F97" s="91">
        <v>12</v>
      </c>
      <c r="G97" s="91"/>
      <c r="H97" s="40"/>
    </row>
    <row r="98" spans="1:8" x14ac:dyDescent="0.45">
      <c r="A98" s="43"/>
      <c r="B98" s="43" t="s">
        <v>162</v>
      </c>
      <c r="C98" s="43" t="s">
        <v>75</v>
      </c>
      <c r="D98" s="43" t="s">
        <v>132</v>
      </c>
      <c r="E98" s="94">
        <v>46011</v>
      </c>
      <c r="F98" s="92">
        <v>10</v>
      </c>
      <c r="G98" s="92" t="s">
        <v>58</v>
      </c>
      <c r="H98" s="47">
        <v>23499260</v>
      </c>
    </row>
    <row r="99" spans="1:8" x14ac:dyDescent="0.45">
      <c r="A99" s="47">
        <v>1716041510001</v>
      </c>
      <c r="B99" s="43" t="s">
        <v>163</v>
      </c>
      <c r="C99" s="43" t="s">
        <v>140</v>
      </c>
      <c r="D99" s="43" t="s">
        <v>69</v>
      </c>
      <c r="E99" s="94">
        <v>46011</v>
      </c>
      <c r="F99" s="92">
        <v>12</v>
      </c>
      <c r="G99" s="92" t="s">
        <v>58</v>
      </c>
      <c r="H99" s="47">
        <v>32894370</v>
      </c>
    </row>
    <row r="100" spans="1:8" x14ac:dyDescent="0.45">
      <c r="A100" s="47">
        <v>1716041510001</v>
      </c>
      <c r="B100" s="43" t="s">
        <v>163</v>
      </c>
      <c r="C100" s="43" t="s">
        <v>164</v>
      </c>
      <c r="D100" s="43" t="s">
        <v>69</v>
      </c>
      <c r="E100" s="94">
        <v>46011</v>
      </c>
      <c r="F100" s="92">
        <f>15+5+4.5+2</f>
        <v>26.5</v>
      </c>
      <c r="G100" s="92" t="s">
        <v>58</v>
      </c>
      <c r="H100" s="47">
        <v>32894370</v>
      </c>
    </row>
    <row r="101" spans="1:8" x14ac:dyDescent="0.45">
      <c r="A101" s="43"/>
      <c r="B101" s="43" t="s">
        <v>165</v>
      </c>
      <c r="C101" s="43" t="s">
        <v>166</v>
      </c>
      <c r="D101" s="43" t="s">
        <v>92</v>
      </c>
      <c r="E101" s="94">
        <v>46011</v>
      </c>
      <c r="F101" s="92">
        <v>20</v>
      </c>
      <c r="G101" s="92" t="s">
        <v>99</v>
      </c>
      <c r="H101" s="43">
        <v>57808515</v>
      </c>
    </row>
    <row r="102" spans="1:8" x14ac:dyDescent="0.45">
      <c r="A102" s="43"/>
      <c r="B102" s="43" t="s">
        <v>167</v>
      </c>
      <c r="C102" s="43" t="s">
        <v>87</v>
      </c>
      <c r="D102" s="43" t="s">
        <v>88</v>
      </c>
      <c r="E102" s="94">
        <v>46011</v>
      </c>
      <c r="F102" s="92">
        <v>15</v>
      </c>
      <c r="G102" s="92" t="s">
        <v>99</v>
      </c>
      <c r="H102" s="43">
        <v>50060823</v>
      </c>
    </row>
    <row r="103" spans="1:8" x14ac:dyDescent="0.45">
      <c r="A103" s="43"/>
      <c r="B103" s="43" t="s">
        <v>168</v>
      </c>
      <c r="C103" s="43" t="s">
        <v>169</v>
      </c>
      <c r="D103" s="43" t="s">
        <v>92</v>
      </c>
      <c r="E103" s="94">
        <v>46011</v>
      </c>
      <c r="F103" s="92">
        <v>40</v>
      </c>
      <c r="G103" s="92" t="s">
        <v>99</v>
      </c>
      <c r="H103" s="43">
        <v>43058141</v>
      </c>
    </row>
    <row r="104" spans="1:8" x14ac:dyDescent="0.45">
      <c r="A104" s="43"/>
      <c r="B104" s="43" t="s">
        <v>67</v>
      </c>
      <c r="C104" s="43" t="s">
        <v>95</v>
      </c>
      <c r="D104" s="43" t="s">
        <v>88</v>
      </c>
      <c r="E104" s="94">
        <v>46011</v>
      </c>
      <c r="F104" s="92">
        <v>10</v>
      </c>
      <c r="G104" s="92" t="s">
        <v>99</v>
      </c>
      <c r="H104" s="43">
        <v>23499260</v>
      </c>
    </row>
    <row r="105" spans="1:8" x14ac:dyDescent="0.45">
      <c r="A105" s="43"/>
      <c r="B105" s="43"/>
      <c r="C105" s="43" t="s">
        <v>170</v>
      </c>
      <c r="D105" s="43" t="s">
        <v>88</v>
      </c>
      <c r="E105" s="94">
        <v>46011</v>
      </c>
      <c r="F105" s="92">
        <v>8</v>
      </c>
      <c r="G105" s="92"/>
      <c r="H105" s="43"/>
    </row>
    <row r="106" spans="1:8" x14ac:dyDescent="0.45">
      <c r="A106" s="40"/>
      <c r="B106" s="40" t="s">
        <v>171</v>
      </c>
      <c r="C106" s="40" t="s">
        <v>102</v>
      </c>
      <c r="D106" s="40" t="s">
        <v>92</v>
      </c>
      <c r="E106" s="77">
        <v>46012</v>
      </c>
      <c r="F106" s="91">
        <v>16</v>
      </c>
      <c r="G106" s="91" t="s">
        <v>99</v>
      </c>
      <c r="H106" s="40">
        <v>102523418</v>
      </c>
    </row>
    <row r="107" spans="1:8" x14ac:dyDescent="0.45">
      <c r="A107" s="40"/>
      <c r="B107" s="40" t="s">
        <v>172</v>
      </c>
      <c r="C107" s="40" t="s">
        <v>87</v>
      </c>
      <c r="D107" s="40" t="s">
        <v>92</v>
      </c>
      <c r="E107" s="77">
        <v>46012</v>
      </c>
      <c r="F107" s="91">
        <v>15</v>
      </c>
      <c r="G107" s="91" t="s">
        <v>99</v>
      </c>
      <c r="H107" s="40">
        <v>92652646</v>
      </c>
    </row>
    <row r="108" spans="1:8" x14ac:dyDescent="0.45">
      <c r="A108" s="40"/>
      <c r="B108" s="40"/>
      <c r="C108" s="40" t="s">
        <v>95</v>
      </c>
      <c r="D108" s="40" t="s">
        <v>88</v>
      </c>
      <c r="E108" s="77">
        <v>46012</v>
      </c>
      <c r="F108" s="91">
        <v>10</v>
      </c>
      <c r="G108" s="91" t="s">
        <v>154</v>
      </c>
      <c r="H108" s="40">
        <v>28</v>
      </c>
    </row>
    <row r="109" spans="1:8" x14ac:dyDescent="0.45">
      <c r="A109" s="40"/>
      <c r="B109" s="40" t="s">
        <v>91</v>
      </c>
      <c r="C109" s="40" t="s">
        <v>129</v>
      </c>
      <c r="D109" s="40" t="s">
        <v>92</v>
      </c>
      <c r="E109" s="77">
        <v>46012</v>
      </c>
      <c r="F109" s="91">
        <v>32</v>
      </c>
      <c r="G109" s="91" t="s">
        <v>99</v>
      </c>
      <c r="H109" s="40">
        <v>118988829</v>
      </c>
    </row>
    <row r="110" spans="1:8" x14ac:dyDescent="0.45">
      <c r="A110" s="40"/>
      <c r="B110" s="40"/>
      <c r="C110" s="40" t="s">
        <v>87</v>
      </c>
      <c r="D110" s="40" t="s">
        <v>92</v>
      </c>
      <c r="E110" s="77">
        <v>46012</v>
      </c>
      <c r="F110" s="91">
        <v>15</v>
      </c>
      <c r="G110" s="91"/>
      <c r="H110" s="40"/>
    </row>
    <row r="111" spans="1:8" x14ac:dyDescent="0.45">
      <c r="A111" s="40"/>
      <c r="B111" s="40"/>
      <c r="C111" s="40" t="s">
        <v>173</v>
      </c>
      <c r="D111" s="81" t="s">
        <v>88</v>
      </c>
      <c r="E111" s="77">
        <v>46012</v>
      </c>
      <c r="F111" s="91">
        <v>19</v>
      </c>
      <c r="G111" s="91"/>
      <c r="H111" s="40"/>
    </row>
    <row r="112" spans="1:8" x14ac:dyDescent="0.45">
      <c r="A112" s="40"/>
      <c r="B112" s="40"/>
      <c r="C112" s="40" t="s">
        <v>125</v>
      </c>
      <c r="D112" s="40" t="s">
        <v>88</v>
      </c>
      <c r="E112" s="77">
        <v>46012</v>
      </c>
      <c r="F112" s="91">
        <v>23</v>
      </c>
      <c r="G112" s="91"/>
      <c r="H112" s="40"/>
    </row>
    <row r="113" spans="1:8" x14ac:dyDescent="0.45">
      <c r="A113" s="43"/>
      <c r="B113" s="43" t="s">
        <v>174</v>
      </c>
      <c r="C113" s="43" t="s">
        <v>87</v>
      </c>
      <c r="D113" s="43" t="s">
        <v>88</v>
      </c>
      <c r="E113" s="89">
        <v>46013</v>
      </c>
      <c r="F113" s="92">
        <v>15</v>
      </c>
      <c r="G113" s="92" t="s">
        <v>99</v>
      </c>
      <c r="H113" s="43">
        <v>203996561</v>
      </c>
    </row>
    <row r="114" spans="1:8" x14ac:dyDescent="0.45">
      <c r="A114" s="43"/>
      <c r="B114" s="43" t="s">
        <v>175</v>
      </c>
      <c r="C114" s="43" t="s">
        <v>176</v>
      </c>
      <c r="D114" s="43" t="s">
        <v>88</v>
      </c>
      <c r="E114" s="89">
        <v>46013</v>
      </c>
      <c r="F114" s="92">
        <v>22</v>
      </c>
      <c r="G114" s="92" t="s">
        <v>177</v>
      </c>
      <c r="H114" s="43">
        <v>205502381</v>
      </c>
    </row>
    <row r="115" spans="1:8" x14ac:dyDescent="0.45">
      <c r="A115" s="43"/>
      <c r="B115" s="43"/>
      <c r="C115" s="43" t="s">
        <v>156</v>
      </c>
      <c r="D115" s="43" t="s">
        <v>92</v>
      </c>
      <c r="E115" s="89">
        <v>46013</v>
      </c>
      <c r="F115" s="92">
        <v>30</v>
      </c>
      <c r="G115" s="92" t="s">
        <v>96</v>
      </c>
      <c r="H115" s="43"/>
    </row>
    <row r="116" spans="1:8" x14ac:dyDescent="0.45">
      <c r="A116" s="40"/>
      <c r="B116" s="40" t="s">
        <v>178</v>
      </c>
      <c r="C116" s="40" t="s">
        <v>179</v>
      </c>
      <c r="D116" s="40" t="s">
        <v>88</v>
      </c>
      <c r="E116" s="77">
        <v>46014</v>
      </c>
      <c r="F116" s="91">
        <v>33</v>
      </c>
      <c r="G116" s="91" t="s">
        <v>99</v>
      </c>
      <c r="H116" s="40">
        <v>42943775</v>
      </c>
    </row>
    <row r="117" spans="1:8" x14ac:dyDescent="0.45">
      <c r="A117" s="40"/>
      <c r="B117" s="40" t="s">
        <v>180</v>
      </c>
      <c r="C117" s="40" t="s">
        <v>181</v>
      </c>
      <c r="D117" s="40" t="s">
        <v>92</v>
      </c>
      <c r="E117" s="77">
        <v>46014</v>
      </c>
      <c r="F117" s="91">
        <v>20</v>
      </c>
      <c r="G117" s="91" t="s">
        <v>99</v>
      </c>
      <c r="H117" s="40">
        <v>46709532</v>
      </c>
    </row>
    <row r="118" spans="1:8" x14ac:dyDescent="0.45">
      <c r="A118" s="40"/>
      <c r="B118" s="40" t="s">
        <v>182</v>
      </c>
      <c r="C118" s="40" t="s">
        <v>183</v>
      </c>
      <c r="D118" s="40" t="s">
        <v>92</v>
      </c>
      <c r="E118" s="77">
        <v>46014</v>
      </c>
      <c r="F118" s="91">
        <v>31</v>
      </c>
      <c r="G118" s="91" t="s">
        <v>99</v>
      </c>
      <c r="H118" s="40">
        <v>87436724</v>
      </c>
    </row>
    <row r="119" spans="1:8" x14ac:dyDescent="0.45">
      <c r="A119" s="40"/>
      <c r="B119" s="40"/>
      <c r="C119" s="40" t="s">
        <v>173</v>
      </c>
      <c r="D119" s="40" t="s">
        <v>88</v>
      </c>
      <c r="E119" s="77">
        <v>46014</v>
      </c>
      <c r="F119" s="91">
        <v>15</v>
      </c>
      <c r="G119" s="91"/>
      <c r="H119" s="40"/>
    </row>
    <row r="120" spans="1:8" x14ac:dyDescent="0.45">
      <c r="A120" s="40"/>
      <c r="B120" s="40"/>
      <c r="C120" s="40" t="s">
        <v>184</v>
      </c>
      <c r="D120" s="40" t="s">
        <v>88</v>
      </c>
      <c r="E120" s="77">
        <v>46014</v>
      </c>
      <c r="F120" s="91">
        <v>8</v>
      </c>
      <c r="G120" s="91"/>
      <c r="H120" s="40"/>
    </row>
    <row r="121" spans="1:8" x14ac:dyDescent="0.45">
      <c r="A121" s="40"/>
      <c r="B121" s="40"/>
      <c r="C121" s="40" t="s">
        <v>183</v>
      </c>
      <c r="D121" s="40" t="s">
        <v>88</v>
      </c>
      <c r="E121" s="77">
        <v>46014</v>
      </c>
      <c r="F121" s="91">
        <v>15</v>
      </c>
      <c r="G121" s="91"/>
      <c r="H121" s="40"/>
    </row>
    <row r="122" spans="1:8" x14ac:dyDescent="0.45">
      <c r="A122" s="40"/>
      <c r="B122" s="40"/>
      <c r="C122" s="40" t="s">
        <v>104</v>
      </c>
      <c r="D122" s="40" t="s">
        <v>88</v>
      </c>
      <c r="E122" s="77">
        <v>46014</v>
      </c>
      <c r="F122" s="91">
        <v>12</v>
      </c>
      <c r="G122" s="91"/>
      <c r="H122" s="40"/>
    </row>
    <row r="123" spans="1:8" x14ac:dyDescent="0.45">
      <c r="A123" s="40"/>
      <c r="B123" s="40"/>
      <c r="C123" s="40" t="s">
        <v>90</v>
      </c>
      <c r="D123" s="40" t="s">
        <v>92</v>
      </c>
      <c r="E123" s="77">
        <v>46014</v>
      </c>
      <c r="F123" s="91">
        <v>5</v>
      </c>
      <c r="G123" s="91"/>
      <c r="H123" s="40"/>
    </row>
    <row r="124" spans="1:8" x14ac:dyDescent="0.45">
      <c r="A124" s="40"/>
      <c r="B124" s="40"/>
      <c r="C124" s="40" t="s">
        <v>129</v>
      </c>
      <c r="D124" s="40" t="s">
        <v>92</v>
      </c>
      <c r="E124" s="77">
        <v>46014</v>
      </c>
      <c r="F124" s="91">
        <v>32</v>
      </c>
      <c r="G124" s="91"/>
      <c r="H124" s="40"/>
    </row>
    <row r="125" spans="1:8" x14ac:dyDescent="0.45">
      <c r="A125" s="40"/>
      <c r="B125" s="40"/>
      <c r="C125" s="40" t="s">
        <v>90</v>
      </c>
      <c r="D125" s="40" t="s">
        <v>92</v>
      </c>
      <c r="E125" s="77">
        <v>46014</v>
      </c>
      <c r="F125" s="91">
        <v>5</v>
      </c>
      <c r="G125" s="91"/>
      <c r="H125" s="40"/>
    </row>
    <row r="126" spans="1:8" x14ac:dyDescent="0.45">
      <c r="A126" s="40"/>
      <c r="B126" s="40"/>
      <c r="C126" s="40" t="s">
        <v>185</v>
      </c>
      <c r="D126" s="40" t="s">
        <v>186</v>
      </c>
      <c r="E126" s="77">
        <v>46014</v>
      </c>
      <c r="F126" s="91">
        <v>8</v>
      </c>
      <c r="G126" s="91"/>
      <c r="H126" s="40"/>
    </row>
    <row r="127" spans="1:8" x14ac:dyDescent="0.45">
      <c r="A127" s="40"/>
      <c r="B127" s="40"/>
      <c r="C127" s="40" t="s">
        <v>87</v>
      </c>
      <c r="D127" s="40" t="s">
        <v>92</v>
      </c>
      <c r="E127" s="77">
        <v>46014</v>
      </c>
      <c r="F127" s="91">
        <v>15</v>
      </c>
      <c r="G127" s="91"/>
      <c r="H127" s="40"/>
    </row>
    <row r="128" spans="1:8" x14ac:dyDescent="0.45">
      <c r="A128" s="40"/>
      <c r="B128" s="40"/>
      <c r="C128" s="40" t="s">
        <v>102</v>
      </c>
      <c r="D128" s="40" t="s">
        <v>92</v>
      </c>
      <c r="E128" s="77">
        <v>46014</v>
      </c>
      <c r="F128" s="91">
        <v>16</v>
      </c>
      <c r="G128" s="91"/>
      <c r="H128" s="40"/>
    </row>
    <row r="129" spans="1:8" x14ac:dyDescent="0.45">
      <c r="A129" s="40"/>
      <c r="B129" s="40"/>
      <c r="C129" s="40" t="s">
        <v>90</v>
      </c>
      <c r="D129" s="40" t="s">
        <v>92</v>
      </c>
      <c r="E129" s="77">
        <v>46014</v>
      </c>
      <c r="F129" s="91">
        <v>5</v>
      </c>
      <c r="G129" s="91"/>
      <c r="H129" s="40"/>
    </row>
    <row r="130" spans="1:8" x14ac:dyDescent="0.45">
      <c r="A130" s="43"/>
      <c r="B130" s="43" t="s">
        <v>187</v>
      </c>
      <c r="C130" s="43" t="s">
        <v>107</v>
      </c>
      <c r="D130" s="43" t="s">
        <v>88</v>
      </c>
      <c r="E130" s="89">
        <v>46015</v>
      </c>
      <c r="F130" s="92">
        <v>20</v>
      </c>
      <c r="G130" s="92" t="s">
        <v>99</v>
      </c>
      <c r="H130" s="43">
        <v>70280054</v>
      </c>
    </row>
    <row r="131" spans="1:8" x14ac:dyDescent="0.45">
      <c r="A131" s="43"/>
      <c r="B131" s="43" t="s">
        <v>188</v>
      </c>
      <c r="C131" s="43" t="s">
        <v>189</v>
      </c>
      <c r="D131" s="43" t="s">
        <v>190</v>
      </c>
      <c r="E131" s="89">
        <v>46015</v>
      </c>
      <c r="F131" s="92">
        <v>26</v>
      </c>
      <c r="G131" s="92" t="s">
        <v>99</v>
      </c>
      <c r="H131" s="43">
        <v>67550758</v>
      </c>
    </row>
    <row r="132" spans="1:8" x14ac:dyDescent="0.45">
      <c r="A132" s="43"/>
      <c r="B132" s="43" t="s">
        <v>191</v>
      </c>
      <c r="C132" s="43" t="s">
        <v>90</v>
      </c>
      <c r="D132" s="43" t="s">
        <v>88</v>
      </c>
      <c r="E132" s="89">
        <v>46015</v>
      </c>
      <c r="F132" s="92">
        <v>5</v>
      </c>
      <c r="G132" s="92" t="s">
        <v>99</v>
      </c>
      <c r="H132" s="43">
        <v>59924838</v>
      </c>
    </row>
    <row r="133" spans="1:8" x14ac:dyDescent="0.45">
      <c r="A133" s="43"/>
      <c r="B133" s="43" t="s">
        <v>192</v>
      </c>
      <c r="C133" s="43" t="s">
        <v>193</v>
      </c>
      <c r="D133" s="43" t="s">
        <v>92</v>
      </c>
      <c r="E133" s="89">
        <v>46015</v>
      </c>
      <c r="F133" s="92">
        <v>22</v>
      </c>
      <c r="G133" s="92" t="s">
        <v>99</v>
      </c>
      <c r="H133" s="43">
        <v>59770980</v>
      </c>
    </row>
    <row r="134" spans="1:8" x14ac:dyDescent="0.45">
      <c r="A134" s="43"/>
      <c r="B134" s="43" t="s">
        <v>194</v>
      </c>
      <c r="C134" s="43" t="s">
        <v>195</v>
      </c>
      <c r="D134" s="43" t="s">
        <v>92</v>
      </c>
      <c r="E134" s="89">
        <v>46015</v>
      </c>
      <c r="F134" s="92">
        <v>27</v>
      </c>
      <c r="G134" s="92" t="s">
        <v>99</v>
      </c>
      <c r="H134" s="43">
        <v>54235921</v>
      </c>
    </row>
    <row r="135" spans="1:8" x14ac:dyDescent="0.45">
      <c r="A135" s="43"/>
      <c r="B135" s="43" t="s">
        <v>196</v>
      </c>
      <c r="C135" s="43" t="s">
        <v>197</v>
      </c>
      <c r="D135" s="43" t="s">
        <v>92</v>
      </c>
      <c r="E135" s="89">
        <v>46015</v>
      </c>
      <c r="F135" s="92">
        <v>40</v>
      </c>
      <c r="G135" s="92" t="s">
        <v>96</v>
      </c>
      <c r="H135" s="43">
        <v>51094023</v>
      </c>
    </row>
    <row r="136" spans="1:8" x14ac:dyDescent="0.45">
      <c r="A136" s="43"/>
      <c r="B136" s="43" t="s">
        <v>198</v>
      </c>
      <c r="C136" s="43" t="s">
        <v>197</v>
      </c>
      <c r="D136" s="43" t="s">
        <v>92</v>
      </c>
      <c r="E136" s="89">
        <v>46015</v>
      </c>
      <c r="F136" s="92">
        <v>32</v>
      </c>
      <c r="G136" s="92" t="s">
        <v>99</v>
      </c>
      <c r="H136" s="43">
        <v>29013348</v>
      </c>
    </row>
    <row r="137" spans="1:8" x14ac:dyDescent="0.45">
      <c r="A137" s="43"/>
      <c r="B137" s="43"/>
      <c r="C137" s="43" t="s">
        <v>87</v>
      </c>
      <c r="D137" s="43" t="s">
        <v>92</v>
      </c>
      <c r="E137" s="89">
        <v>46015</v>
      </c>
      <c r="F137" s="92">
        <v>15</v>
      </c>
      <c r="G137" s="92"/>
      <c r="H137" s="43"/>
    </row>
    <row r="138" spans="1:8" x14ac:dyDescent="0.45">
      <c r="A138" s="48"/>
      <c r="B138" s="49" t="s">
        <v>199</v>
      </c>
      <c r="C138" s="48" t="s">
        <v>200</v>
      </c>
      <c r="D138" s="40" t="s">
        <v>92</v>
      </c>
      <c r="E138" s="77">
        <v>46017</v>
      </c>
      <c r="F138" s="86">
        <v>10</v>
      </c>
      <c r="G138" s="86" t="s">
        <v>201</v>
      </c>
      <c r="H138" s="40">
        <v>109079629</v>
      </c>
    </row>
    <row r="139" spans="1:8" x14ac:dyDescent="0.45">
      <c r="A139" s="50"/>
      <c r="B139" s="51" t="s">
        <v>202</v>
      </c>
      <c r="C139" s="50" t="s">
        <v>203</v>
      </c>
      <c r="D139" s="40" t="s">
        <v>88</v>
      </c>
      <c r="E139" s="77">
        <v>46017</v>
      </c>
      <c r="F139" s="87">
        <v>22</v>
      </c>
      <c r="G139" s="87" t="s">
        <v>204</v>
      </c>
      <c r="H139" s="40">
        <v>138867020900</v>
      </c>
    </row>
    <row r="140" spans="1:8" x14ac:dyDescent="0.45">
      <c r="A140" s="50"/>
      <c r="B140" s="51" t="s">
        <v>205</v>
      </c>
      <c r="C140" s="50" t="s">
        <v>206</v>
      </c>
      <c r="D140" s="40" t="s">
        <v>92</v>
      </c>
      <c r="E140" s="77">
        <v>46017</v>
      </c>
      <c r="F140" s="87">
        <v>13</v>
      </c>
      <c r="G140" s="87" t="s">
        <v>201</v>
      </c>
      <c r="H140" s="40">
        <v>86090334</v>
      </c>
    </row>
    <row r="141" spans="1:8" x14ac:dyDescent="0.45">
      <c r="A141" s="50"/>
      <c r="B141" s="51"/>
      <c r="C141" s="50" t="s">
        <v>207</v>
      </c>
      <c r="D141" s="40" t="s">
        <v>88</v>
      </c>
      <c r="E141" s="77">
        <v>46017</v>
      </c>
      <c r="F141" s="87">
        <v>20</v>
      </c>
      <c r="G141" s="87"/>
      <c r="H141" s="40"/>
    </row>
    <row r="142" spans="1:8" x14ac:dyDescent="0.45">
      <c r="A142" s="50"/>
      <c r="B142" s="51"/>
      <c r="C142" s="50" t="s">
        <v>208</v>
      </c>
      <c r="D142" s="40" t="s">
        <v>92</v>
      </c>
      <c r="E142" s="77">
        <v>46017</v>
      </c>
      <c r="F142" s="87">
        <v>20</v>
      </c>
      <c r="G142" s="87"/>
      <c r="H142" s="40"/>
    </row>
    <row r="143" spans="1:8" x14ac:dyDescent="0.45">
      <c r="A143" s="40"/>
      <c r="B143" s="40"/>
      <c r="C143" s="40"/>
      <c r="D143" s="80"/>
      <c r="E143" s="77">
        <v>46017</v>
      </c>
      <c r="F143" s="82"/>
      <c r="G143" s="79"/>
      <c r="H143" s="40"/>
    </row>
    <row r="144" spans="1:8" x14ac:dyDescent="0.45">
      <c r="A144" s="43"/>
      <c r="B144" s="43" t="s">
        <v>209</v>
      </c>
      <c r="C144" s="43" t="s">
        <v>70</v>
      </c>
      <c r="D144" s="43" t="s">
        <v>69</v>
      </c>
      <c r="E144" s="94">
        <v>46018</v>
      </c>
      <c r="F144" s="92">
        <v>15</v>
      </c>
      <c r="G144" s="92" t="s">
        <v>58</v>
      </c>
      <c r="H144" s="96"/>
    </row>
    <row r="145" spans="1:8" x14ac:dyDescent="0.45">
      <c r="A145" s="43"/>
      <c r="B145" s="43"/>
      <c r="C145" s="43" t="s">
        <v>140</v>
      </c>
      <c r="D145" s="43" t="s">
        <v>69</v>
      </c>
      <c r="E145" s="94">
        <v>46018</v>
      </c>
      <c r="F145" s="92">
        <v>12</v>
      </c>
      <c r="G145" s="92" t="s">
        <v>58</v>
      </c>
      <c r="H145" s="96"/>
    </row>
    <row r="146" spans="1:8" x14ac:dyDescent="0.45">
      <c r="A146" s="43"/>
      <c r="B146" s="43"/>
      <c r="C146" s="43" t="s">
        <v>210</v>
      </c>
      <c r="D146" s="43" t="s">
        <v>211</v>
      </c>
      <c r="E146" s="94">
        <v>46018</v>
      </c>
      <c r="F146" s="92">
        <v>23</v>
      </c>
      <c r="G146" s="92" t="s">
        <v>58</v>
      </c>
      <c r="H146" s="96"/>
    </row>
    <row r="147" spans="1:8" x14ac:dyDescent="0.45">
      <c r="A147" s="43"/>
      <c r="B147" s="43"/>
      <c r="C147" s="43" t="s">
        <v>212</v>
      </c>
      <c r="D147" s="43" t="s">
        <v>211</v>
      </c>
      <c r="E147" s="94">
        <v>46018</v>
      </c>
      <c r="F147" s="92">
        <v>24</v>
      </c>
      <c r="G147" s="92" t="s">
        <v>58</v>
      </c>
      <c r="H147" s="96"/>
    </row>
    <row r="148" spans="1:8" x14ac:dyDescent="0.45">
      <c r="A148" s="43"/>
      <c r="B148" s="43" t="s">
        <v>213</v>
      </c>
      <c r="C148" s="43" t="s">
        <v>214</v>
      </c>
      <c r="D148" s="43" t="s">
        <v>69</v>
      </c>
      <c r="E148" s="94">
        <v>46018</v>
      </c>
      <c r="F148" s="92">
        <v>20</v>
      </c>
      <c r="G148" s="92" t="s">
        <v>133</v>
      </c>
      <c r="H148" s="96"/>
    </row>
    <row r="149" spans="1:8" x14ac:dyDescent="0.45">
      <c r="A149" s="43"/>
      <c r="B149" s="43" t="s">
        <v>215</v>
      </c>
      <c r="C149" s="43" t="s">
        <v>216</v>
      </c>
      <c r="D149" s="43" t="s">
        <v>211</v>
      </c>
      <c r="E149" s="94">
        <v>46018</v>
      </c>
      <c r="F149" s="92">
        <v>6</v>
      </c>
      <c r="G149" s="92" t="s">
        <v>133</v>
      </c>
      <c r="H149" s="92"/>
    </row>
    <row r="150" spans="1:8" x14ac:dyDescent="0.45">
      <c r="A150" s="43"/>
      <c r="B150" s="43" t="s">
        <v>217</v>
      </c>
      <c r="C150" s="43" t="s">
        <v>75</v>
      </c>
      <c r="D150" s="43" t="s">
        <v>69</v>
      </c>
      <c r="E150" s="94">
        <v>46018</v>
      </c>
      <c r="F150" s="92">
        <v>10</v>
      </c>
      <c r="G150" s="92" t="s">
        <v>58</v>
      </c>
      <c r="H150" s="92"/>
    </row>
    <row r="151" spans="1:8" x14ac:dyDescent="0.45">
      <c r="A151" s="43"/>
      <c r="B151" s="43"/>
      <c r="C151" s="43" t="s">
        <v>75</v>
      </c>
      <c r="D151" s="43" t="s">
        <v>211</v>
      </c>
      <c r="E151" s="94">
        <v>46018</v>
      </c>
      <c r="F151" s="92">
        <v>10</v>
      </c>
      <c r="G151" s="92" t="s">
        <v>58</v>
      </c>
      <c r="H151" s="92"/>
    </row>
    <row r="152" spans="1:8" x14ac:dyDescent="0.45">
      <c r="A152" s="43"/>
      <c r="B152" s="43" t="s">
        <v>218</v>
      </c>
      <c r="C152" s="43" t="s">
        <v>219</v>
      </c>
      <c r="D152" s="43" t="s">
        <v>220</v>
      </c>
      <c r="E152" s="94">
        <v>46018</v>
      </c>
      <c r="F152" s="92">
        <v>32</v>
      </c>
      <c r="G152" s="92" t="s">
        <v>221</v>
      </c>
      <c r="H152" s="92"/>
    </row>
    <row r="153" spans="1:8" x14ac:dyDescent="0.45">
      <c r="A153" s="43"/>
      <c r="B153" s="43" t="s">
        <v>222</v>
      </c>
      <c r="C153" s="43" t="s">
        <v>214</v>
      </c>
      <c r="D153" s="43" t="s">
        <v>223</v>
      </c>
      <c r="E153" s="94">
        <v>46018</v>
      </c>
      <c r="F153" s="92">
        <v>20</v>
      </c>
      <c r="G153" s="92" t="s">
        <v>133</v>
      </c>
      <c r="H153" s="92"/>
    </row>
    <row r="154" spans="1:8" x14ac:dyDescent="0.45">
      <c r="A154" s="43"/>
      <c r="B154" s="43"/>
      <c r="C154" s="43" t="s">
        <v>224</v>
      </c>
      <c r="D154" s="43" t="s">
        <v>223</v>
      </c>
      <c r="E154" s="94">
        <v>46018</v>
      </c>
      <c r="F154" s="92">
        <v>21</v>
      </c>
      <c r="G154" s="92" t="s">
        <v>133</v>
      </c>
      <c r="H154" s="92"/>
    </row>
    <row r="155" spans="1:8" x14ac:dyDescent="0.45">
      <c r="A155" s="43"/>
      <c r="B155" s="43" t="s">
        <v>225</v>
      </c>
      <c r="C155" s="43"/>
      <c r="D155" s="43" t="s">
        <v>226</v>
      </c>
      <c r="E155" s="94">
        <v>46018</v>
      </c>
      <c r="F155" s="92">
        <v>61</v>
      </c>
      <c r="G155" s="92" t="s">
        <v>133</v>
      </c>
      <c r="H155" s="92"/>
    </row>
    <row r="156" spans="1:8" x14ac:dyDescent="0.45">
      <c r="A156" s="43"/>
      <c r="B156" s="43" t="s">
        <v>227</v>
      </c>
      <c r="C156" s="43" t="s">
        <v>228</v>
      </c>
      <c r="D156" s="43" t="s">
        <v>223</v>
      </c>
      <c r="E156" s="94">
        <v>46018</v>
      </c>
      <c r="F156" s="92">
        <v>16</v>
      </c>
      <c r="G156" s="92" t="s">
        <v>133</v>
      </c>
      <c r="H156" s="92"/>
    </row>
    <row r="157" spans="1:8" x14ac:dyDescent="0.45">
      <c r="A157" s="40"/>
      <c r="B157" s="40" t="s">
        <v>229</v>
      </c>
      <c r="C157" s="40" t="s">
        <v>107</v>
      </c>
      <c r="D157" s="40" t="s">
        <v>88</v>
      </c>
      <c r="E157" s="77">
        <v>46019</v>
      </c>
      <c r="F157" s="91">
        <v>20</v>
      </c>
      <c r="G157" s="91" t="s">
        <v>96</v>
      </c>
      <c r="H157" s="40"/>
    </row>
    <row r="158" spans="1:8" x14ac:dyDescent="0.45">
      <c r="A158" s="40"/>
      <c r="B158" s="40" t="s">
        <v>230</v>
      </c>
      <c r="C158" s="40" t="s">
        <v>195</v>
      </c>
      <c r="D158" s="40" t="s">
        <v>88</v>
      </c>
      <c r="E158" s="77">
        <v>46019</v>
      </c>
      <c r="F158" s="91">
        <v>27</v>
      </c>
      <c r="G158" s="91" t="s">
        <v>96</v>
      </c>
      <c r="H158" s="40">
        <v>96852569</v>
      </c>
    </row>
    <row r="159" spans="1:8" x14ac:dyDescent="0.45">
      <c r="A159" s="40"/>
      <c r="B159" s="40" t="s">
        <v>231</v>
      </c>
      <c r="C159" s="40" t="s">
        <v>208</v>
      </c>
      <c r="D159" s="40" t="s">
        <v>88</v>
      </c>
      <c r="E159" s="77">
        <v>46019</v>
      </c>
      <c r="F159" s="91">
        <v>20</v>
      </c>
      <c r="G159" s="91" t="s">
        <v>99</v>
      </c>
      <c r="H159" s="40">
        <v>99634132</v>
      </c>
    </row>
    <row r="160" spans="1:8" x14ac:dyDescent="0.45">
      <c r="A160" s="40"/>
      <c r="B160" s="40" t="s">
        <v>232</v>
      </c>
      <c r="C160" s="40" t="s">
        <v>233</v>
      </c>
      <c r="D160" s="40" t="s">
        <v>92</v>
      </c>
      <c r="E160" s="77">
        <v>46019</v>
      </c>
      <c r="F160" s="91">
        <v>17</v>
      </c>
      <c r="G160" s="91" t="s">
        <v>96</v>
      </c>
      <c r="H160" s="40">
        <v>595009020900</v>
      </c>
    </row>
    <row r="161" spans="1:8" x14ac:dyDescent="0.45">
      <c r="A161" s="40"/>
      <c r="B161" s="40" t="s">
        <v>234</v>
      </c>
      <c r="C161" s="40" t="s">
        <v>87</v>
      </c>
      <c r="D161" s="40" t="s">
        <v>88</v>
      </c>
      <c r="E161" s="77">
        <v>46019</v>
      </c>
      <c r="F161" s="91">
        <v>15</v>
      </c>
      <c r="G161" s="91" t="s">
        <v>99</v>
      </c>
      <c r="H161" s="40">
        <v>100934386</v>
      </c>
    </row>
    <row r="162" spans="1:8" x14ac:dyDescent="0.45">
      <c r="A162" s="40"/>
      <c r="B162" s="40"/>
      <c r="C162" s="40" t="s">
        <v>235</v>
      </c>
      <c r="D162" s="40" t="s">
        <v>92</v>
      </c>
      <c r="E162" s="77">
        <v>46019</v>
      </c>
      <c r="F162" s="91">
        <v>31</v>
      </c>
      <c r="G162" s="91" t="s">
        <v>154</v>
      </c>
      <c r="H162" s="40">
        <v>43</v>
      </c>
    </row>
    <row r="163" spans="1:8" x14ac:dyDescent="0.45">
      <c r="A163" s="40"/>
      <c r="B163" s="40" t="s">
        <v>236</v>
      </c>
      <c r="C163" s="40" t="s">
        <v>237</v>
      </c>
      <c r="D163" s="40" t="s">
        <v>190</v>
      </c>
      <c r="E163" s="77">
        <v>46019</v>
      </c>
      <c r="F163" s="91">
        <v>51</v>
      </c>
      <c r="G163" s="91" t="s">
        <v>99</v>
      </c>
      <c r="H163" s="40">
        <v>91239825</v>
      </c>
    </row>
    <row r="164" spans="1:8" x14ac:dyDescent="0.45">
      <c r="A164" s="43"/>
      <c r="B164" s="43"/>
      <c r="C164" s="43" t="s">
        <v>238</v>
      </c>
      <c r="D164" s="43" t="s">
        <v>88</v>
      </c>
      <c r="E164" s="89">
        <v>46020</v>
      </c>
      <c r="F164" s="92">
        <v>30</v>
      </c>
      <c r="G164" s="92" t="s">
        <v>154</v>
      </c>
      <c r="H164" s="43">
        <v>45</v>
      </c>
    </row>
    <row r="165" spans="1:8" x14ac:dyDescent="0.45">
      <c r="A165" s="43"/>
      <c r="B165" s="43" t="s">
        <v>239</v>
      </c>
      <c r="C165" s="43" t="s">
        <v>193</v>
      </c>
      <c r="D165" s="43" t="s">
        <v>88</v>
      </c>
      <c r="E165" s="89">
        <v>46020</v>
      </c>
      <c r="F165" s="92">
        <v>22</v>
      </c>
      <c r="G165" s="92" t="s">
        <v>96</v>
      </c>
      <c r="H165" s="43">
        <v>917106020900</v>
      </c>
    </row>
    <row r="166" spans="1:8" x14ac:dyDescent="0.45">
      <c r="A166" s="43"/>
      <c r="B166" s="43" t="s">
        <v>240</v>
      </c>
      <c r="C166" s="43" t="s">
        <v>87</v>
      </c>
      <c r="D166" s="43" t="s">
        <v>88</v>
      </c>
      <c r="E166" s="89">
        <v>46020</v>
      </c>
      <c r="F166" s="92">
        <v>15</v>
      </c>
      <c r="G166" s="92" t="s">
        <v>99</v>
      </c>
      <c r="H166" s="43">
        <v>181287121</v>
      </c>
    </row>
    <row r="167" spans="1:8" x14ac:dyDescent="0.45">
      <c r="A167" s="43"/>
      <c r="B167" s="43" t="s">
        <v>241</v>
      </c>
      <c r="C167" s="43" t="s">
        <v>242</v>
      </c>
      <c r="D167" s="43" t="s">
        <v>88</v>
      </c>
      <c r="E167" s="89">
        <v>46020</v>
      </c>
      <c r="F167" s="92">
        <v>8</v>
      </c>
      <c r="G167" s="92" t="s">
        <v>96</v>
      </c>
      <c r="H167" s="43">
        <v>863774020900</v>
      </c>
    </row>
    <row r="168" spans="1:8" x14ac:dyDescent="0.45">
      <c r="A168" s="48"/>
      <c r="B168" s="49" t="s">
        <v>243</v>
      </c>
      <c r="C168" s="48" t="s">
        <v>107</v>
      </c>
      <c r="D168" s="40" t="s">
        <v>88</v>
      </c>
      <c r="E168" s="77">
        <v>46021</v>
      </c>
      <c r="F168" s="86">
        <v>20</v>
      </c>
      <c r="G168" s="86" t="s">
        <v>201</v>
      </c>
      <c r="H168" s="40">
        <v>2202519950</v>
      </c>
    </row>
    <row r="169" spans="1:8" x14ac:dyDescent="0.45">
      <c r="A169" s="50"/>
      <c r="B169" s="51" t="s">
        <v>244</v>
      </c>
      <c r="C169" s="50" t="s">
        <v>245</v>
      </c>
      <c r="D169" s="40" t="s">
        <v>92</v>
      </c>
      <c r="E169" s="77">
        <v>46021</v>
      </c>
      <c r="F169" s="87">
        <v>27</v>
      </c>
      <c r="G169" s="87" t="s">
        <v>204</v>
      </c>
      <c r="H169" s="40">
        <v>69916327</v>
      </c>
    </row>
    <row r="170" spans="1:8" x14ac:dyDescent="0.45">
      <c r="A170" s="50"/>
      <c r="B170" s="51" t="s">
        <v>246</v>
      </c>
      <c r="C170" s="50" t="s">
        <v>107</v>
      </c>
      <c r="D170" s="40" t="s">
        <v>92</v>
      </c>
      <c r="E170" s="77">
        <v>46021</v>
      </c>
      <c r="F170" s="87">
        <v>20</v>
      </c>
      <c r="G170" s="87" t="s">
        <v>201</v>
      </c>
      <c r="H170" s="40">
        <v>66175676</v>
      </c>
    </row>
    <row r="171" spans="1:8" x14ac:dyDescent="0.45">
      <c r="A171" s="50"/>
      <c r="B171" s="51" t="s">
        <v>198</v>
      </c>
      <c r="C171" s="50" t="s">
        <v>247</v>
      </c>
      <c r="D171" s="40" t="s">
        <v>92</v>
      </c>
      <c r="E171" s="77">
        <v>46021</v>
      </c>
      <c r="F171" s="87">
        <v>3</v>
      </c>
      <c r="G171" s="87" t="s">
        <v>201</v>
      </c>
      <c r="H171" s="40">
        <v>45095513</v>
      </c>
    </row>
    <row r="172" spans="1:8" x14ac:dyDescent="0.45">
      <c r="A172" s="50"/>
      <c r="B172" s="51" t="s">
        <v>243</v>
      </c>
      <c r="C172" s="50" t="s">
        <v>248</v>
      </c>
      <c r="D172" s="40" t="s">
        <v>92</v>
      </c>
      <c r="E172" s="77">
        <v>46021</v>
      </c>
      <c r="F172" s="87">
        <v>36</v>
      </c>
      <c r="G172" s="87" t="s">
        <v>201</v>
      </c>
      <c r="H172" s="40">
        <v>71109223</v>
      </c>
    </row>
    <row r="173" spans="1:8" x14ac:dyDescent="0.45">
      <c r="A173" s="40"/>
      <c r="B173" s="40"/>
      <c r="C173" s="40" t="s">
        <v>87</v>
      </c>
      <c r="D173" s="40" t="s">
        <v>249</v>
      </c>
      <c r="E173" s="77">
        <v>46021</v>
      </c>
      <c r="F173" s="91">
        <v>15</v>
      </c>
      <c r="G173" s="79"/>
      <c r="H173" s="40"/>
    </row>
    <row r="174" spans="1:8" x14ac:dyDescent="0.45">
      <c r="A174" s="40"/>
      <c r="B174" s="40"/>
      <c r="C174" s="40" t="s">
        <v>185</v>
      </c>
      <c r="D174" s="40" t="s">
        <v>249</v>
      </c>
      <c r="E174" s="77">
        <v>46021</v>
      </c>
      <c r="F174" s="91">
        <v>2</v>
      </c>
      <c r="G174" s="79"/>
      <c r="H174" s="40"/>
    </row>
    <row r="175" spans="1:8" x14ac:dyDescent="0.45">
      <c r="A175" s="40"/>
      <c r="B175" s="40"/>
      <c r="C175" s="40" t="s">
        <v>250</v>
      </c>
      <c r="D175" s="40" t="s">
        <v>249</v>
      </c>
      <c r="E175" s="77">
        <v>46021</v>
      </c>
      <c r="F175" s="91">
        <v>14</v>
      </c>
      <c r="G175" s="79"/>
      <c r="H175" s="40"/>
    </row>
    <row r="176" spans="1:8" x14ac:dyDescent="0.45">
      <c r="A176" s="40"/>
      <c r="B176" s="40"/>
      <c r="C176" s="40" t="s">
        <v>104</v>
      </c>
      <c r="D176" s="40" t="s">
        <v>249</v>
      </c>
      <c r="E176" s="77">
        <v>46021</v>
      </c>
      <c r="F176" s="91">
        <v>12</v>
      </c>
      <c r="G176" s="79"/>
      <c r="H176" s="40"/>
    </row>
    <row r="177" spans="1:8" x14ac:dyDescent="0.45">
      <c r="A177" s="40"/>
      <c r="B177" s="40"/>
      <c r="C177" s="40" t="s">
        <v>95</v>
      </c>
      <c r="D177" s="40" t="s">
        <v>249</v>
      </c>
      <c r="E177" s="77">
        <v>46021</v>
      </c>
      <c r="F177" s="91">
        <v>10</v>
      </c>
      <c r="G177" s="79"/>
      <c r="H177" s="40"/>
    </row>
    <row r="178" spans="1:8" x14ac:dyDescent="0.45">
      <c r="A178" s="40"/>
      <c r="B178" s="40"/>
      <c r="C178" s="40" t="s">
        <v>233</v>
      </c>
      <c r="D178" s="40" t="s">
        <v>249</v>
      </c>
      <c r="E178" s="77">
        <v>46021</v>
      </c>
      <c r="F178" s="91">
        <v>23</v>
      </c>
      <c r="G178" s="79"/>
      <c r="H178" s="40"/>
    </row>
    <row r="179" spans="1:8" x14ac:dyDescent="0.45">
      <c r="A179" s="52"/>
      <c r="B179" s="53" t="s">
        <v>251</v>
      </c>
      <c r="C179" s="52" t="s">
        <v>252</v>
      </c>
      <c r="D179" s="52" t="s">
        <v>92</v>
      </c>
      <c r="E179" s="89">
        <v>46022</v>
      </c>
      <c r="F179" s="97">
        <v>17</v>
      </c>
      <c r="G179" s="97"/>
      <c r="H179" s="53"/>
    </row>
    <row r="180" spans="1:8" x14ac:dyDescent="0.45">
      <c r="A180" s="54"/>
      <c r="B180" s="55" t="s">
        <v>253</v>
      </c>
      <c r="C180" s="54" t="s">
        <v>90</v>
      </c>
      <c r="D180" s="54" t="s">
        <v>88</v>
      </c>
      <c r="E180" s="89">
        <v>46022</v>
      </c>
      <c r="F180" s="98">
        <v>5</v>
      </c>
      <c r="G180" s="98" t="s">
        <v>201</v>
      </c>
      <c r="H180" s="55">
        <v>45683921</v>
      </c>
    </row>
    <row r="181" spans="1:8" x14ac:dyDescent="0.45">
      <c r="A181" s="54"/>
      <c r="B181" s="55" t="s">
        <v>253</v>
      </c>
      <c r="C181" s="54" t="s">
        <v>254</v>
      </c>
      <c r="D181" s="54" t="s">
        <v>92</v>
      </c>
      <c r="E181" s="89">
        <v>46022</v>
      </c>
      <c r="F181" s="98">
        <v>23</v>
      </c>
      <c r="G181" s="98" t="s">
        <v>201</v>
      </c>
      <c r="H181" s="55">
        <v>45526558</v>
      </c>
    </row>
    <row r="182" spans="1:8" x14ac:dyDescent="0.45">
      <c r="A182" s="54"/>
      <c r="B182" s="55" t="s">
        <v>255</v>
      </c>
      <c r="C182" s="54" t="s">
        <v>87</v>
      </c>
      <c r="D182" s="54" t="s">
        <v>88</v>
      </c>
      <c r="E182" s="89">
        <v>46022</v>
      </c>
      <c r="F182" s="98">
        <v>15</v>
      </c>
      <c r="G182" s="98" t="s">
        <v>201</v>
      </c>
      <c r="H182" s="55">
        <v>45407421</v>
      </c>
    </row>
    <row r="183" spans="1:8" x14ac:dyDescent="0.45">
      <c r="A183" s="54"/>
      <c r="B183" s="55" t="s">
        <v>255</v>
      </c>
      <c r="C183" s="54" t="s">
        <v>102</v>
      </c>
      <c r="D183" s="54" t="s">
        <v>249</v>
      </c>
      <c r="E183" s="89">
        <v>46022</v>
      </c>
      <c r="F183" s="98">
        <v>16</v>
      </c>
      <c r="G183" s="98" t="s">
        <v>201</v>
      </c>
      <c r="H183" s="55">
        <v>45407421</v>
      </c>
    </row>
    <row r="184" spans="1:8" x14ac:dyDescent="0.45">
      <c r="A184" s="43"/>
      <c r="B184" s="43"/>
      <c r="C184" s="43"/>
      <c r="D184" s="93"/>
      <c r="E184" s="89">
        <v>46022</v>
      </c>
      <c r="F184" s="92"/>
      <c r="G184" s="90"/>
      <c r="H184" s="43"/>
    </row>
    <row r="185" spans="1:8" x14ac:dyDescent="0.45">
      <c r="A185" s="38">
        <v>1719219527</v>
      </c>
      <c r="B185" s="38" t="s">
        <v>256</v>
      </c>
      <c r="C185" s="40" t="s">
        <v>257</v>
      </c>
      <c r="D185" s="40" t="s">
        <v>132</v>
      </c>
      <c r="E185" s="77">
        <v>46025</v>
      </c>
      <c r="F185" s="78">
        <v>15</v>
      </c>
      <c r="G185" s="91" t="s">
        <v>133</v>
      </c>
      <c r="H185" s="40"/>
    </row>
    <row r="186" spans="1:8" x14ac:dyDescent="0.45">
      <c r="A186" s="40"/>
      <c r="B186" s="40" t="s">
        <v>258</v>
      </c>
      <c r="C186" s="40" t="s">
        <v>75</v>
      </c>
      <c r="D186" s="40" t="s">
        <v>132</v>
      </c>
      <c r="E186" s="77">
        <v>46025</v>
      </c>
      <c r="F186" s="82">
        <v>10</v>
      </c>
      <c r="G186" s="91" t="s">
        <v>58</v>
      </c>
      <c r="H186" s="40">
        <v>131584804</v>
      </c>
    </row>
    <row r="187" spans="1:8" x14ac:dyDescent="0.45">
      <c r="A187" s="38">
        <v>1719219527</v>
      </c>
      <c r="B187" s="38" t="s">
        <v>256</v>
      </c>
      <c r="C187" s="40" t="s">
        <v>259</v>
      </c>
      <c r="D187" s="40" t="s">
        <v>92</v>
      </c>
      <c r="E187" s="77">
        <v>46025</v>
      </c>
      <c r="F187" s="82">
        <v>12</v>
      </c>
      <c r="G187" s="91" t="s">
        <v>133</v>
      </c>
      <c r="H187" s="40"/>
    </row>
    <row r="188" spans="1:8" x14ac:dyDescent="0.45">
      <c r="A188" s="40"/>
      <c r="B188" s="40" t="s">
        <v>258</v>
      </c>
      <c r="C188" s="40" t="s">
        <v>70</v>
      </c>
      <c r="D188" s="40" t="s">
        <v>92</v>
      </c>
      <c r="E188" s="77">
        <v>46025</v>
      </c>
      <c r="F188" s="82">
        <v>15</v>
      </c>
      <c r="G188" s="91" t="s">
        <v>58</v>
      </c>
      <c r="H188" s="40">
        <v>131584804</v>
      </c>
    </row>
    <row r="189" spans="1:8" x14ac:dyDescent="0.45">
      <c r="A189" s="40">
        <v>1719219527</v>
      </c>
      <c r="B189" s="40" t="s">
        <v>260</v>
      </c>
      <c r="C189" s="40" t="s">
        <v>261</v>
      </c>
      <c r="D189" s="40" t="s">
        <v>249</v>
      </c>
      <c r="E189" s="77">
        <v>46025</v>
      </c>
      <c r="F189" s="82">
        <f>8+3+10</f>
        <v>21</v>
      </c>
      <c r="G189" s="91" t="s">
        <v>133</v>
      </c>
      <c r="H189" s="40"/>
    </row>
    <row r="190" spans="1:8" x14ac:dyDescent="0.45">
      <c r="A190" s="40">
        <v>1721675153</v>
      </c>
      <c r="B190" s="40" t="s">
        <v>262</v>
      </c>
      <c r="C190" s="40" t="s">
        <v>263</v>
      </c>
      <c r="D190" s="40" t="s">
        <v>92</v>
      </c>
      <c r="E190" s="77">
        <v>46025</v>
      </c>
      <c r="F190" s="82">
        <f>(45*0.05)+1</f>
        <v>3.25</v>
      </c>
      <c r="G190" s="91" t="s">
        <v>58</v>
      </c>
      <c r="H190" s="40">
        <v>137005163</v>
      </c>
    </row>
    <row r="191" spans="1:8" x14ac:dyDescent="0.45">
      <c r="A191" s="40">
        <v>1721675153</v>
      </c>
      <c r="B191" s="40" t="s">
        <v>262</v>
      </c>
      <c r="C191" s="40" t="s">
        <v>264</v>
      </c>
      <c r="D191" s="40" t="s">
        <v>132</v>
      </c>
      <c r="E191" s="77">
        <v>46025</v>
      </c>
      <c r="F191" s="82">
        <v>14</v>
      </c>
      <c r="G191" s="91" t="s">
        <v>58</v>
      </c>
      <c r="H191" s="40">
        <v>137005163</v>
      </c>
    </row>
    <row r="192" spans="1:8" x14ac:dyDescent="0.45">
      <c r="A192" s="40">
        <v>1721675153</v>
      </c>
      <c r="B192" s="44" t="s">
        <v>265</v>
      </c>
      <c r="C192" s="44" t="s">
        <v>266</v>
      </c>
      <c r="D192" s="44" t="s">
        <v>92</v>
      </c>
      <c r="E192" s="77">
        <v>46025</v>
      </c>
      <c r="F192" s="82">
        <v>10</v>
      </c>
      <c r="G192" s="91" t="s">
        <v>58</v>
      </c>
      <c r="H192" s="40">
        <v>137005163</v>
      </c>
    </row>
    <row r="193" spans="1:8" x14ac:dyDescent="0.45">
      <c r="A193" s="44">
        <v>1718245812</v>
      </c>
      <c r="B193" s="44" t="s">
        <v>267</v>
      </c>
      <c r="C193" s="40" t="s">
        <v>264</v>
      </c>
      <c r="D193" s="44" t="s">
        <v>249</v>
      </c>
      <c r="E193" s="77">
        <v>46025</v>
      </c>
      <c r="F193" s="82">
        <v>15</v>
      </c>
      <c r="G193" s="82" t="s">
        <v>58</v>
      </c>
      <c r="H193" s="44">
        <v>142186965</v>
      </c>
    </row>
    <row r="194" spans="1:8" x14ac:dyDescent="0.45">
      <c r="A194" s="44">
        <v>1720400892</v>
      </c>
      <c r="B194" s="44" t="s">
        <v>268</v>
      </c>
      <c r="C194" s="44" t="s">
        <v>269</v>
      </c>
      <c r="D194" s="44" t="s">
        <v>132</v>
      </c>
      <c r="E194" s="77">
        <v>46025</v>
      </c>
      <c r="F194" s="82">
        <v>30</v>
      </c>
      <c r="G194" s="82" t="s">
        <v>133</v>
      </c>
      <c r="H194" s="44"/>
    </row>
    <row r="195" spans="1:8" x14ac:dyDescent="0.45">
      <c r="A195" s="56">
        <v>170143229</v>
      </c>
      <c r="B195" s="56" t="s">
        <v>147</v>
      </c>
      <c r="C195" s="56" t="s">
        <v>270</v>
      </c>
      <c r="D195" s="56" t="s">
        <v>132</v>
      </c>
      <c r="E195" s="99">
        <v>46026</v>
      </c>
      <c r="F195" s="100">
        <v>10</v>
      </c>
      <c r="G195" s="100" t="s">
        <v>58</v>
      </c>
      <c r="H195" s="56">
        <v>164419564</v>
      </c>
    </row>
    <row r="196" spans="1:8" x14ac:dyDescent="0.45">
      <c r="A196" s="56">
        <v>170143229</v>
      </c>
      <c r="B196" s="56" t="s">
        <v>147</v>
      </c>
      <c r="C196" s="56" t="s">
        <v>264</v>
      </c>
      <c r="D196" s="56" t="s">
        <v>132</v>
      </c>
      <c r="E196" s="99">
        <v>46026</v>
      </c>
      <c r="F196" s="100">
        <v>15</v>
      </c>
      <c r="G196" s="100" t="s">
        <v>58</v>
      </c>
      <c r="H196" s="56">
        <v>164957534</v>
      </c>
    </row>
    <row r="197" spans="1:8" x14ac:dyDescent="0.45">
      <c r="A197" s="56">
        <v>1707963227</v>
      </c>
      <c r="B197" s="56" t="s">
        <v>271</v>
      </c>
      <c r="C197" s="56" t="s">
        <v>264</v>
      </c>
      <c r="D197" s="56" t="s">
        <v>249</v>
      </c>
      <c r="E197" s="99">
        <v>46026</v>
      </c>
      <c r="F197" s="100">
        <v>15</v>
      </c>
      <c r="G197" s="100" t="s">
        <v>133</v>
      </c>
      <c r="H197" s="56"/>
    </row>
    <row r="198" spans="1:8" x14ac:dyDescent="0.45">
      <c r="A198" s="56">
        <v>1721946067</v>
      </c>
      <c r="B198" s="56" t="s">
        <v>272</v>
      </c>
      <c r="C198" s="56" t="s">
        <v>273</v>
      </c>
      <c r="D198" s="56" t="s">
        <v>249</v>
      </c>
      <c r="E198" s="99">
        <v>46026</v>
      </c>
      <c r="F198" s="100">
        <f>10+6+2</f>
        <v>18</v>
      </c>
      <c r="G198" s="100" t="s">
        <v>274</v>
      </c>
      <c r="H198" s="56">
        <v>190497980</v>
      </c>
    </row>
    <row r="199" spans="1:8" x14ac:dyDescent="0.45">
      <c r="A199" s="56">
        <v>1723304125</v>
      </c>
      <c r="B199" s="56" t="s">
        <v>275</v>
      </c>
      <c r="C199" s="56" t="s">
        <v>270</v>
      </c>
      <c r="D199" s="56" t="s">
        <v>249</v>
      </c>
      <c r="E199" s="99">
        <v>46026</v>
      </c>
      <c r="F199" s="100">
        <v>10</v>
      </c>
      <c r="G199" s="100" t="s">
        <v>58</v>
      </c>
      <c r="H199" s="56">
        <v>169374084</v>
      </c>
    </row>
    <row r="200" spans="1:8" x14ac:dyDescent="0.45">
      <c r="A200" s="56">
        <v>1725577504</v>
      </c>
      <c r="B200" s="56" t="s">
        <v>276</v>
      </c>
      <c r="C200" s="56" t="s">
        <v>219</v>
      </c>
      <c r="D200" s="56" t="s">
        <v>132</v>
      </c>
      <c r="E200" s="99">
        <v>46026</v>
      </c>
      <c r="F200" s="100">
        <v>32</v>
      </c>
      <c r="G200" s="100" t="s">
        <v>58</v>
      </c>
      <c r="H200" s="56">
        <v>188803709</v>
      </c>
    </row>
    <row r="201" spans="1:8" x14ac:dyDescent="0.45">
      <c r="A201" s="56">
        <v>1500003023</v>
      </c>
      <c r="B201" s="56" t="s">
        <v>277</v>
      </c>
      <c r="C201" s="56" t="s">
        <v>278</v>
      </c>
      <c r="D201" s="56" t="s">
        <v>249</v>
      </c>
      <c r="E201" s="99">
        <v>46026</v>
      </c>
      <c r="F201" s="100">
        <f>5+12+8</f>
        <v>25</v>
      </c>
      <c r="G201" s="100" t="s">
        <v>58</v>
      </c>
      <c r="H201" s="56">
        <v>192141757</v>
      </c>
    </row>
    <row r="202" spans="1:8" x14ac:dyDescent="0.45">
      <c r="A202" s="56">
        <v>1500003023</v>
      </c>
      <c r="B202" s="56" t="s">
        <v>277</v>
      </c>
      <c r="C202" s="56" t="s">
        <v>279</v>
      </c>
      <c r="D202" s="56" t="s">
        <v>132</v>
      </c>
      <c r="E202" s="99">
        <v>46026</v>
      </c>
      <c r="F202" s="100">
        <v>8</v>
      </c>
      <c r="G202" s="100" t="s">
        <v>58</v>
      </c>
      <c r="H202" s="56">
        <v>192141757</v>
      </c>
    </row>
    <row r="203" spans="1:8" x14ac:dyDescent="0.45">
      <c r="A203" s="40"/>
      <c r="B203" s="40" t="s">
        <v>280</v>
      </c>
      <c r="C203" s="40" t="s">
        <v>87</v>
      </c>
      <c r="D203" s="40"/>
      <c r="E203" s="81">
        <v>46027</v>
      </c>
      <c r="F203" s="91">
        <v>15</v>
      </c>
      <c r="G203" s="91" t="s">
        <v>99</v>
      </c>
      <c r="H203" s="91"/>
    </row>
    <row r="204" spans="1:8" x14ac:dyDescent="0.45">
      <c r="A204" s="40"/>
      <c r="B204" s="40" t="s">
        <v>246</v>
      </c>
      <c r="C204" s="40" t="s">
        <v>281</v>
      </c>
      <c r="D204" s="40"/>
      <c r="E204" s="81">
        <v>46027</v>
      </c>
      <c r="F204" s="91">
        <v>15</v>
      </c>
      <c r="G204" s="91" t="s">
        <v>99</v>
      </c>
      <c r="H204" s="91"/>
    </row>
    <row r="205" spans="1:8" x14ac:dyDescent="0.45">
      <c r="A205" s="40"/>
      <c r="B205" s="40" t="s">
        <v>280</v>
      </c>
      <c r="C205" s="40" t="s">
        <v>282</v>
      </c>
      <c r="D205" s="40"/>
      <c r="E205" s="81">
        <v>46027</v>
      </c>
      <c r="F205" s="91">
        <v>22</v>
      </c>
      <c r="G205" s="91" t="s">
        <v>99</v>
      </c>
      <c r="H205" s="91"/>
    </row>
    <row r="206" spans="1:8" x14ac:dyDescent="0.45">
      <c r="A206" s="40"/>
      <c r="B206" s="40" t="s">
        <v>283</v>
      </c>
      <c r="C206" s="40" t="s">
        <v>87</v>
      </c>
      <c r="D206" s="40"/>
      <c r="E206" s="81">
        <v>46027</v>
      </c>
      <c r="F206" s="91">
        <v>15</v>
      </c>
      <c r="G206" s="91" t="s">
        <v>99</v>
      </c>
      <c r="H206" s="91"/>
    </row>
    <row r="207" spans="1:8" x14ac:dyDescent="0.45">
      <c r="A207" s="40"/>
      <c r="B207" s="40" t="s">
        <v>284</v>
      </c>
      <c r="C207" s="40" t="s">
        <v>95</v>
      </c>
      <c r="D207" s="40"/>
      <c r="E207" s="81">
        <v>46027</v>
      </c>
      <c r="F207" s="91">
        <v>10</v>
      </c>
      <c r="G207" s="91" t="s">
        <v>154</v>
      </c>
      <c r="H207" s="91"/>
    </row>
    <row r="208" spans="1:8" x14ac:dyDescent="0.45">
      <c r="A208" s="40"/>
      <c r="B208" s="40"/>
      <c r="C208" s="40" t="s">
        <v>285</v>
      </c>
      <c r="D208" s="40"/>
      <c r="E208" s="81">
        <v>46027</v>
      </c>
      <c r="F208" s="91">
        <v>13</v>
      </c>
      <c r="G208" s="91" t="s">
        <v>154</v>
      </c>
      <c r="H208" s="91"/>
    </row>
    <row r="209" spans="1:8" x14ac:dyDescent="0.45">
      <c r="A209" s="40">
        <v>1703895431</v>
      </c>
      <c r="B209" s="40" t="s">
        <v>286</v>
      </c>
      <c r="C209" s="40" t="s">
        <v>287</v>
      </c>
      <c r="D209" s="40"/>
      <c r="E209" s="81">
        <v>46027</v>
      </c>
      <c r="F209" s="91">
        <v>8</v>
      </c>
      <c r="G209" s="91"/>
      <c r="H209" s="91"/>
    </row>
    <row r="210" spans="1:8" x14ac:dyDescent="0.45">
      <c r="A210" s="40"/>
      <c r="B210" s="40" t="s">
        <v>284</v>
      </c>
      <c r="C210" s="40" t="s">
        <v>288</v>
      </c>
      <c r="D210" s="40"/>
      <c r="E210" s="81">
        <v>46027</v>
      </c>
      <c r="F210" s="91">
        <v>28</v>
      </c>
      <c r="G210" s="91" t="s">
        <v>99</v>
      </c>
      <c r="H210" s="91"/>
    </row>
    <row r="211" spans="1:8" x14ac:dyDescent="0.45">
      <c r="A211" s="56"/>
      <c r="B211" s="56" t="s">
        <v>289</v>
      </c>
      <c r="C211" s="56" t="s">
        <v>90</v>
      </c>
      <c r="D211" s="56"/>
      <c r="E211" s="99">
        <v>46028</v>
      </c>
      <c r="F211" s="100">
        <v>8</v>
      </c>
      <c r="G211" s="100" t="s">
        <v>99</v>
      </c>
      <c r="H211" s="100"/>
    </row>
    <row r="212" spans="1:8" x14ac:dyDescent="0.45">
      <c r="A212" s="56"/>
      <c r="B212" s="56" t="s">
        <v>290</v>
      </c>
      <c r="C212" s="56" t="s">
        <v>129</v>
      </c>
      <c r="D212" s="56"/>
      <c r="E212" s="99">
        <v>46028</v>
      </c>
      <c r="F212" s="100">
        <v>32</v>
      </c>
      <c r="G212" s="100" t="s">
        <v>99</v>
      </c>
      <c r="H212" s="100"/>
    </row>
    <row r="213" spans="1:8" x14ac:dyDescent="0.45">
      <c r="A213" s="56"/>
      <c r="B213" s="56"/>
      <c r="C213" s="56" t="s">
        <v>95</v>
      </c>
      <c r="D213" s="56"/>
      <c r="E213" s="99">
        <v>46028</v>
      </c>
      <c r="F213" s="100">
        <v>10</v>
      </c>
      <c r="G213" s="100" t="s">
        <v>79</v>
      </c>
      <c r="H213" s="100"/>
    </row>
    <row r="214" spans="1:8" x14ac:dyDescent="0.45">
      <c r="A214" s="56"/>
      <c r="B214" s="56"/>
      <c r="C214" s="56" t="s">
        <v>129</v>
      </c>
      <c r="D214" s="56"/>
      <c r="E214" s="99">
        <v>46028</v>
      </c>
      <c r="F214" s="100">
        <v>32</v>
      </c>
      <c r="G214" s="100" t="s">
        <v>291</v>
      </c>
      <c r="H214" s="100"/>
    </row>
    <row r="215" spans="1:8" x14ac:dyDescent="0.45">
      <c r="A215" s="40"/>
      <c r="B215" s="40"/>
      <c r="C215" s="40" t="s">
        <v>292</v>
      </c>
      <c r="D215" s="40"/>
      <c r="E215" s="81">
        <v>46029</v>
      </c>
      <c r="F215" s="91">
        <v>53</v>
      </c>
      <c r="G215" s="91" t="s">
        <v>154</v>
      </c>
      <c r="H215" s="91"/>
    </row>
    <row r="216" spans="1:8" x14ac:dyDescent="0.45">
      <c r="A216" s="40"/>
      <c r="B216" s="40"/>
      <c r="C216" s="40" t="s">
        <v>293</v>
      </c>
      <c r="D216" s="40"/>
      <c r="E216" s="81">
        <v>46029</v>
      </c>
      <c r="F216" s="91">
        <v>14</v>
      </c>
      <c r="G216" s="91" t="s">
        <v>154</v>
      </c>
      <c r="H216" s="91"/>
    </row>
    <row r="217" spans="1:8" x14ac:dyDescent="0.45">
      <c r="A217" s="40"/>
      <c r="B217" s="40"/>
      <c r="C217" s="40" t="s">
        <v>294</v>
      </c>
      <c r="D217" s="40"/>
      <c r="E217" s="81">
        <v>46029</v>
      </c>
      <c r="F217" s="91">
        <v>22</v>
      </c>
      <c r="G217" s="91" t="s">
        <v>154</v>
      </c>
      <c r="H217" s="91"/>
    </row>
    <row r="218" spans="1:8" x14ac:dyDescent="0.45">
      <c r="A218" s="40"/>
      <c r="B218" s="40"/>
      <c r="C218" s="40" t="s">
        <v>295</v>
      </c>
      <c r="D218" s="40"/>
      <c r="E218" s="81">
        <v>46029</v>
      </c>
      <c r="F218" s="91">
        <v>41</v>
      </c>
      <c r="G218" s="91" t="s">
        <v>154</v>
      </c>
      <c r="H218" s="91"/>
    </row>
    <row r="219" spans="1:8" x14ac:dyDescent="0.45">
      <c r="A219" s="40"/>
      <c r="B219" s="40" t="s">
        <v>296</v>
      </c>
      <c r="C219" s="40" t="s">
        <v>87</v>
      </c>
      <c r="D219" s="40"/>
      <c r="E219" s="81">
        <v>46029</v>
      </c>
      <c r="F219" s="91">
        <v>20</v>
      </c>
      <c r="G219" s="91" t="s">
        <v>99</v>
      </c>
      <c r="H219" s="91"/>
    </row>
    <row r="220" spans="1:8" x14ac:dyDescent="0.45">
      <c r="A220" s="40"/>
      <c r="B220" s="40" t="s">
        <v>297</v>
      </c>
      <c r="C220" s="40" t="s">
        <v>90</v>
      </c>
      <c r="D220" s="40"/>
      <c r="E220" s="81">
        <v>46029</v>
      </c>
      <c r="F220" s="91">
        <v>5</v>
      </c>
      <c r="G220" s="91" t="s">
        <v>99</v>
      </c>
      <c r="H220" s="91"/>
    </row>
    <row r="221" spans="1:8" x14ac:dyDescent="0.45">
      <c r="A221" s="40"/>
      <c r="B221" s="40"/>
      <c r="C221" s="40" t="s">
        <v>298</v>
      </c>
      <c r="D221" s="40"/>
      <c r="E221" s="81">
        <v>46029</v>
      </c>
      <c r="F221" s="91">
        <v>45</v>
      </c>
      <c r="G221" s="91" t="s">
        <v>154</v>
      </c>
      <c r="H221" s="91"/>
    </row>
    <row r="222" spans="1:8" x14ac:dyDescent="0.45">
      <c r="A222" s="56"/>
      <c r="B222" s="56" t="s">
        <v>67</v>
      </c>
      <c r="C222" s="56" t="s">
        <v>87</v>
      </c>
      <c r="D222" s="56"/>
      <c r="E222" s="99">
        <v>46030</v>
      </c>
      <c r="F222" s="100">
        <v>15</v>
      </c>
      <c r="G222" s="100" t="s">
        <v>99</v>
      </c>
      <c r="H222" s="100"/>
    </row>
    <row r="223" spans="1:8" x14ac:dyDescent="0.45">
      <c r="A223" s="56"/>
      <c r="B223" s="56" t="s">
        <v>299</v>
      </c>
      <c r="C223" s="56" t="s">
        <v>300</v>
      </c>
      <c r="D223" s="56"/>
      <c r="E223" s="99">
        <v>46030</v>
      </c>
      <c r="F223" s="100">
        <v>12</v>
      </c>
      <c r="G223" s="100" t="s">
        <v>99</v>
      </c>
      <c r="H223" s="100"/>
    </row>
    <row r="224" spans="1:8" x14ac:dyDescent="0.45">
      <c r="A224" s="40">
        <v>1722544226</v>
      </c>
      <c r="B224" s="40" t="s">
        <v>196</v>
      </c>
      <c r="C224" s="40" t="s">
        <v>301</v>
      </c>
      <c r="D224" s="40"/>
      <c r="E224" s="81">
        <v>46031</v>
      </c>
      <c r="F224" s="91">
        <v>30</v>
      </c>
      <c r="G224" s="91" t="s">
        <v>99</v>
      </c>
      <c r="H224" s="91"/>
    </row>
    <row r="225" spans="1:8" x14ac:dyDescent="0.45">
      <c r="A225" s="40"/>
      <c r="B225" s="40"/>
      <c r="C225" s="40" t="s">
        <v>95</v>
      </c>
      <c r="D225" s="40"/>
      <c r="E225" s="81">
        <v>46031</v>
      </c>
      <c r="F225" s="91">
        <v>10</v>
      </c>
      <c r="G225" s="91" t="s">
        <v>79</v>
      </c>
      <c r="H225" s="91"/>
    </row>
    <row r="226" spans="1:8" x14ac:dyDescent="0.45">
      <c r="A226" s="40"/>
      <c r="B226" s="40"/>
      <c r="C226" s="40" t="s">
        <v>302</v>
      </c>
      <c r="D226" s="40"/>
      <c r="E226" s="81">
        <v>46031</v>
      </c>
      <c r="F226" s="91">
        <v>10</v>
      </c>
      <c r="G226" s="91" t="s">
        <v>79</v>
      </c>
      <c r="H226" s="91"/>
    </row>
    <row r="227" spans="1:8" x14ac:dyDescent="0.45">
      <c r="A227" s="40">
        <v>1721946067</v>
      </c>
      <c r="B227" s="40" t="s">
        <v>303</v>
      </c>
      <c r="C227" s="40" t="s">
        <v>304</v>
      </c>
      <c r="D227" s="40"/>
      <c r="E227" s="81">
        <v>46031</v>
      </c>
      <c r="F227" s="91">
        <v>8</v>
      </c>
      <c r="G227" s="91"/>
      <c r="H227" s="91"/>
    </row>
    <row r="228" spans="1:8" x14ac:dyDescent="0.45">
      <c r="A228" s="40"/>
      <c r="B228" s="40" t="s">
        <v>305</v>
      </c>
      <c r="C228" s="40" t="s">
        <v>306</v>
      </c>
      <c r="D228" s="40"/>
      <c r="E228" s="81">
        <v>46031</v>
      </c>
      <c r="F228" s="91">
        <v>25</v>
      </c>
      <c r="G228" s="91" t="s">
        <v>96</v>
      </c>
      <c r="H228" s="91"/>
    </row>
    <row r="229" spans="1:8" x14ac:dyDescent="0.45">
      <c r="A229" s="56">
        <v>1721675153</v>
      </c>
      <c r="B229" s="56" t="s">
        <v>265</v>
      </c>
      <c r="C229" s="56" t="s">
        <v>266</v>
      </c>
      <c r="D229" s="56" t="s">
        <v>249</v>
      </c>
      <c r="E229" s="99">
        <v>45667</v>
      </c>
      <c r="F229" s="100">
        <v>10</v>
      </c>
      <c r="G229" s="100" t="s">
        <v>58</v>
      </c>
      <c r="H229" s="56">
        <v>25189365</v>
      </c>
    </row>
    <row r="230" spans="1:8" x14ac:dyDescent="0.45">
      <c r="A230" s="56"/>
      <c r="B230" s="56" t="s">
        <v>307</v>
      </c>
      <c r="C230" s="56" t="s">
        <v>266</v>
      </c>
      <c r="D230" s="56" t="s">
        <v>132</v>
      </c>
      <c r="E230" s="99">
        <v>45667</v>
      </c>
      <c r="F230" s="100">
        <v>10</v>
      </c>
      <c r="G230" s="100" t="s">
        <v>58</v>
      </c>
      <c r="H230" s="56">
        <v>25189365</v>
      </c>
    </row>
    <row r="231" spans="1:8" x14ac:dyDescent="0.45">
      <c r="A231" s="56"/>
      <c r="B231" s="56" t="s">
        <v>308</v>
      </c>
      <c r="C231" s="56" t="s">
        <v>309</v>
      </c>
      <c r="D231" s="56" t="s">
        <v>249</v>
      </c>
      <c r="E231" s="99">
        <v>45667</v>
      </c>
      <c r="F231" s="100">
        <v>15</v>
      </c>
      <c r="G231" s="100" t="s">
        <v>58</v>
      </c>
      <c r="H231" s="56">
        <v>25189365</v>
      </c>
    </row>
    <row r="232" spans="1:8" x14ac:dyDescent="0.45">
      <c r="A232" s="56">
        <v>1719893354</v>
      </c>
      <c r="B232" s="56" t="s">
        <v>310</v>
      </c>
      <c r="C232" s="56" t="s">
        <v>311</v>
      </c>
      <c r="D232" s="56" t="s">
        <v>88</v>
      </c>
      <c r="E232" s="99">
        <v>45667</v>
      </c>
      <c r="F232" s="100">
        <v>20</v>
      </c>
      <c r="G232" s="100" t="s">
        <v>133</v>
      </c>
      <c r="H232" s="56"/>
    </row>
    <row r="233" spans="1:8" x14ac:dyDescent="0.45">
      <c r="A233" s="56">
        <v>1719893354</v>
      </c>
      <c r="B233" s="56" t="s">
        <v>310</v>
      </c>
      <c r="C233" s="56" t="s">
        <v>312</v>
      </c>
      <c r="D233" s="56" t="s">
        <v>249</v>
      </c>
      <c r="E233" s="99">
        <v>45667</v>
      </c>
      <c r="F233" s="100">
        <v>12</v>
      </c>
      <c r="G233" s="100" t="s">
        <v>133</v>
      </c>
      <c r="H233" s="56"/>
    </row>
    <row r="234" spans="1:8" x14ac:dyDescent="0.45">
      <c r="A234" s="56"/>
      <c r="B234" s="56" t="s">
        <v>71</v>
      </c>
      <c r="C234" s="56" t="s">
        <v>266</v>
      </c>
      <c r="D234" s="56" t="s">
        <v>249</v>
      </c>
      <c r="E234" s="99">
        <v>45667</v>
      </c>
      <c r="F234" s="100">
        <v>10</v>
      </c>
      <c r="G234" s="100" t="s">
        <v>58</v>
      </c>
      <c r="H234" s="56"/>
    </row>
    <row r="235" spans="1:8" x14ac:dyDescent="0.45">
      <c r="A235" s="40"/>
      <c r="B235" s="40" t="s">
        <v>313</v>
      </c>
      <c r="C235" s="40" t="s">
        <v>136</v>
      </c>
      <c r="D235" s="40" t="s">
        <v>88</v>
      </c>
      <c r="E235" s="81">
        <v>46033</v>
      </c>
      <c r="F235" s="91">
        <v>15</v>
      </c>
      <c r="G235" s="91" t="s">
        <v>58</v>
      </c>
      <c r="H235" s="44">
        <v>89444950</v>
      </c>
    </row>
    <row r="236" spans="1:8" x14ac:dyDescent="0.45">
      <c r="A236" s="40">
        <v>1714789540</v>
      </c>
      <c r="B236" s="40" t="s">
        <v>314</v>
      </c>
      <c r="C236" s="40" t="s">
        <v>266</v>
      </c>
      <c r="D236" s="40" t="s">
        <v>88</v>
      </c>
      <c r="E236" s="81">
        <v>46033</v>
      </c>
      <c r="F236" s="91">
        <v>10</v>
      </c>
      <c r="G236" s="91" t="s">
        <v>133</v>
      </c>
      <c r="H236" s="44"/>
    </row>
    <row r="237" spans="1:8" x14ac:dyDescent="0.45">
      <c r="A237" s="40">
        <v>1714789540</v>
      </c>
      <c r="B237" s="40" t="s">
        <v>314</v>
      </c>
      <c r="C237" s="40" t="s">
        <v>266</v>
      </c>
      <c r="D237" s="40" t="s">
        <v>88</v>
      </c>
      <c r="E237" s="81">
        <v>46033</v>
      </c>
      <c r="F237" s="91">
        <v>10</v>
      </c>
      <c r="G237" s="91" t="s">
        <v>133</v>
      </c>
      <c r="H237" s="44"/>
    </row>
    <row r="238" spans="1:8" x14ac:dyDescent="0.45">
      <c r="A238" s="40">
        <v>1714789540</v>
      </c>
      <c r="B238" s="40" t="s">
        <v>314</v>
      </c>
      <c r="C238" s="40" t="s">
        <v>315</v>
      </c>
      <c r="D238" s="40" t="s">
        <v>249</v>
      </c>
      <c r="E238" s="81">
        <v>46033</v>
      </c>
      <c r="F238" s="91">
        <v>30</v>
      </c>
      <c r="G238" s="91" t="s">
        <v>133</v>
      </c>
      <c r="H238" s="91"/>
    </row>
    <row r="239" spans="1:8" x14ac:dyDescent="0.45">
      <c r="A239" s="40">
        <v>1715315907</v>
      </c>
      <c r="B239" s="40" t="s">
        <v>316</v>
      </c>
      <c r="C239" s="40" t="s">
        <v>266</v>
      </c>
      <c r="D239" s="40" t="s">
        <v>88</v>
      </c>
      <c r="E239" s="81">
        <v>46033</v>
      </c>
      <c r="F239" s="91">
        <v>10</v>
      </c>
      <c r="G239" s="91" t="s">
        <v>58</v>
      </c>
      <c r="H239" s="44">
        <v>111734282</v>
      </c>
    </row>
    <row r="240" spans="1:8" x14ac:dyDescent="0.45">
      <c r="A240" s="40">
        <v>1715315907</v>
      </c>
      <c r="B240" s="40" t="s">
        <v>316</v>
      </c>
      <c r="C240" s="40" t="s">
        <v>266</v>
      </c>
      <c r="D240" s="40" t="s">
        <v>249</v>
      </c>
      <c r="E240" s="81">
        <v>46033</v>
      </c>
      <c r="F240" s="91">
        <v>10</v>
      </c>
      <c r="G240" s="91" t="s">
        <v>58</v>
      </c>
      <c r="H240" s="44">
        <v>111734282</v>
      </c>
    </row>
    <row r="241" spans="1:8" x14ac:dyDescent="0.45">
      <c r="A241" s="56"/>
      <c r="B241" s="56"/>
      <c r="C241" s="56" t="s">
        <v>317</v>
      </c>
      <c r="D241" s="56"/>
      <c r="E241" s="99">
        <v>46034</v>
      </c>
      <c r="F241" s="100">
        <v>13</v>
      </c>
      <c r="G241" s="100" t="s">
        <v>154</v>
      </c>
      <c r="H241" s="100"/>
    </row>
    <row r="242" spans="1:8" x14ac:dyDescent="0.45">
      <c r="A242" s="40"/>
      <c r="B242" s="40"/>
      <c r="C242" s="40" t="s">
        <v>318</v>
      </c>
      <c r="D242" s="40"/>
      <c r="E242" s="81">
        <v>46035</v>
      </c>
      <c r="F242" s="91">
        <v>10</v>
      </c>
      <c r="G242" s="91" t="s">
        <v>79</v>
      </c>
      <c r="H242" s="91"/>
    </row>
    <row r="243" spans="1:8" x14ac:dyDescent="0.45">
      <c r="A243" s="40"/>
      <c r="B243" s="40"/>
      <c r="C243" s="40" t="s">
        <v>318</v>
      </c>
      <c r="D243" s="40"/>
      <c r="E243" s="81">
        <v>46035</v>
      </c>
      <c r="F243" s="91">
        <v>10</v>
      </c>
      <c r="G243" s="91" t="s">
        <v>79</v>
      </c>
      <c r="H243" s="91"/>
    </row>
    <row r="244" spans="1:8" x14ac:dyDescent="0.45">
      <c r="A244" s="56"/>
      <c r="B244" s="56" t="s">
        <v>319</v>
      </c>
      <c r="C244" s="56" t="s">
        <v>320</v>
      </c>
      <c r="D244" s="56"/>
      <c r="E244" s="99">
        <v>46036</v>
      </c>
      <c r="F244" s="100">
        <v>15</v>
      </c>
      <c r="G244" s="100" t="s">
        <v>99</v>
      </c>
      <c r="H244" s="100"/>
    </row>
    <row r="245" spans="1:8" x14ac:dyDescent="0.45">
      <c r="A245" s="56"/>
      <c r="B245" s="56"/>
      <c r="C245" s="56" t="s">
        <v>153</v>
      </c>
      <c r="D245" s="56"/>
      <c r="E245" s="99">
        <v>46036</v>
      </c>
      <c r="F245" s="100">
        <v>12</v>
      </c>
      <c r="G245" s="100" t="s">
        <v>154</v>
      </c>
      <c r="H245" s="100"/>
    </row>
    <row r="246" spans="1:8" x14ac:dyDescent="0.45">
      <c r="A246" s="40"/>
      <c r="B246" s="40" t="s">
        <v>321</v>
      </c>
      <c r="C246" s="40" t="s">
        <v>322</v>
      </c>
      <c r="D246" s="40"/>
      <c r="E246" s="81">
        <v>46037</v>
      </c>
      <c r="F246" s="91">
        <v>20</v>
      </c>
      <c r="G246" s="91" t="s">
        <v>99</v>
      </c>
      <c r="H246" s="91"/>
    </row>
    <row r="247" spans="1:8" x14ac:dyDescent="0.45">
      <c r="A247" s="40"/>
      <c r="B247" s="40"/>
      <c r="C247" s="40" t="s">
        <v>323</v>
      </c>
      <c r="D247" s="40"/>
      <c r="E247" s="81">
        <v>46037</v>
      </c>
      <c r="F247" s="91">
        <v>23</v>
      </c>
      <c r="G247" s="91" t="s">
        <v>99</v>
      </c>
      <c r="H247" s="91"/>
    </row>
    <row r="248" spans="1:8" x14ac:dyDescent="0.45">
      <c r="A248" s="40"/>
      <c r="B248" s="40"/>
      <c r="C248" s="40" t="s">
        <v>324</v>
      </c>
      <c r="D248" s="40"/>
      <c r="E248" s="81">
        <v>46037</v>
      </c>
      <c r="F248" s="91">
        <v>20</v>
      </c>
      <c r="G248" s="91" t="s">
        <v>99</v>
      </c>
      <c r="H248" s="91"/>
    </row>
    <row r="249" spans="1:8" x14ac:dyDescent="0.45">
      <c r="A249" s="56"/>
      <c r="B249" s="56"/>
      <c r="C249" s="56" t="s">
        <v>325</v>
      </c>
      <c r="D249" s="56"/>
      <c r="E249" s="99">
        <v>46038</v>
      </c>
      <c r="F249" s="100">
        <v>30</v>
      </c>
      <c r="G249" s="100" t="s">
        <v>96</v>
      </c>
      <c r="H249" s="100"/>
    </row>
    <row r="250" spans="1:8" x14ac:dyDescent="0.45">
      <c r="A250" s="56"/>
      <c r="B250" s="56"/>
      <c r="C250" s="56" t="s">
        <v>326</v>
      </c>
      <c r="D250" s="56"/>
      <c r="E250" s="99">
        <v>46038</v>
      </c>
      <c r="F250" s="100">
        <v>18</v>
      </c>
      <c r="G250" s="100" t="s">
        <v>79</v>
      </c>
      <c r="H250" s="100"/>
    </row>
    <row r="251" spans="1:8" x14ac:dyDescent="0.45">
      <c r="A251" s="56"/>
      <c r="B251" s="56" t="s">
        <v>152</v>
      </c>
      <c r="C251" s="56" t="s">
        <v>327</v>
      </c>
      <c r="D251" s="56"/>
      <c r="E251" s="99">
        <v>46038</v>
      </c>
      <c r="F251" s="100">
        <v>25</v>
      </c>
      <c r="G251" s="100" t="s">
        <v>99</v>
      </c>
      <c r="H251" s="100"/>
    </row>
    <row r="252" spans="1:8" x14ac:dyDescent="0.45">
      <c r="A252" s="56"/>
      <c r="B252" s="56" t="s">
        <v>152</v>
      </c>
      <c r="C252" s="56" t="s">
        <v>327</v>
      </c>
      <c r="D252" s="56"/>
      <c r="E252" s="99">
        <v>46038</v>
      </c>
      <c r="F252" s="100">
        <v>25</v>
      </c>
      <c r="G252" s="100" t="s">
        <v>328</v>
      </c>
      <c r="H252" s="100"/>
    </row>
    <row r="253" spans="1:8" x14ac:dyDescent="0.45">
      <c r="A253" s="56"/>
      <c r="B253" s="56"/>
      <c r="C253" s="56" t="s">
        <v>327</v>
      </c>
      <c r="D253" s="56"/>
      <c r="E253" s="99">
        <v>46038</v>
      </c>
      <c r="F253" s="100">
        <v>25</v>
      </c>
      <c r="G253" s="100" t="s">
        <v>328</v>
      </c>
      <c r="H253" s="100"/>
    </row>
    <row r="254" spans="1:8" x14ac:dyDescent="0.45">
      <c r="A254" s="40">
        <v>1723127823</v>
      </c>
      <c r="B254" s="40" t="s">
        <v>329</v>
      </c>
      <c r="C254" s="40" t="s">
        <v>330</v>
      </c>
      <c r="D254" s="40" t="s">
        <v>88</v>
      </c>
      <c r="E254" s="81">
        <v>46039</v>
      </c>
      <c r="F254" s="91">
        <f>15+16</f>
        <v>31</v>
      </c>
      <c r="G254" s="91" t="s">
        <v>133</v>
      </c>
      <c r="H254" s="101"/>
    </row>
    <row r="255" spans="1:8" x14ac:dyDescent="0.45">
      <c r="A255" s="40">
        <v>1721946067</v>
      </c>
      <c r="B255" s="40" t="s">
        <v>74</v>
      </c>
      <c r="C255" s="40" t="s">
        <v>331</v>
      </c>
      <c r="D255" s="40" t="s">
        <v>249</v>
      </c>
      <c r="E255" s="81">
        <v>46039</v>
      </c>
      <c r="F255" s="91">
        <v>16</v>
      </c>
      <c r="G255" s="91" t="s">
        <v>58</v>
      </c>
      <c r="H255" s="101"/>
    </row>
    <row r="256" spans="1:8" x14ac:dyDescent="0.45">
      <c r="A256" s="40"/>
      <c r="B256" s="40" t="s">
        <v>332</v>
      </c>
      <c r="C256" s="40" t="s">
        <v>311</v>
      </c>
      <c r="D256" s="40" t="s">
        <v>249</v>
      </c>
      <c r="E256" s="81">
        <v>46039</v>
      </c>
      <c r="F256" s="91">
        <v>20</v>
      </c>
      <c r="G256" s="91" t="s">
        <v>58</v>
      </c>
      <c r="H256" s="101">
        <v>30012902</v>
      </c>
    </row>
    <row r="257" spans="1:8" x14ac:dyDescent="0.45">
      <c r="A257" s="40"/>
      <c r="B257" s="40" t="s">
        <v>333</v>
      </c>
      <c r="C257" s="40" t="s">
        <v>334</v>
      </c>
      <c r="D257" s="40" t="s">
        <v>88</v>
      </c>
      <c r="E257" s="81">
        <v>46039</v>
      </c>
      <c r="F257" s="91">
        <v>30</v>
      </c>
      <c r="G257" s="91" t="s">
        <v>58</v>
      </c>
      <c r="H257" s="101">
        <v>35398833</v>
      </c>
    </row>
    <row r="258" spans="1:8" x14ac:dyDescent="0.45">
      <c r="A258" s="40"/>
      <c r="B258" s="40" t="s">
        <v>335</v>
      </c>
      <c r="C258" s="40" t="s">
        <v>336</v>
      </c>
      <c r="D258" s="40" t="s">
        <v>88</v>
      </c>
      <c r="E258" s="81">
        <v>46039</v>
      </c>
      <c r="F258" s="91">
        <v>10</v>
      </c>
      <c r="G258" s="91" t="s">
        <v>58</v>
      </c>
      <c r="H258" s="101">
        <v>32946009</v>
      </c>
    </row>
    <row r="259" spans="1:8" x14ac:dyDescent="0.45">
      <c r="A259" s="40"/>
      <c r="B259" s="40" t="s">
        <v>335</v>
      </c>
      <c r="C259" s="40" t="s">
        <v>337</v>
      </c>
      <c r="D259" s="40" t="s">
        <v>249</v>
      </c>
      <c r="E259" s="81">
        <v>46039</v>
      </c>
      <c r="F259" s="91">
        <v>15</v>
      </c>
      <c r="G259" s="91" t="s">
        <v>58</v>
      </c>
      <c r="H259" s="101">
        <v>32946009</v>
      </c>
    </row>
    <row r="260" spans="1:8" x14ac:dyDescent="0.45">
      <c r="A260" s="40"/>
      <c r="B260" s="40" t="s">
        <v>338</v>
      </c>
      <c r="C260" s="40" t="s">
        <v>339</v>
      </c>
      <c r="D260" s="40" t="s">
        <v>249</v>
      </c>
      <c r="E260" s="81">
        <v>46039</v>
      </c>
      <c r="F260" s="91">
        <v>25</v>
      </c>
      <c r="G260" s="91" t="s">
        <v>58</v>
      </c>
      <c r="H260" s="101">
        <v>39549110</v>
      </c>
    </row>
    <row r="261" spans="1:8" x14ac:dyDescent="0.45">
      <c r="A261" s="40"/>
      <c r="B261" s="40" t="s">
        <v>340</v>
      </c>
      <c r="C261" s="40" t="s">
        <v>341</v>
      </c>
      <c r="D261" s="40" t="s">
        <v>88</v>
      </c>
      <c r="E261" s="81">
        <v>46039</v>
      </c>
      <c r="F261" s="91">
        <v>23</v>
      </c>
      <c r="G261" s="91" t="s">
        <v>133</v>
      </c>
      <c r="H261" s="101"/>
    </row>
    <row r="262" spans="1:8" x14ac:dyDescent="0.45">
      <c r="A262" s="40"/>
      <c r="B262" s="40" t="s">
        <v>340</v>
      </c>
      <c r="C262" s="40" t="s">
        <v>266</v>
      </c>
      <c r="D262" s="40" t="s">
        <v>249</v>
      </c>
      <c r="E262" s="81">
        <v>46039</v>
      </c>
      <c r="F262" s="91">
        <v>10</v>
      </c>
      <c r="G262" s="91" t="s">
        <v>133</v>
      </c>
      <c r="H262" s="101"/>
    </row>
    <row r="263" spans="1:8" x14ac:dyDescent="0.45">
      <c r="A263" s="40"/>
      <c r="B263" s="40" t="s">
        <v>342</v>
      </c>
      <c r="C263" s="40" t="s">
        <v>343</v>
      </c>
      <c r="D263" s="40" t="s">
        <v>88</v>
      </c>
      <c r="E263" s="81">
        <v>46039</v>
      </c>
      <c r="F263" s="91">
        <v>20</v>
      </c>
      <c r="G263" s="91" t="s">
        <v>58</v>
      </c>
      <c r="H263" s="101">
        <v>52251421</v>
      </c>
    </row>
    <row r="264" spans="1:8" x14ac:dyDescent="0.45">
      <c r="A264" s="40"/>
      <c r="B264" s="40" t="s">
        <v>344</v>
      </c>
      <c r="C264" s="40" t="s">
        <v>345</v>
      </c>
      <c r="D264" s="40" t="s">
        <v>249</v>
      </c>
      <c r="E264" s="81">
        <v>46039</v>
      </c>
      <c r="F264" s="91">
        <v>18</v>
      </c>
      <c r="G264" s="91" t="s">
        <v>55</v>
      </c>
      <c r="H264" s="101"/>
    </row>
    <row r="265" spans="1:8" x14ac:dyDescent="0.45">
      <c r="A265" s="40"/>
      <c r="B265" s="40" t="s">
        <v>144</v>
      </c>
      <c r="C265" s="40" t="s">
        <v>346</v>
      </c>
      <c r="D265" s="40" t="s">
        <v>249</v>
      </c>
      <c r="E265" s="81">
        <v>46039</v>
      </c>
      <c r="F265" s="91">
        <v>10</v>
      </c>
      <c r="G265" s="91" t="s">
        <v>58</v>
      </c>
      <c r="H265" s="101">
        <v>55350816</v>
      </c>
    </row>
    <row r="266" spans="1:8" x14ac:dyDescent="0.45">
      <c r="A266" s="40"/>
      <c r="B266" s="40" t="s">
        <v>347</v>
      </c>
      <c r="C266" s="40" t="s">
        <v>348</v>
      </c>
      <c r="D266" s="40" t="s">
        <v>88</v>
      </c>
      <c r="E266" s="81">
        <v>46039</v>
      </c>
      <c r="F266" s="91">
        <v>17</v>
      </c>
      <c r="G266" s="91" t="s">
        <v>133</v>
      </c>
      <c r="H266" s="101"/>
    </row>
    <row r="267" spans="1:8" x14ac:dyDescent="0.45">
      <c r="A267" s="56"/>
      <c r="B267" s="56" t="s">
        <v>349</v>
      </c>
      <c r="C267" s="56" t="s">
        <v>350</v>
      </c>
      <c r="D267" s="56" t="s">
        <v>88</v>
      </c>
      <c r="E267" s="99">
        <v>46040</v>
      </c>
      <c r="F267" s="100">
        <v>32</v>
      </c>
      <c r="G267" s="100" t="s">
        <v>58</v>
      </c>
      <c r="H267" s="102">
        <v>91461525</v>
      </c>
    </row>
    <row r="268" spans="1:8" x14ac:dyDescent="0.45">
      <c r="A268" s="56">
        <v>1718017302</v>
      </c>
      <c r="B268" s="56" t="s">
        <v>351</v>
      </c>
      <c r="C268" s="56" t="s">
        <v>352</v>
      </c>
      <c r="D268" s="56" t="s">
        <v>249</v>
      </c>
      <c r="E268" s="99">
        <v>46040</v>
      </c>
      <c r="F268" s="100">
        <v>39</v>
      </c>
      <c r="G268" s="100" t="s">
        <v>58</v>
      </c>
      <c r="H268" s="102">
        <v>105098809</v>
      </c>
    </row>
    <row r="269" spans="1:8" x14ac:dyDescent="0.45">
      <c r="A269" s="57"/>
      <c r="B269" s="57" t="s">
        <v>144</v>
      </c>
      <c r="C269" s="57" t="s">
        <v>346</v>
      </c>
      <c r="D269" s="57" t="s">
        <v>249</v>
      </c>
      <c r="E269" s="103">
        <v>46041</v>
      </c>
      <c r="F269" s="104">
        <v>10</v>
      </c>
      <c r="G269" s="104" t="s">
        <v>58</v>
      </c>
      <c r="H269" s="105">
        <v>55350816</v>
      </c>
    </row>
    <row r="270" spans="1:8" x14ac:dyDescent="0.45">
      <c r="A270" s="57"/>
      <c r="B270" s="57" t="s">
        <v>347</v>
      </c>
      <c r="C270" s="57" t="s">
        <v>348</v>
      </c>
      <c r="D270" s="57" t="s">
        <v>88</v>
      </c>
      <c r="E270" s="103">
        <v>46041</v>
      </c>
      <c r="F270" s="104">
        <v>17</v>
      </c>
      <c r="G270" s="104" t="s">
        <v>133</v>
      </c>
      <c r="H270" s="105"/>
    </row>
    <row r="271" spans="1:8" x14ac:dyDescent="0.45">
      <c r="A271" s="56"/>
      <c r="B271" s="56" t="s">
        <v>353</v>
      </c>
      <c r="C271" s="56" t="s">
        <v>95</v>
      </c>
      <c r="D271" s="56"/>
      <c r="E271" s="99">
        <v>46042</v>
      </c>
      <c r="F271" s="100">
        <v>10</v>
      </c>
      <c r="G271" s="100" t="s">
        <v>99</v>
      </c>
      <c r="H271" s="100"/>
    </row>
    <row r="272" spans="1:8" x14ac:dyDescent="0.45">
      <c r="A272" s="56"/>
      <c r="B272" s="56"/>
      <c r="C272" s="56" t="s">
        <v>354</v>
      </c>
      <c r="D272" s="56"/>
      <c r="E272" s="99">
        <v>46042</v>
      </c>
      <c r="F272" s="100">
        <v>18</v>
      </c>
      <c r="G272" s="100"/>
      <c r="H272" s="100"/>
    </row>
    <row r="273" spans="1:8" x14ac:dyDescent="0.45">
      <c r="A273" s="40"/>
      <c r="B273" s="40"/>
      <c r="C273" s="40" t="s">
        <v>355</v>
      </c>
      <c r="D273" s="40"/>
      <c r="E273" s="81">
        <v>46043</v>
      </c>
      <c r="F273" s="91">
        <v>4</v>
      </c>
      <c r="G273" s="91" t="s">
        <v>79</v>
      </c>
      <c r="H273" s="91"/>
    </row>
    <row r="274" spans="1:8" x14ac:dyDescent="0.45">
      <c r="A274" s="40"/>
      <c r="B274" s="40"/>
      <c r="C274" s="40" t="s">
        <v>102</v>
      </c>
      <c r="D274" s="40"/>
      <c r="E274" s="81">
        <v>46043</v>
      </c>
      <c r="F274" s="91">
        <v>16</v>
      </c>
      <c r="G274" s="91" t="s">
        <v>99</v>
      </c>
      <c r="H274" s="91"/>
    </row>
    <row r="275" spans="1:8" x14ac:dyDescent="0.45">
      <c r="A275" s="40"/>
      <c r="B275" s="40"/>
      <c r="C275" s="40" t="s">
        <v>107</v>
      </c>
      <c r="D275" s="40"/>
      <c r="E275" s="81">
        <v>46043</v>
      </c>
      <c r="F275" s="91">
        <v>20</v>
      </c>
      <c r="G275" s="91" t="s">
        <v>99</v>
      </c>
      <c r="H275" s="91"/>
    </row>
    <row r="276" spans="1:8" x14ac:dyDescent="0.45">
      <c r="A276" s="40"/>
      <c r="B276" s="40"/>
      <c r="C276" s="40" t="s">
        <v>356</v>
      </c>
      <c r="D276" s="40"/>
      <c r="E276" s="81">
        <v>46043</v>
      </c>
      <c r="F276" s="91">
        <v>23</v>
      </c>
      <c r="G276" s="91" t="s">
        <v>154</v>
      </c>
      <c r="H276" s="91"/>
    </row>
    <row r="277" spans="1:8" x14ac:dyDescent="0.45">
      <c r="A277" s="40"/>
      <c r="B277" s="40"/>
      <c r="C277" s="40" t="s">
        <v>87</v>
      </c>
      <c r="D277" s="40"/>
      <c r="E277" s="81">
        <v>46043</v>
      </c>
      <c r="F277" s="91">
        <v>15</v>
      </c>
      <c r="G277" s="91" t="s">
        <v>99</v>
      </c>
      <c r="H277" s="91"/>
    </row>
    <row r="278" spans="1:8" x14ac:dyDescent="0.45">
      <c r="A278" s="40"/>
      <c r="B278" s="40"/>
      <c r="C278" s="40" t="s">
        <v>87</v>
      </c>
      <c r="D278" s="40"/>
      <c r="E278" s="81">
        <v>46043</v>
      </c>
      <c r="F278" s="91">
        <v>15</v>
      </c>
      <c r="G278" s="91" t="s">
        <v>99</v>
      </c>
      <c r="H278" s="91"/>
    </row>
    <row r="279" spans="1:8" x14ac:dyDescent="0.45">
      <c r="A279" s="40"/>
      <c r="B279" s="40"/>
      <c r="C279" s="40" t="s">
        <v>357</v>
      </c>
      <c r="D279" s="40"/>
      <c r="E279" s="81">
        <v>46043</v>
      </c>
      <c r="F279" s="91">
        <v>6</v>
      </c>
      <c r="G279" s="91"/>
      <c r="H279" s="91"/>
    </row>
    <row r="280" spans="1:8" x14ac:dyDescent="0.45">
      <c r="A280" s="56"/>
      <c r="B280" s="56" t="s">
        <v>358</v>
      </c>
      <c r="C280" s="56" t="s">
        <v>359</v>
      </c>
      <c r="D280" s="56"/>
      <c r="E280" s="99">
        <v>46044</v>
      </c>
      <c r="F280" s="100">
        <v>5</v>
      </c>
      <c r="G280" s="100" t="s">
        <v>99</v>
      </c>
      <c r="H280" s="100"/>
    </row>
    <row r="281" spans="1:8" x14ac:dyDescent="0.45">
      <c r="A281" s="40"/>
      <c r="B281" s="40" t="s">
        <v>360</v>
      </c>
      <c r="C281" s="40" t="s">
        <v>87</v>
      </c>
      <c r="D281" s="40"/>
      <c r="E281" s="81">
        <v>46045</v>
      </c>
      <c r="F281" s="91">
        <v>15</v>
      </c>
      <c r="G281" s="91" t="s">
        <v>99</v>
      </c>
      <c r="H281" s="91"/>
    </row>
    <row r="282" spans="1:8" x14ac:dyDescent="0.45">
      <c r="A282" s="40"/>
      <c r="B282" s="40" t="s">
        <v>361</v>
      </c>
      <c r="C282" s="40" t="s">
        <v>95</v>
      </c>
      <c r="D282" s="40"/>
      <c r="E282" s="81">
        <v>46045</v>
      </c>
      <c r="F282" s="91">
        <v>10</v>
      </c>
      <c r="G282" s="91" t="s">
        <v>99</v>
      </c>
      <c r="H282" s="91"/>
    </row>
    <row r="283" spans="1:8" x14ac:dyDescent="0.45">
      <c r="A283" s="40"/>
      <c r="B283" s="40" t="s">
        <v>361</v>
      </c>
      <c r="C283" s="40" t="s">
        <v>362</v>
      </c>
      <c r="D283" s="40"/>
      <c r="E283" s="81">
        <v>46045</v>
      </c>
      <c r="F283" s="91">
        <v>6</v>
      </c>
      <c r="G283" s="91" t="s">
        <v>99</v>
      </c>
      <c r="H283" s="91"/>
    </row>
    <row r="284" spans="1:8" x14ac:dyDescent="0.45">
      <c r="A284" s="40"/>
      <c r="B284" s="40"/>
      <c r="C284" s="40" t="s">
        <v>87</v>
      </c>
      <c r="D284" s="40"/>
      <c r="E284" s="81">
        <v>46045</v>
      </c>
      <c r="F284" s="91">
        <v>15</v>
      </c>
      <c r="G284" s="91" t="s">
        <v>99</v>
      </c>
      <c r="H284" s="91"/>
    </row>
    <row r="285" spans="1:8" x14ac:dyDescent="0.45">
      <c r="A285" s="40"/>
      <c r="B285" s="40"/>
      <c r="C285" s="40" t="s">
        <v>363</v>
      </c>
      <c r="D285" s="40"/>
      <c r="E285" s="81">
        <v>46045</v>
      </c>
      <c r="F285" s="91">
        <v>15</v>
      </c>
      <c r="G285" s="91" t="s">
        <v>154</v>
      </c>
      <c r="H285" s="91"/>
    </row>
    <row r="286" spans="1:8" x14ac:dyDescent="0.45">
      <c r="A286" s="40"/>
      <c r="B286" s="40"/>
      <c r="C286" s="40" t="s">
        <v>354</v>
      </c>
      <c r="D286" s="40"/>
      <c r="E286" s="81">
        <v>46045</v>
      </c>
      <c r="F286" s="91">
        <v>18</v>
      </c>
      <c r="G286" s="91" t="s">
        <v>99</v>
      </c>
      <c r="H286" s="91"/>
    </row>
    <row r="287" spans="1:8" x14ac:dyDescent="0.45">
      <c r="A287" s="56">
        <v>1759725292</v>
      </c>
      <c r="B287" s="56" t="s">
        <v>364</v>
      </c>
      <c r="C287" s="56" t="s">
        <v>365</v>
      </c>
      <c r="D287" s="56" t="s">
        <v>249</v>
      </c>
      <c r="E287" s="99">
        <v>46046</v>
      </c>
      <c r="F287" s="100">
        <f>15+5</f>
        <v>20</v>
      </c>
      <c r="G287" s="100" t="s">
        <v>58</v>
      </c>
      <c r="H287" s="102">
        <v>30827046</v>
      </c>
    </row>
    <row r="288" spans="1:8" x14ac:dyDescent="0.45">
      <c r="A288" s="56">
        <v>1759725292</v>
      </c>
      <c r="B288" s="56" t="s">
        <v>364</v>
      </c>
      <c r="C288" s="56" t="s">
        <v>366</v>
      </c>
      <c r="D288" s="56" t="s">
        <v>88</v>
      </c>
      <c r="E288" s="99">
        <v>46046</v>
      </c>
      <c r="F288" s="100">
        <f>16+5</f>
        <v>21</v>
      </c>
      <c r="G288" s="100" t="s">
        <v>58</v>
      </c>
      <c r="H288" s="102">
        <v>30827046</v>
      </c>
    </row>
    <row r="289" spans="1:8" x14ac:dyDescent="0.45">
      <c r="A289" s="56"/>
      <c r="B289" s="56" t="s">
        <v>367</v>
      </c>
      <c r="C289" s="56" t="s">
        <v>368</v>
      </c>
      <c r="D289" s="56" t="s">
        <v>88</v>
      </c>
      <c r="E289" s="99">
        <v>46046</v>
      </c>
      <c r="F289" s="100">
        <v>18</v>
      </c>
      <c r="G289" s="100" t="s">
        <v>58</v>
      </c>
      <c r="H289" s="102">
        <v>34897605</v>
      </c>
    </row>
    <row r="290" spans="1:8" x14ac:dyDescent="0.45">
      <c r="A290" s="56"/>
      <c r="B290" s="56" t="s">
        <v>367</v>
      </c>
      <c r="C290" s="56" t="s">
        <v>369</v>
      </c>
      <c r="D290" s="56" t="s">
        <v>249</v>
      </c>
      <c r="E290" s="99">
        <v>46046</v>
      </c>
      <c r="F290" s="100">
        <f>12+1</f>
        <v>13</v>
      </c>
      <c r="G290" s="100" t="s">
        <v>58</v>
      </c>
      <c r="H290" s="102">
        <v>34897605</v>
      </c>
    </row>
    <row r="291" spans="1:8" x14ac:dyDescent="0.45">
      <c r="A291" s="56"/>
      <c r="B291" s="56" t="s">
        <v>147</v>
      </c>
      <c r="C291" s="56" t="s">
        <v>287</v>
      </c>
      <c r="D291" s="56" t="s">
        <v>88</v>
      </c>
      <c r="E291" s="99">
        <v>46046</v>
      </c>
      <c r="F291" s="100">
        <v>10</v>
      </c>
      <c r="G291" s="100" t="s">
        <v>58</v>
      </c>
      <c r="H291" s="100"/>
    </row>
    <row r="292" spans="1:8" x14ac:dyDescent="0.45">
      <c r="A292" s="56"/>
      <c r="B292" s="56" t="s">
        <v>370</v>
      </c>
      <c r="C292" s="56" t="s">
        <v>270</v>
      </c>
      <c r="D292" s="56" t="s">
        <v>249</v>
      </c>
      <c r="E292" s="99">
        <v>46046</v>
      </c>
      <c r="F292" s="100">
        <v>10</v>
      </c>
      <c r="G292" s="100" t="s">
        <v>58</v>
      </c>
      <c r="H292" s="100" t="s">
        <v>371</v>
      </c>
    </row>
    <row r="293" spans="1:8" x14ac:dyDescent="0.45">
      <c r="A293" s="40"/>
      <c r="B293" s="40" t="s">
        <v>372</v>
      </c>
      <c r="C293" s="40" t="s">
        <v>373</v>
      </c>
      <c r="D293" s="40" t="s">
        <v>88</v>
      </c>
      <c r="E293" s="81">
        <v>46047</v>
      </c>
      <c r="F293" s="91">
        <f>10+10+8</f>
        <v>28</v>
      </c>
      <c r="G293" s="91" t="s">
        <v>58</v>
      </c>
      <c r="H293" s="101">
        <v>80989720</v>
      </c>
    </row>
    <row r="294" spans="1:8" x14ac:dyDescent="0.45">
      <c r="A294" s="40">
        <v>1712514031</v>
      </c>
      <c r="B294" s="40" t="s">
        <v>374</v>
      </c>
      <c r="C294" s="40" t="s">
        <v>270</v>
      </c>
      <c r="D294" s="40" t="s">
        <v>88</v>
      </c>
      <c r="E294" s="81">
        <v>46047</v>
      </c>
      <c r="F294" s="91">
        <v>10</v>
      </c>
      <c r="G294" s="91" t="s">
        <v>58</v>
      </c>
      <c r="H294" s="101">
        <v>84678920</v>
      </c>
    </row>
    <row r="295" spans="1:8" x14ac:dyDescent="0.45">
      <c r="A295" s="40">
        <v>1721946067</v>
      </c>
      <c r="B295" s="40" t="s">
        <v>74</v>
      </c>
      <c r="C295" s="40" t="s">
        <v>270</v>
      </c>
      <c r="D295" s="40" t="s">
        <v>88</v>
      </c>
      <c r="E295" s="81">
        <v>46047</v>
      </c>
      <c r="F295" s="91">
        <v>10</v>
      </c>
      <c r="G295" s="91" t="s">
        <v>96</v>
      </c>
      <c r="H295" s="91" t="s">
        <v>375</v>
      </c>
    </row>
    <row r="296" spans="1:8" x14ac:dyDescent="0.45">
      <c r="A296" s="40">
        <v>1718346016</v>
      </c>
      <c r="B296" s="40" t="s">
        <v>376</v>
      </c>
      <c r="C296" s="40" t="s">
        <v>377</v>
      </c>
      <c r="D296" s="40" t="s">
        <v>88</v>
      </c>
      <c r="E296" s="81">
        <v>46047</v>
      </c>
      <c r="F296" s="91">
        <f>10+15+16+10</f>
        <v>51</v>
      </c>
      <c r="G296" s="91" t="s">
        <v>58</v>
      </c>
      <c r="H296" s="101">
        <v>95218687</v>
      </c>
    </row>
    <row r="297" spans="1:8" x14ac:dyDescent="0.45">
      <c r="A297" s="40">
        <v>1714061981</v>
      </c>
      <c r="B297" s="40" t="s">
        <v>332</v>
      </c>
      <c r="C297" s="40" t="s">
        <v>378</v>
      </c>
      <c r="D297" s="40" t="s">
        <v>88</v>
      </c>
      <c r="E297" s="81">
        <v>46047</v>
      </c>
      <c r="F297" s="91">
        <v>15</v>
      </c>
      <c r="G297" s="91" t="s">
        <v>58</v>
      </c>
      <c r="H297" s="101">
        <v>97248733</v>
      </c>
    </row>
    <row r="298" spans="1:8" x14ac:dyDescent="0.45">
      <c r="A298" s="56">
        <v>1707963227</v>
      </c>
      <c r="B298" s="56" t="s">
        <v>77</v>
      </c>
      <c r="C298" s="56" t="s">
        <v>87</v>
      </c>
      <c r="D298" s="56"/>
      <c r="E298" s="99">
        <v>46048</v>
      </c>
      <c r="F298" s="100">
        <v>15</v>
      </c>
      <c r="G298" s="100" t="s">
        <v>99</v>
      </c>
      <c r="H298" s="100"/>
    </row>
    <row r="299" spans="1:8" x14ac:dyDescent="0.45">
      <c r="A299" s="56">
        <v>1707963227</v>
      </c>
      <c r="B299" s="56" t="s">
        <v>77</v>
      </c>
      <c r="C299" s="56" t="s">
        <v>184</v>
      </c>
      <c r="D299" s="56"/>
      <c r="E299" s="99">
        <v>46048</v>
      </c>
      <c r="F299" s="100">
        <v>10</v>
      </c>
      <c r="G299" s="100" t="s">
        <v>99</v>
      </c>
      <c r="H299" s="100"/>
    </row>
    <row r="300" spans="1:8" x14ac:dyDescent="0.45">
      <c r="A300" s="40"/>
      <c r="B300" s="40" t="s">
        <v>379</v>
      </c>
      <c r="C300" s="40" t="s">
        <v>107</v>
      </c>
      <c r="D300" s="40"/>
      <c r="E300" s="81">
        <v>46049</v>
      </c>
      <c r="F300" s="91">
        <v>20</v>
      </c>
      <c r="G300" s="91" t="s">
        <v>99</v>
      </c>
      <c r="H300" s="91"/>
    </row>
    <row r="301" spans="1:8" x14ac:dyDescent="0.45">
      <c r="A301" s="40"/>
      <c r="B301" s="40" t="s">
        <v>380</v>
      </c>
      <c r="C301" s="40" t="s">
        <v>381</v>
      </c>
      <c r="D301" s="40"/>
      <c r="E301" s="81">
        <v>46049</v>
      </c>
      <c r="F301" s="91">
        <v>30</v>
      </c>
      <c r="G301" s="91" t="s">
        <v>96</v>
      </c>
      <c r="H301" s="91"/>
    </row>
    <row r="302" spans="1:8" x14ac:dyDescent="0.45">
      <c r="A302" s="40"/>
      <c r="B302" s="40" t="s">
        <v>380</v>
      </c>
      <c r="C302" s="40" t="s">
        <v>382</v>
      </c>
      <c r="D302" s="40"/>
      <c r="E302" s="81">
        <v>46049</v>
      </c>
      <c r="F302" s="91">
        <v>15</v>
      </c>
      <c r="G302" s="91" t="s">
        <v>96</v>
      </c>
      <c r="H302" s="91"/>
    </row>
    <row r="303" spans="1:8" x14ac:dyDescent="0.45">
      <c r="A303" s="40"/>
      <c r="B303" s="40" t="s">
        <v>380</v>
      </c>
      <c r="C303" s="40" t="s">
        <v>383</v>
      </c>
      <c r="D303" s="40"/>
      <c r="E303" s="81">
        <v>46049</v>
      </c>
      <c r="F303" s="91">
        <v>6</v>
      </c>
      <c r="G303" s="91" t="s">
        <v>96</v>
      </c>
      <c r="H303" s="91"/>
    </row>
    <row r="304" spans="1:8" x14ac:dyDescent="0.45">
      <c r="A304" s="40"/>
      <c r="B304" s="40" t="s">
        <v>380</v>
      </c>
      <c r="C304" s="40" t="s">
        <v>384</v>
      </c>
      <c r="D304" s="40"/>
      <c r="E304" s="81">
        <v>46049</v>
      </c>
      <c r="F304" s="91">
        <v>10</v>
      </c>
      <c r="G304" s="91" t="s">
        <v>96</v>
      </c>
      <c r="H304" s="91"/>
    </row>
    <row r="305" spans="1:8" x14ac:dyDescent="0.45">
      <c r="A305" s="40"/>
      <c r="B305" s="40" t="s">
        <v>380</v>
      </c>
      <c r="C305" s="40" t="s">
        <v>102</v>
      </c>
      <c r="D305" s="40"/>
      <c r="E305" s="81">
        <v>46049</v>
      </c>
      <c r="F305" s="91">
        <v>16</v>
      </c>
      <c r="G305" s="91" t="s">
        <v>96</v>
      </c>
      <c r="H305" s="91"/>
    </row>
    <row r="306" spans="1:8" x14ac:dyDescent="0.45">
      <c r="A306" s="40"/>
      <c r="B306" s="40" t="s">
        <v>380</v>
      </c>
      <c r="C306" s="40" t="s">
        <v>384</v>
      </c>
      <c r="D306" s="40"/>
      <c r="E306" s="81">
        <v>46049</v>
      </c>
      <c r="F306" s="91">
        <v>10</v>
      </c>
      <c r="G306" s="91" t="s">
        <v>96</v>
      </c>
      <c r="H306" s="91"/>
    </row>
    <row r="307" spans="1:8" x14ac:dyDescent="0.45">
      <c r="A307" s="56">
        <v>1725577504</v>
      </c>
      <c r="B307" s="56" t="s">
        <v>276</v>
      </c>
      <c r="C307" s="56" t="s">
        <v>385</v>
      </c>
      <c r="D307" s="56"/>
      <c r="E307" s="99">
        <v>46050</v>
      </c>
      <c r="F307" s="100">
        <v>18</v>
      </c>
      <c r="G307" s="100" t="s">
        <v>99</v>
      </c>
      <c r="H307" s="100"/>
    </row>
    <row r="308" spans="1:8" x14ac:dyDescent="0.45">
      <c r="A308" s="58">
        <v>0</v>
      </c>
      <c r="B308" s="58"/>
      <c r="C308" s="58"/>
      <c r="D308" s="58"/>
      <c r="E308" s="99">
        <v>46051</v>
      </c>
      <c r="F308" s="106">
        <v>0</v>
      </c>
      <c r="G308" s="106"/>
      <c r="H308" s="106"/>
    </row>
    <row r="309" spans="1:8" x14ac:dyDescent="0.45">
      <c r="A309" s="57"/>
      <c r="B309" s="57"/>
      <c r="C309" s="57"/>
      <c r="D309" s="57"/>
      <c r="E309" s="57"/>
      <c r="F309" s="104"/>
      <c r="G309" s="104"/>
      <c r="H309" s="104"/>
    </row>
    <row r="310" spans="1:8" x14ac:dyDescent="0.45">
      <c r="A310" s="57"/>
      <c r="B310" s="57" t="s">
        <v>386</v>
      </c>
      <c r="C310" s="57" t="s">
        <v>387</v>
      </c>
      <c r="D310" s="57"/>
      <c r="E310" s="103">
        <v>46052</v>
      </c>
      <c r="F310" s="104">
        <v>28</v>
      </c>
      <c r="G310" s="104" t="s">
        <v>99</v>
      </c>
      <c r="H310" s="104"/>
    </row>
    <row r="311" spans="1:8" x14ac:dyDescent="0.45">
      <c r="A311" s="57"/>
      <c r="B311" s="57"/>
      <c r="C311" s="57"/>
      <c r="D311" s="57"/>
      <c r="E311" s="57"/>
      <c r="F311" s="104"/>
      <c r="G311" s="104"/>
      <c r="H311" s="104"/>
    </row>
    <row r="312" spans="1:8" x14ac:dyDescent="0.45">
      <c r="A312" s="57"/>
      <c r="B312" s="57"/>
      <c r="C312" s="57"/>
      <c r="D312" s="57"/>
      <c r="E312" s="103">
        <v>46053</v>
      </c>
      <c r="F312" s="104"/>
      <c r="G312" s="104"/>
      <c r="H312" s="104"/>
    </row>
    <row r="313" spans="1:8" x14ac:dyDescent="0.45">
      <c r="A313" s="57"/>
      <c r="B313" s="57"/>
      <c r="C313" s="57"/>
      <c r="D313" s="57"/>
      <c r="E313" s="57"/>
      <c r="F313" s="104"/>
      <c r="G313" s="104"/>
      <c r="H313" s="104"/>
    </row>
    <row r="314" spans="1:8" x14ac:dyDescent="0.45">
      <c r="A314" s="57"/>
      <c r="B314" s="57" t="s">
        <v>388</v>
      </c>
      <c r="C314" s="57" t="s">
        <v>95</v>
      </c>
      <c r="D314" s="57"/>
      <c r="E314" s="103">
        <v>45990</v>
      </c>
      <c r="F314" s="104">
        <v>10</v>
      </c>
      <c r="G314" s="104" t="s">
        <v>99</v>
      </c>
      <c r="H314" s="104"/>
    </row>
    <row r="315" spans="1:8" x14ac:dyDescent="0.45">
      <c r="A315" s="57"/>
      <c r="B315" s="57" t="s">
        <v>389</v>
      </c>
      <c r="C315" s="57" t="s">
        <v>95</v>
      </c>
      <c r="D315" s="57"/>
      <c r="E315" s="103">
        <v>45990</v>
      </c>
      <c r="F315" s="104">
        <v>10</v>
      </c>
      <c r="G315" s="104" t="s">
        <v>99</v>
      </c>
      <c r="H315" s="104"/>
    </row>
    <row r="316" spans="1:8" x14ac:dyDescent="0.45">
      <c r="A316" s="57"/>
      <c r="B316" s="57"/>
      <c r="C316" s="57" t="s">
        <v>390</v>
      </c>
      <c r="D316" s="57"/>
      <c r="E316" s="103">
        <v>45990</v>
      </c>
      <c r="F316" s="104">
        <v>2.5</v>
      </c>
      <c r="G316" s="104" t="s">
        <v>79</v>
      </c>
      <c r="H316" s="104"/>
    </row>
    <row r="317" spans="1:8" x14ac:dyDescent="0.45">
      <c r="A317" s="57"/>
      <c r="B317" s="57"/>
      <c r="C317" s="57" t="s">
        <v>87</v>
      </c>
      <c r="D317" s="57"/>
      <c r="E317" s="103">
        <v>45990</v>
      </c>
      <c r="F317" s="104">
        <v>15</v>
      </c>
      <c r="G317" s="104"/>
      <c r="H317" s="104"/>
    </row>
    <row r="318" spans="1:8" x14ac:dyDescent="0.45">
      <c r="A318" s="57"/>
      <c r="B318" s="57"/>
      <c r="C318" s="57" t="s">
        <v>391</v>
      </c>
      <c r="D318" s="57"/>
      <c r="E318" s="103">
        <v>45990</v>
      </c>
      <c r="F318" s="104">
        <v>5</v>
      </c>
      <c r="G318" s="104"/>
      <c r="H318" s="104"/>
    </row>
    <row r="319" spans="1:8" x14ac:dyDescent="0.45">
      <c r="A319" s="57"/>
      <c r="B319" s="57"/>
      <c r="C319" s="57" t="s">
        <v>95</v>
      </c>
      <c r="D319" s="57"/>
      <c r="E319" s="103">
        <v>45990</v>
      </c>
      <c r="F319" s="104">
        <v>10</v>
      </c>
      <c r="G319" s="104"/>
      <c r="H319" s="104"/>
    </row>
    <row r="320" spans="1:8" x14ac:dyDescent="0.45">
      <c r="A320" s="57"/>
      <c r="B320" s="57"/>
      <c r="C320" s="57" t="s">
        <v>392</v>
      </c>
      <c r="D320" s="57"/>
      <c r="E320" s="103">
        <v>45990</v>
      </c>
      <c r="F320" s="104">
        <v>16</v>
      </c>
      <c r="G320" s="104"/>
      <c r="H320" s="104"/>
    </row>
    <row r="321" spans="1:8" x14ac:dyDescent="0.45">
      <c r="A321" s="57"/>
      <c r="B321" s="57"/>
      <c r="C321" s="57" t="s">
        <v>391</v>
      </c>
      <c r="D321" s="57"/>
      <c r="E321" s="103">
        <v>45990</v>
      </c>
      <c r="F321" s="104">
        <v>5</v>
      </c>
      <c r="G321" s="104"/>
      <c r="H321" s="104"/>
    </row>
    <row r="322" spans="1:8" x14ac:dyDescent="0.45">
      <c r="A322" s="57"/>
      <c r="B322" s="57"/>
      <c r="C322" s="57"/>
      <c r="D322" s="57"/>
      <c r="E322" s="57"/>
      <c r="F322" s="104"/>
      <c r="G322" s="104"/>
      <c r="H322" s="104"/>
    </row>
    <row r="323" spans="1:8" x14ac:dyDescent="0.45">
      <c r="A323" s="57"/>
      <c r="B323" s="57"/>
      <c r="C323" s="57" t="s">
        <v>95</v>
      </c>
      <c r="D323" s="57"/>
      <c r="E323" s="103">
        <v>45991</v>
      </c>
      <c r="F323" s="104">
        <v>10</v>
      </c>
      <c r="G323" s="104"/>
      <c r="H323" s="104"/>
    </row>
    <row r="324" spans="1:8" x14ac:dyDescent="0.45">
      <c r="A324" s="57"/>
      <c r="B324" s="57"/>
      <c r="C324" s="57" t="s">
        <v>87</v>
      </c>
      <c r="D324" s="57"/>
      <c r="E324" s="103">
        <v>45991</v>
      </c>
      <c r="F324" s="104">
        <v>15</v>
      </c>
      <c r="G324" s="104"/>
      <c r="H324" s="104"/>
    </row>
    <row r="325" spans="1:8" x14ac:dyDescent="0.45">
      <c r="A325" s="57"/>
      <c r="B325" s="57"/>
      <c r="C325" s="57" t="s">
        <v>90</v>
      </c>
      <c r="D325" s="57"/>
      <c r="E325" s="103">
        <v>45991</v>
      </c>
      <c r="F325" s="104">
        <v>5</v>
      </c>
      <c r="G325" s="104"/>
      <c r="H325" s="104"/>
    </row>
    <row r="326" spans="1:8" x14ac:dyDescent="0.45">
      <c r="A326" s="57"/>
      <c r="B326" s="57" t="s">
        <v>143</v>
      </c>
      <c r="C326" s="57" t="s">
        <v>393</v>
      </c>
      <c r="D326" s="57"/>
      <c r="E326" s="103">
        <v>45991</v>
      </c>
      <c r="F326" s="104">
        <v>10</v>
      </c>
      <c r="G326" s="104"/>
      <c r="H326" s="104"/>
    </row>
    <row r="327" spans="1:8" x14ac:dyDescent="0.45">
      <c r="A327" s="57"/>
      <c r="B327" s="57" t="s">
        <v>143</v>
      </c>
      <c r="C327" s="57" t="s">
        <v>95</v>
      </c>
      <c r="D327" s="57"/>
      <c r="E327" s="103">
        <v>45991</v>
      </c>
      <c r="F327" s="104">
        <v>10</v>
      </c>
      <c r="G327" s="104"/>
      <c r="H327" s="104"/>
    </row>
    <row r="328" spans="1:8" x14ac:dyDescent="0.45">
      <c r="A328" s="40"/>
      <c r="B328" s="40" t="s">
        <v>394</v>
      </c>
      <c r="C328" s="40" t="s">
        <v>160</v>
      </c>
      <c r="D328" s="40" t="s">
        <v>88</v>
      </c>
      <c r="E328" s="81">
        <v>46053</v>
      </c>
      <c r="F328" s="91">
        <v>18</v>
      </c>
      <c r="G328" s="91" t="s">
        <v>133</v>
      </c>
      <c r="H328" s="91"/>
    </row>
    <row r="329" spans="1:8" x14ac:dyDescent="0.45">
      <c r="A329" s="40">
        <v>1713919163</v>
      </c>
      <c r="B329" s="40" t="s">
        <v>395</v>
      </c>
      <c r="C329" s="40" t="s">
        <v>396</v>
      </c>
      <c r="D329" s="40" t="s">
        <v>397</v>
      </c>
      <c r="E329" s="81">
        <v>46053</v>
      </c>
      <c r="F329" s="91">
        <v>21</v>
      </c>
      <c r="G329" s="91" t="s">
        <v>133</v>
      </c>
      <c r="H329" s="91"/>
    </row>
    <row r="330" spans="1:8" x14ac:dyDescent="0.45">
      <c r="A330" s="40"/>
      <c r="B330" s="40" t="s">
        <v>398</v>
      </c>
      <c r="C330" s="40" t="s">
        <v>270</v>
      </c>
      <c r="D330" s="40" t="s">
        <v>88</v>
      </c>
      <c r="E330" s="81">
        <v>46053</v>
      </c>
      <c r="F330" s="91">
        <v>10</v>
      </c>
      <c r="G330" s="91" t="s">
        <v>58</v>
      </c>
      <c r="H330" s="101">
        <v>47794581</v>
      </c>
    </row>
    <row r="331" spans="1:8" x14ac:dyDescent="0.45">
      <c r="A331" s="40"/>
      <c r="B331" s="40" t="s">
        <v>399</v>
      </c>
      <c r="C331" s="40" t="s">
        <v>400</v>
      </c>
      <c r="D331" s="40" t="s">
        <v>397</v>
      </c>
      <c r="E331" s="81">
        <v>46053</v>
      </c>
      <c r="F331" s="91">
        <v>20</v>
      </c>
      <c r="G331" s="91" t="s">
        <v>133</v>
      </c>
      <c r="H331" s="91"/>
    </row>
    <row r="332" spans="1:8" x14ac:dyDescent="0.45">
      <c r="A332" s="40"/>
      <c r="B332" s="40" t="s">
        <v>71</v>
      </c>
      <c r="C332" s="40" t="s">
        <v>401</v>
      </c>
      <c r="D332" s="40" t="s">
        <v>397</v>
      </c>
      <c r="E332" s="81">
        <v>46053</v>
      </c>
      <c r="F332" s="91">
        <f>10+8+3+15</f>
        <v>36</v>
      </c>
      <c r="G332" s="91" t="s">
        <v>58</v>
      </c>
      <c r="H332" s="91"/>
    </row>
    <row r="333" spans="1:8" x14ac:dyDescent="0.45">
      <c r="A333" s="40">
        <v>1713919163</v>
      </c>
      <c r="B333" s="40" t="s">
        <v>402</v>
      </c>
      <c r="C333" s="40" t="s">
        <v>34</v>
      </c>
      <c r="D333" s="80" t="s">
        <v>88</v>
      </c>
      <c r="E333" s="81">
        <v>46054</v>
      </c>
      <c r="F333" s="91">
        <v>12</v>
      </c>
      <c r="G333" s="91" t="s">
        <v>403</v>
      </c>
      <c r="H333" s="107"/>
    </row>
    <row r="334" spans="1:8" x14ac:dyDescent="0.45">
      <c r="A334" s="40">
        <v>1713919163</v>
      </c>
      <c r="B334" s="40" t="s">
        <v>402</v>
      </c>
      <c r="C334" s="40" t="s">
        <v>404</v>
      </c>
      <c r="D334" s="80" t="s">
        <v>405</v>
      </c>
      <c r="E334" s="81">
        <v>46054</v>
      </c>
      <c r="F334" s="91">
        <v>1</v>
      </c>
      <c r="G334" s="91" t="s">
        <v>403</v>
      </c>
      <c r="H334" s="108"/>
    </row>
    <row r="335" spans="1:8" x14ac:dyDescent="0.45">
      <c r="A335" s="40"/>
      <c r="B335" s="40" t="s">
        <v>406</v>
      </c>
      <c r="C335" s="40" t="s">
        <v>407</v>
      </c>
      <c r="D335" s="80" t="s">
        <v>249</v>
      </c>
      <c r="E335" s="81">
        <v>46054</v>
      </c>
      <c r="F335" s="91">
        <v>20</v>
      </c>
      <c r="G335" s="91" t="s">
        <v>89</v>
      </c>
      <c r="H335" s="108">
        <v>2205715366</v>
      </c>
    </row>
    <row r="336" spans="1:8" x14ac:dyDescent="0.45">
      <c r="A336" s="40">
        <v>1719118695</v>
      </c>
      <c r="B336" s="40" t="s">
        <v>408</v>
      </c>
      <c r="C336" s="40" t="s">
        <v>409</v>
      </c>
      <c r="D336" s="80" t="s">
        <v>88</v>
      </c>
      <c r="E336" s="81">
        <v>46054</v>
      </c>
      <c r="F336" s="91">
        <v>20</v>
      </c>
      <c r="G336" s="91" t="s">
        <v>403</v>
      </c>
      <c r="H336" s="108"/>
    </row>
    <row r="337" spans="1:8" x14ac:dyDescent="0.45">
      <c r="A337" s="40"/>
      <c r="B337" s="40" t="s">
        <v>410</v>
      </c>
      <c r="C337" s="40" t="s">
        <v>411</v>
      </c>
      <c r="D337" s="80" t="s">
        <v>249</v>
      </c>
      <c r="E337" s="81">
        <v>46054</v>
      </c>
      <c r="F337" s="91">
        <f>20+6</f>
        <v>26</v>
      </c>
      <c r="G337" s="91" t="s">
        <v>89</v>
      </c>
      <c r="H337" s="108">
        <v>108846153</v>
      </c>
    </row>
    <row r="338" spans="1:8" x14ac:dyDescent="0.45">
      <c r="A338" s="40">
        <v>106143837</v>
      </c>
      <c r="B338" s="40" t="s">
        <v>144</v>
      </c>
      <c r="C338" s="40" t="s">
        <v>412</v>
      </c>
      <c r="D338" s="80" t="s">
        <v>88</v>
      </c>
      <c r="E338" s="81">
        <v>46054</v>
      </c>
      <c r="F338" s="91">
        <v>22</v>
      </c>
      <c r="G338" s="91" t="s">
        <v>89</v>
      </c>
      <c r="H338" s="108">
        <v>125116914</v>
      </c>
    </row>
    <row r="339" spans="1:8" x14ac:dyDescent="0.45">
      <c r="A339" s="43">
        <v>1722544226</v>
      </c>
      <c r="B339" s="43" t="s">
        <v>196</v>
      </c>
      <c r="C339" s="43" t="s">
        <v>413</v>
      </c>
      <c r="D339" s="93" t="s">
        <v>88</v>
      </c>
      <c r="E339" s="94">
        <v>46055</v>
      </c>
      <c r="F339" s="92">
        <v>26</v>
      </c>
      <c r="G339" s="92" t="s">
        <v>89</v>
      </c>
      <c r="H339" s="47">
        <v>192470523</v>
      </c>
    </row>
    <row r="340" spans="1:8" x14ac:dyDescent="0.45">
      <c r="A340" s="43">
        <v>1707565337</v>
      </c>
      <c r="B340" s="59" t="s">
        <v>414</v>
      </c>
      <c r="C340" s="43" t="s">
        <v>415</v>
      </c>
      <c r="D340" s="93" t="s">
        <v>88</v>
      </c>
      <c r="E340" s="94">
        <v>46055</v>
      </c>
      <c r="F340" s="92">
        <v>5</v>
      </c>
      <c r="G340" s="109" t="s">
        <v>416</v>
      </c>
      <c r="H340" s="47">
        <v>494311</v>
      </c>
    </row>
    <row r="341" spans="1:8" x14ac:dyDescent="0.45">
      <c r="A341" s="43"/>
      <c r="B341" s="43" t="s">
        <v>417</v>
      </c>
      <c r="C341" s="43" t="s">
        <v>418</v>
      </c>
      <c r="D341" s="93" t="s">
        <v>88</v>
      </c>
      <c r="E341" s="94">
        <v>46055</v>
      </c>
      <c r="F341" s="92">
        <v>8</v>
      </c>
      <c r="G341" s="92" t="s">
        <v>89</v>
      </c>
      <c r="H341" s="47">
        <v>213351439</v>
      </c>
    </row>
    <row r="342" spans="1:8" x14ac:dyDescent="0.45">
      <c r="A342" s="40">
        <v>1707963227</v>
      </c>
      <c r="B342" s="40" t="s">
        <v>419</v>
      </c>
      <c r="C342" s="40" t="s">
        <v>420</v>
      </c>
      <c r="D342" s="80" t="s">
        <v>88</v>
      </c>
      <c r="E342" s="81">
        <v>46056</v>
      </c>
      <c r="F342" s="91">
        <v>18</v>
      </c>
      <c r="G342" s="91" t="s">
        <v>89</v>
      </c>
      <c r="H342" s="108">
        <v>20766486</v>
      </c>
    </row>
    <row r="343" spans="1:8" x14ac:dyDescent="0.45">
      <c r="A343" s="60">
        <v>1713479150</v>
      </c>
      <c r="B343" s="40" t="s">
        <v>421</v>
      </c>
      <c r="C343" s="40" t="s">
        <v>422</v>
      </c>
      <c r="D343" s="80" t="s">
        <v>88</v>
      </c>
      <c r="E343" s="81">
        <v>46056</v>
      </c>
      <c r="F343" s="91">
        <v>12</v>
      </c>
      <c r="G343" s="91" t="s">
        <v>403</v>
      </c>
      <c r="H343" s="108"/>
    </row>
    <row r="344" spans="1:8" x14ac:dyDescent="0.45">
      <c r="A344" s="40">
        <v>1713479150</v>
      </c>
      <c r="B344" s="40" t="s">
        <v>421</v>
      </c>
      <c r="C344" s="40" t="s">
        <v>420</v>
      </c>
      <c r="D344" s="80" t="s">
        <v>249</v>
      </c>
      <c r="E344" s="81">
        <v>46056</v>
      </c>
      <c r="F344" s="91">
        <v>18</v>
      </c>
      <c r="G344" s="91" t="s">
        <v>403</v>
      </c>
      <c r="H344" s="108"/>
    </row>
    <row r="345" spans="1:8" x14ac:dyDescent="0.45">
      <c r="A345" s="40" t="s">
        <v>423</v>
      </c>
      <c r="B345" s="40" t="s">
        <v>424</v>
      </c>
      <c r="C345" s="40" t="s">
        <v>425</v>
      </c>
      <c r="D345" s="80" t="s">
        <v>249</v>
      </c>
      <c r="E345" s="81">
        <v>46056</v>
      </c>
      <c r="F345" s="91">
        <v>32</v>
      </c>
      <c r="G345" s="91" t="s">
        <v>55</v>
      </c>
      <c r="H345" s="108"/>
    </row>
    <row r="346" spans="1:8" x14ac:dyDescent="0.45">
      <c r="A346" s="40"/>
      <c r="B346" s="40" t="s">
        <v>426</v>
      </c>
      <c r="C346" s="40" t="s">
        <v>427</v>
      </c>
      <c r="D346" s="80" t="s">
        <v>272</v>
      </c>
      <c r="E346" s="81">
        <v>46056</v>
      </c>
      <c r="F346" s="91">
        <v>40</v>
      </c>
      <c r="G346" s="91" t="s">
        <v>89</v>
      </c>
      <c r="H346" s="108">
        <v>79475363</v>
      </c>
    </row>
    <row r="347" spans="1:8" x14ac:dyDescent="0.45">
      <c r="A347" s="43"/>
      <c r="B347" s="43" t="s">
        <v>428</v>
      </c>
      <c r="C347" s="43" t="s">
        <v>429</v>
      </c>
      <c r="D347" s="93" t="s">
        <v>249</v>
      </c>
      <c r="E347" s="94">
        <v>46057</v>
      </c>
      <c r="F347" s="92">
        <v>21</v>
      </c>
      <c r="G347" s="92" t="s">
        <v>89</v>
      </c>
      <c r="H347" s="47">
        <v>24585723</v>
      </c>
    </row>
    <row r="348" spans="1:8" x14ac:dyDescent="0.45">
      <c r="A348" s="43"/>
      <c r="B348" s="43" t="s">
        <v>430</v>
      </c>
      <c r="C348" s="43" t="s">
        <v>431</v>
      </c>
      <c r="D348" s="93" t="s">
        <v>249</v>
      </c>
      <c r="E348" s="94">
        <v>46057</v>
      </c>
      <c r="F348" s="92">
        <v>3</v>
      </c>
      <c r="G348" s="92" t="s">
        <v>55</v>
      </c>
      <c r="H348" s="47"/>
    </row>
    <row r="349" spans="1:8" x14ac:dyDescent="0.45">
      <c r="A349" s="43">
        <v>1727215566</v>
      </c>
      <c r="B349" s="43" t="s">
        <v>432</v>
      </c>
      <c r="C349" s="43" t="s">
        <v>433</v>
      </c>
      <c r="D349" s="93" t="s">
        <v>249</v>
      </c>
      <c r="E349" s="94">
        <v>46057</v>
      </c>
      <c r="F349" s="92">
        <v>28</v>
      </c>
      <c r="G349" s="92" t="s">
        <v>89</v>
      </c>
      <c r="H349" s="47">
        <v>39587241</v>
      </c>
    </row>
    <row r="350" spans="1:8" x14ac:dyDescent="0.45">
      <c r="A350" s="43" t="s">
        <v>423</v>
      </c>
      <c r="B350" s="43" t="s">
        <v>424</v>
      </c>
      <c r="C350" s="43" t="s">
        <v>434</v>
      </c>
      <c r="D350" s="93" t="s">
        <v>249</v>
      </c>
      <c r="E350" s="94">
        <v>46057</v>
      </c>
      <c r="F350" s="92">
        <v>19</v>
      </c>
      <c r="G350" s="92" t="s">
        <v>435</v>
      </c>
      <c r="H350" s="47">
        <v>92</v>
      </c>
    </row>
    <row r="351" spans="1:8" x14ac:dyDescent="0.45">
      <c r="A351" s="43"/>
      <c r="B351" s="43" t="s">
        <v>430</v>
      </c>
      <c r="C351" s="43" t="s">
        <v>436</v>
      </c>
      <c r="D351" s="93" t="s">
        <v>272</v>
      </c>
      <c r="E351" s="94">
        <v>46057</v>
      </c>
      <c r="F351" s="92">
        <v>10</v>
      </c>
      <c r="G351" s="92" t="s">
        <v>89</v>
      </c>
      <c r="H351" s="47">
        <v>43098585</v>
      </c>
    </row>
    <row r="352" spans="1:8" x14ac:dyDescent="0.45">
      <c r="A352" s="40"/>
      <c r="B352" s="40" t="s">
        <v>437</v>
      </c>
      <c r="C352" s="40" t="s">
        <v>438</v>
      </c>
      <c r="D352" s="80" t="s">
        <v>88</v>
      </c>
      <c r="E352" s="81">
        <v>46058</v>
      </c>
      <c r="F352" s="91">
        <v>28</v>
      </c>
      <c r="G352" s="91" t="s">
        <v>403</v>
      </c>
      <c r="H352" s="108"/>
    </row>
    <row r="353" spans="1:8" x14ac:dyDescent="0.45">
      <c r="A353" s="61">
        <v>17234247902</v>
      </c>
      <c r="B353" s="61" t="s">
        <v>439</v>
      </c>
      <c r="C353" s="61" t="s">
        <v>440</v>
      </c>
      <c r="D353" s="110" t="s">
        <v>249</v>
      </c>
      <c r="E353" s="111">
        <v>46058</v>
      </c>
      <c r="F353" s="112">
        <v>18</v>
      </c>
      <c r="G353" s="91" t="s">
        <v>89</v>
      </c>
      <c r="H353" s="113">
        <v>41948814</v>
      </c>
    </row>
    <row r="354" spans="1:8" x14ac:dyDescent="0.45">
      <c r="A354" s="40"/>
      <c r="B354" s="40" t="s">
        <v>441</v>
      </c>
      <c r="C354" s="40" t="s">
        <v>442</v>
      </c>
      <c r="D354" s="80" t="s">
        <v>249</v>
      </c>
      <c r="E354" s="81">
        <v>46058</v>
      </c>
      <c r="F354" s="91">
        <v>6</v>
      </c>
      <c r="G354" s="91" t="s">
        <v>89</v>
      </c>
      <c r="H354" s="40">
        <v>42529476</v>
      </c>
    </row>
    <row r="355" spans="1:8" x14ac:dyDescent="0.45">
      <c r="A355" s="43"/>
      <c r="B355" s="43" t="s">
        <v>443</v>
      </c>
      <c r="C355" s="43" t="s">
        <v>95</v>
      </c>
      <c r="D355" s="93" t="s">
        <v>88</v>
      </c>
      <c r="E355" s="94">
        <v>46059</v>
      </c>
      <c r="F355" s="92">
        <v>10</v>
      </c>
      <c r="G355" s="92" t="s">
        <v>89</v>
      </c>
      <c r="H355" s="47">
        <v>21570922</v>
      </c>
    </row>
    <row r="356" spans="1:8" x14ac:dyDescent="0.45">
      <c r="A356" s="43"/>
      <c r="B356" s="43" t="s">
        <v>444</v>
      </c>
      <c r="C356" s="43" t="s">
        <v>87</v>
      </c>
      <c r="D356" s="93" t="s">
        <v>249</v>
      </c>
      <c r="E356" s="94">
        <v>46059</v>
      </c>
      <c r="F356" s="92">
        <v>18</v>
      </c>
      <c r="G356" s="92" t="s">
        <v>89</v>
      </c>
      <c r="H356" s="47">
        <v>28602579</v>
      </c>
    </row>
    <row r="357" spans="1:8" x14ac:dyDescent="0.45">
      <c r="A357" s="43">
        <v>1727520643</v>
      </c>
      <c r="B357" s="43" t="s">
        <v>445</v>
      </c>
      <c r="C357" s="43" t="s">
        <v>446</v>
      </c>
      <c r="D357" s="93" t="s">
        <v>88</v>
      </c>
      <c r="E357" s="94">
        <v>46059</v>
      </c>
      <c r="F357" s="92">
        <v>16</v>
      </c>
      <c r="G357" s="92" t="s">
        <v>435</v>
      </c>
      <c r="H357" s="47">
        <v>98</v>
      </c>
    </row>
    <row r="358" spans="1:8" x14ac:dyDescent="0.45">
      <c r="A358" s="43"/>
      <c r="B358" s="43" t="s">
        <v>447</v>
      </c>
      <c r="C358" s="43" t="s">
        <v>102</v>
      </c>
      <c r="D358" s="93" t="s">
        <v>249</v>
      </c>
      <c r="E358" s="94">
        <v>46059</v>
      </c>
      <c r="F358" s="92">
        <v>19</v>
      </c>
      <c r="G358" s="92" t="s">
        <v>435</v>
      </c>
      <c r="H358" s="47">
        <v>99</v>
      </c>
    </row>
    <row r="359" spans="1:8" x14ac:dyDescent="0.45">
      <c r="A359" s="43">
        <v>1716489586</v>
      </c>
      <c r="B359" s="43" t="s">
        <v>448</v>
      </c>
      <c r="C359" s="43" t="s">
        <v>449</v>
      </c>
      <c r="D359" s="93" t="s">
        <v>88</v>
      </c>
      <c r="E359" s="94">
        <v>46059</v>
      </c>
      <c r="F359" s="92">
        <v>37</v>
      </c>
      <c r="G359" s="92" t="s">
        <v>55</v>
      </c>
      <c r="H359" s="47"/>
    </row>
    <row r="360" spans="1:8" x14ac:dyDescent="0.45">
      <c r="A360" s="40">
        <v>1714063292</v>
      </c>
      <c r="B360" s="40" t="s">
        <v>71</v>
      </c>
      <c r="C360" s="40" t="s">
        <v>95</v>
      </c>
      <c r="D360" s="80" t="s">
        <v>249</v>
      </c>
      <c r="E360" s="81">
        <v>46060</v>
      </c>
      <c r="F360" s="91">
        <v>10</v>
      </c>
      <c r="G360" s="91" t="s">
        <v>55</v>
      </c>
      <c r="H360" s="108"/>
    </row>
    <row r="361" spans="1:8" x14ac:dyDescent="0.45">
      <c r="A361" s="40"/>
      <c r="B361" s="40" t="s">
        <v>450</v>
      </c>
      <c r="C361" s="40" t="s">
        <v>451</v>
      </c>
      <c r="D361" s="80" t="s">
        <v>249</v>
      </c>
      <c r="E361" s="81">
        <v>46060</v>
      </c>
      <c r="F361" s="91">
        <f>18+5</f>
        <v>23</v>
      </c>
      <c r="G361" s="91" t="s">
        <v>403</v>
      </c>
      <c r="H361" s="108"/>
    </row>
    <row r="362" spans="1:8" x14ac:dyDescent="0.45">
      <c r="A362" s="40"/>
      <c r="B362" s="40" t="s">
        <v>452</v>
      </c>
      <c r="C362" s="40" t="s">
        <v>453</v>
      </c>
      <c r="D362" s="80" t="s">
        <v>88</v>
      </c>
      <c r="E362" s="81">
        <v>46060</v>
      </c>
      <c r="F362" s="91">
        <f>18+8</f>
        <v>26</v>
      </c>
      <c r="G362" s="91" t="s">
        <v>403</v>
      </c>
      <c r="H362" s="108"/>
    </row>
    <row r="363" spans="1:8" x14ac:dyDescent="0.45">
      <c r="A363" s="40">
        <v>1717933798</v>
      </c>
      <c r="B363" s="40" t="s">
        <v>454</v>
      </c>
      <c r="C363" s="40" t="s">
        <v>455</v>
      </c>
      <c r="D363" s="80" t="s">
        <v>88</v>
      </c>
      <c r="E363" s="81">
        <v>46060</v>
      </c>
      <c r="F363" s="91">
        <v>10</v>
      </c>
      <c r="G363" s="91" t="s">
        <v>89</v>
      </c>
      <c r="H363" s="108">
        <v>34920935</v>
      </c>
    </row>
    <row r="364" spans="1:8" x14ac:dyDescent="0.45">
      <c r="A364" s="40">
        <v>1718245812</v>
      </c>
      <c r="B364" s="40" t="s">
        <v>267</v>
      </c>
      <c r="C364" s="40" t="s">
        <v>456</v>
      </c>
      <c r="D364" s="80" t="s">
        <v>249</v>
      </c>
      <c r="E364" s="81">
        <v>46060</v>
      </c>
      <c r="F364" s="91">
        <f>18+4+2</f>
        <v>24</v>
      </c>
      <c r="G364" s="91" t="s">
        <v>89</v>
      </c>
      <c r="H364" s="108">
        <v>34920935</v>
      </c>
    </row>
    <row r="365" spans="1:8" x14ac:dyDescent="0.45">
      <c r="A365" s="40">
        <v>1721946067</v>
      </c>
      <c r="B365" s="40" t="s">
        <v>74</v>
      </c>
      <c r="C365" s="40" t="s">
        <v>453</v>
      </c>
      <c r="D365" s="80" t="s">
        <v>88</v>
      </c>
      <c r="E365" s="81">
        <v>46060</v>
      </c>
      <c r="F365" s="91">
        <f>18+8</f>
        <v>26</v>
      </c>
      <c r="G365" s="91" t="s">
        <v>55</v>
      </c>
      <c r="H365" s="108"/>
    </row>
    <row r="366" spans="1:8" x14ac:dyDescent="0.45">
      <c r="A366" s="43"/>
      <c r="B366" s="43" t="s">
        <v>410</v>
      </c>
      <c r="C366" s="43" t="s">
        <v>457</v>
      </c>
      <c r="D366" s="93" t="s">
        <v>249</v>
      </c>
      <c r="E366" s="94">
        <v>46061</v>
      </c>
      <c r="F366" s="92">
        <v>6</v>
      </c>
      <c r="G366" s="92" t="s">
        <v>89</v>
      </c>
      <c r="H366" s="47">
        <v>83629624</v>
      </c>
    </row>
    <row r="367" spans="1:8" x14ac:dyDescent="0.45">
      <c r="A367" s="43"/>
      <c r="B367" s="43" t="s">
        <v>458</v>
      </c>
      <c r="C367" s="43" t="s">
        <v>459</v>
      </c>
      <c r="D367" s="93" t="s">
        <v>249</v>
      </c>
      <c r="E367" s="94">
        <v>46061</v>
      </c>
      <c r="F367" s="92">
        <v>15</v>
      </c>
      <c r="G367" s="92" t="s">
        <v>89</v>
      </c>
      <c r="H367" s="47">
        <v>86195918</v>
      </c>
    </row>
    <row r="368" spans="1:8" x14ac:dyDescent="0.45">
      <c r="A368" s="43"/>
      <c r="B368" s="43" t="s">
        <v>460</v>
      </c>
      <c r="C368" s="43" t="s">
        <v>461</v>
      </c>
      <c r="D368" s="93" t="s">
        <v>88</v>
      </c>
      <c r="E368" s="94">
        <v>46061</v>
      </c>
      <c r="F368" s="92">
        <v>40</v>
      </c>
      <c r="G368" s="92" t="s">
        <v>89</v>
      </c>
      <c r="H368" s="47">
        <v>92970013</v>
      </c>
    </row>
    <row r="369" spans="1:8" x14ac:dyDescent="0.45">
      <c r="A369" s="43"/>
      <c r="B369" s="43" t="s">
        <v>462</v>
      </c>
      <c r="C369" s="43" t="s">
        <v>463</v>
      </c>
      <c r="D369" s="93" t="s">
        <v>249</v>
      </c>
      <c r="E369" s="94">
        <v>46061</v>
      </c>
      <c r="F369" s="92">
        <v>22</v>
      </c>
      <c r="G369" s="92" t="s">
        <v>435</v>
      </c>
      <c r="H369" s="47"/>
    </row>
    <row r="370" spans="1:8" x14ac:dyDescent="0.45">
      <c r="A370" s="43"/>
      <c r="B370" s="43" t="s">
        <v>464</v>
      </c>
      <c r="C370" s="43" t="s">
        <v>465</v>
      </c>
      <c r="D370" s="93" t="s">
        <v>88</v>
      </c>
      <c r="E370" s="94">
        <v>46061</v>
      </c>
      <c r="F370" s="92">
        <v>20</v>
      </c>
      <c r="G370" s="92" t="s">
        <v>55</v>
      </c>
      <c r="H370" s="47"/>
    </row>
    <row r="371" spans="1:8" x14ac:dyDescent="0.45">
      <c r="A371" s="43"/>
      <c r="B371" s="43" t="s">
        <v>466</v>
      </c>
      <c r="C371" s="43" t="s">
        <v>467</v>
      </c>
      <c r="D371" s="93" t="s">
        <v>249</v>
      </c>
      <c r="E371" s="94">
        <v>46061</v>
      </c>
      <c r="F371" s="92">
        <v>32</v>
      </c>
      <c r="G371" s="92" t="s">
        <v>435</v>
      </c>
      <c r="H371" s="47"/>
    </row>
    <row r="372" spans="1:8" x14ac:dyDescent="0.45">
      <c r="A372" s="43"/>
      <c r="B372" s="43" t="s">
        <v>335</v>
      </c>
      <c r="C372" s="43" t="s">
        <v>193</v>
      </c>
      <c r="D372" s="93" t="s">
        <v>88</v>
      </c>
      <c r="E372" s="94">
        <v>46061</v>
      </c>
      <c r="F372" s="92">
        <v>22</v>
      </c>
      <c r="G372" s="92" t="s">
        <v>435</v>
      </c>
      <c r="H372" s="47"/>
    </row>
    <row r="373" spans="1:8" x14ac:dyDescent="0.45">
      <c r="A373" s="40">
        <v>1701898031</v>
      </c>
      <c r="B373" s="40" t="s">
        <v>468</v>
      </c>
      <c r="C373" s="40" t="s">
        <v>469</v>
      </c>
      <c r="D373" s="80" t="s">
        <v>88</v>
      </c>
      <c r="E373" s="81">
        <v>46062</v>
      </c>
      <c r="F373" s="91">
        <v>23</v>
      </c>
      <c r="G373" s="91" t="s">
        <v>403</v>
      </c>
      <c r="H373" s="108">
        <v>106</v>
      </c>
    </row>
    <row r="374" spans="1:8" x14ac:dyDescent="0.45">
      <c r="A374" s="40"/>
      <c r="B374" s="40" t="s">
        <v>470</v>
      </c>
      <c r="C374" s="40" t="s">
        <v>471</v>
      </c>
      <c r="D374" s="80" t="s">
        <v>88</v>
      </c>
      <c r="E374" s="81">
        <v>46062</v>
      </c>
      <c r="F374" s="91">
        <v>5</v>
      </c>
      <c r="G374" s="91" t="s">
        <v>89</v>
      </c>
      <c r="H374" s="108">
        <v>190915346</v>
      </c>
    </row>
    <row r="375" spans="1:8" x14ac:dyDescent="0.45">
      <c r="A375" s="43">
        <v>1721946067</v>
      </c>
      <c r="B375" s="43" t="s">
        <v>74</v>
      </c>
      <c r="C375" s="43" t="s">
        <v>472</v>
      </c>
      <c r="D375" s="93" t="s">
        <v>249</v>
      </c>
      <c r="E375" s="94">
        <v>46063</v>
      </c>
      <c r="F375" s="92">
        <v>16</v>
      </c>
      <c r="G375" s="92" t="s">
        <v>55</v>
      </c>
      <c r="H375" s="47"/>
    </row>
    <row r="376" spans="1:8" x14ac:dyDescent="0.45">
      <c r="A376" s="43"/>
      <c r="B376" s="43" t="s">
        <v>473</v>
      </c>
      <c r="C376" s="43" t="s">
        <v>474</v>
      </c>
      <c r="D376" s="93" t="s">
        <v>249</v>
      </c>
      <c r="E376" s="94">
        <v>46063</v>
      </c>
      <c r="F376" s="92">
        <v>6</v>
      </c>
      <c r="G376" s="92" t="s">
        <v>435</v>
      </c>
      <c r="H376" s="47"/>
    </row>
    <row r="377" spans="1:8" x14ac:dyDescent="0.45">
      <c r="A377" s="40">
        <v>40099587</v>
      </c>
      <c r="B377" s="40" t="s">
        <v>475</v>
      </c>
      <c r="C377" s="40" t="s">
        <v>476</v>
      </c>
      <c r="D377" s="80" t="s">
        <v>88</v>
      </c>
      <c r="E377" s="81">
        <v>46064</v>
      </c>
      <c r="F377" s="91">
        <v>29</v>
      </c>
      <c r="G377" s="91" t="s">
        <v>55</v>
      </c>
      <c r="H377" s="108"/>
    </row>
    <row r="378" spans="1:8" x14ac:dyDescent="0.45">
      <c r="A378" s="40"/>
      <c r="B378" s="40" t="s">
        <v>265</v>
      </c>
      <c r="C378" s="40" t="s">
        <v>477</v>
      </c>
      <c r="D378" s="80" t="s">
        <v>88</v>
      </c>
      <c r="E378" s="81">
        <v>46064</v>
      </c>
      <c r="F378" s="91">
        <v>20</v>
      </c>
      <c r="G378" s="91" t="s">
        <v>89</v>
      </c>
      <c r="H378" s="108">
        <v>76485666</v>
      </c>
    </row>
    <row r="379" spans="1:8" x14ac:dyDescent="0.45">
      <c r="A379" s="40"/>
      <c r="B379" s="62" t="s">
        <v>344</v>
      </c>
      <c r="C379" s="62" t="s">
        <v>478</v>
      </c>
      <c r="D379" s="80" t="s">
        <v>88</v>
      </c>
      <c r="E379" s="114">
        <v>46064</v>
      </c>
      <c r="F379" s="115">
        <v>16</v>
      </c>
      <c r="G379" s="115" t="s">
        <v>403</v>
      </c>
      <c r="H379" s="108"/>
    </row>
    <row r="380" spans="1:8" x14ac:dyDescent="0.45">
      <c r="A380" s="40"/>
      <c r="B380" s="40" t="s">
        <v>479</v>
      </c>
      <c r="C380" s="40" t="s">
        <v>480</v>
      </c>
      <c r="D380" s="80" t="s">
        <v>88</v>
      </c>
      <c r="E380" s="81">
        <v>46064</v>
      </c>
      <c r="F380" s="91">
        <v>24</v>
      </c>
      <c r="G380" s="91" t="s">
        <v>403</v>
      </c>
      <c r="H380" s="108"/>
    </row>
    <row r="381" spans="1:8" x14ac:dyDescent="0.45">
      <c r="A381" s="40"/>
      <c r="B381" s="40" t="s">
        <v>481</v>
      </c>
      <c r="C381" s="40" t="s">
        <v>482</v>
      </c>
      <c r="D381" s="80" t="s">
        <v>249</v>
      </c>
      <c r="E381" s="81">
        <v>46064</v>
      </c>
      <c r="F381" s="91">
        <v>22</v>
      </c>
      <c r="G381" s="91" t="s">
        <v>55</v>
      </c>
      <c r="H381" s="108"/>
    </row>
    <row r="382" spans="1:8" x14ac:dyDescent="0.45">
      <c r="A382" s="40">
        <v>1707565337</v>
      </c>
      <c r="B382" s="40" t="s">
        <v>483</v>
      </c>
      <c r="C382" s="40" t="s">
        <v>484</v>
      </c>
      <c r="D382" s="80" t="s">
        <v>249</v>
      </c>
      <c r="E382" s="81">
        <v>46064</v>
      </c>
      <c r="F382" s="91">
        <v>18</v>
      </c>
      <c r="G382" s="91" t="s">
        <v>58</v>
      </c>
      <c r="H382" s="108"/>
    </row>
    <row r="383" spans="1:8" x14ac:dyDescent="0.45">
      <c r="A383" s="40"/>
      <c r="B383" s="40" t="s">
        <v>426</v>
      </c>
      <c r="C383" s="40" t="s">
        <v>485</v>
      </c>
      <c r="D383" s="80" t="s">
        <v>249</v>
      </c>
      <c r="E383" s="81">
        <v>46064</v>
      </c>
      <c r="F383" s="91">
        <v>26</v>
      </c>
      <c r="G383" s="91" t="s">
        <v>89</v>
      </c>
      <c r="H383" s="108">
        <v>76485666</v>
      </c>
    </row>
    <row r="384" spans="1:8" x14ac:dyDescent="0.45">
      <c r="A384" s="43">
        <v>1718093238</v>
      </c>
      <c r="B384" s="43" t="s">
        <v>486</v>
      </c>
      <c r="C384" s="43" t="s">
        <v>487</v>
      </c>
      <c r="D384" s="93" t="s">
        <v>249</v>
      </c>
      <c r="E384" s="94">
        <v>46065</v>
      </c>
      <c r="F384" s="92">
        <v>20</v>
      </c>
      <c r="G384" s="92" t="s">
        <v>89</v>
      </c>
      <c r="H384" s="47">
        <v>46818477</v>
      </c>
    </row>
    <row r="385" spans="1:8" x14ac:dyDescent="0.45">
      <c r="A385" s="43"/>
      <c r="B385" s="43" t="s">
        <v>488</v>
      </c>
      <c r="C385" s="43" t="s">
        <v>489</v>
      </c>
      <c r="D385" s="93" t="s">
        <v>88</v>
      </c>
      <c r="E385" s="94">
        <v>46065</v>
      </c>
      <c r="F385" s="92">
        <v>20</v>
      </c>
      <c r="G385" s="92" t="s">
        <v>89</v>
      </c>
      <c r="H385" s="47">
        <v>26054762</v>
      </c>
    </row>
    <row r="386" spans="1:8" x14ac:dyDescent="0.45">
      <c r="A386" s="43"/>
      <c r="B386" s="43" t="s">
        <v>479</v>
      </c>
      <c r="C386" s="43" t="s">
        <v>104</v>
      </c>
      <c r="D386" s="93" t="s">
        <v>88</v>
      </c>
      <c r="E386" s="94">
        <v>46065</v>
      </c>
      <c r="F386" s="92">
        <v>12</v>
      </c>
      <c r="G386" s="92" t="s">
        <v>435</v>
      </c>
      <c r="H386" s="47">
        <v>115</v>
      </c>
    </row>
    <row r="387" spans="1:8" x14ac:dyDescent="0.45">
      <c r="A387" s="43">
        <v>1713441408</v>
      </c>
      <c r="B387" s="43" t="s">
        <v>490</v>
      </c>
      <c r="C387" s="43" t="s">
        <v>491</v>
      </c>
      <c r="D387" s="93" t="s">
        <v>249</v>
      </c>
      <c r="E387" s="94">
        <v>46065</v>
      </c>
      <c r="F387" s="92">
        <v>28</v>
      </c>
      <c r="G387" s="92" t="s">
        <v>89</v>
      </c>
      <c r="H387" s="47">
        <v>64529117</v>
      </c>
    </row>
    <row r="388" spans="1:8" x14ac:dyDescent="0.45">
      <c r="A388" s="40">
        <v>1722742911</v>
      </c>
      <c r="B388" s="40" t="s">
        <v>492</v>
      </c>
      <c r="C388" s="40" t="s">
        <v>493</v>
      </c>
      <c r="D388" s="80" t="s">
        <v>249</v>
      </c>
      <c r="E388" s="81">
        <v>46066</v>
      </c>
      <c r="F388" s="91">
        <v>37</v>
      </c>
      <c r="G388" s="115" t="s">
        <v>494</v>
      </c>
      <c r="H388" s="108">
        <v>880876568</v>
      </c>
    </row>
    <row r="389" spans="1:8" x14ac:dyDescent="0.45">
      <c r="A389" s="61">
        <v>1722742911</v>
      </c>
      <c r="B389" s="63" t="s">
        <v>492</v>
      </c>
      <c r="C389" s="63" t="s">
        <v>495</v>
      </c>
      <c r="D389" s="110" t="s">
        <v>88</v>
      </c>
      <c r="E389" s="116">
        <v>46066</v>
      </c>
      <c r="F389" s="117">
        <v>19</v>
      </c>
      <c r="G389" s="117" t="s">
        <v>494</v>
      </c>
      <c r="H389" s="113">
        <v>880876568</v>
      </c>
    </row>
    <row r="390" spans="1:8" x14ac:dyDescent="0.45">
      <c r="A390" s="40">
        <v>1722742911</v>
      </c>
      <c r="B390" s="62" t="s">
        <v>496</v>
      </c>
      <c r="C390" s="62" t="s">
        <v>87</v>
      </c>
      <c r="D390" s="118"/>
      <c r="E390" s="114">
        <v>46066</v>
      </c>
      <c r="F390" s="115">
        <v>18</v>
      </c>
      <c r="G390" s="115"/>
      <c r="H390" s="119"/>
    </row>
    <row r="391" spans="1:8" x14ac:dyDescent="0.45">
      <c r="A391" s="43">
        <v>1707963227</v>
      </c>
      <c r="B391" s="43" t="s">
        <v>77</v>
      </c>
      <c r="C391" s="43" t="s">
        <v>489</v>
      </c>
      <c r="D391" s="93" t="s">
        <v>88</v>
      </c>
      <c r="E391" s="94">
        <v>46067</v>
      </c>
      <c r="F391" s="92">
        <v>20</v>
      </c>
      <c r="G391" s="92" t="s">
        <v>89</v>
      </c>
      <c r="H391" s="108">
        <v>20766486</v>
      </c>
    </row>
    <row r="392" spans="1:8" x14ac:dyDescent="0.45">
      <c r="A392" s="43">
        <v>1714063292</v>
      </c>
      <c r="B392" s="43" t="s">
        <v>71</v>
      </c>
      <c r="C392" s="43" t="s">
        <v>497</v>
      </c>
      <c r="D392" s="93" t="s">
        <v>249</v>
      </c>
      <c r="E392" s="94">
        <v>46067</v>
      </c>
      <c r="F392" s="92">
        <v>22</v>
      </c>
      <c r="G392" s="92" t="s">
        <v>55</v>
      </c>
      <c r="H392" s="47"/>
    </row>
    <row r="393" spans="1:8" x14ac:dyDescent="0.45">
      <c r="A393" s="43" t="s">
        <v>498</v>
      </c>
      <c r="B393" s="62" t="s">
        <v>499</v>
      </c>
      <c r="C393" s="62" t="s">
        <v>500</v>
      </c>
      <c r="D393" s="93" t="s">
        <v>272</v>
      </c>
      <c r="E393" s="114">
        <v>46067</v>
      </c>
      <c r="F393" s="115">
        <v>25</v>
      </c>
      <c r="G393" s="115"/>
      <c r="H393" s="47"/>
    </row>
    <row r="394" spans="1:8" x14ac:dyDescent="0.45">
      <c r="A394" s="43"/>
      <c r="B394" s="43" t="s">
        <v>88</v>
      </c>
      <c r="C394" s="43" t="s">
        <v>501</v>
      </c>
      <c r="D394" s="93" t="s">
        <v>272</v>
      </c>
      <c r="E394" s="94">
        <v>46067</v>
      </c>
      <c r="F394" s="92">
        <v>50</v>
      </c>
      <c r="G394" s="92" t="s">
        <v>435</v>
      </c>
      <c r="H394" s="47"/>
    </row>
    <row r="395" spans="1:8" x14ac:dyDescent="0.45">
      <c r="A395" s="43">
        <v>1707963227</v>
      </c>
      <c r="B395" s="43" t="s">
        <v>77</v>
      </c>
      <c r="C395" s="43" t="s">
        <v>502</v>
      </c>
      <c r="D395" s="93" t="s">
        <v>249</v>
      </c>
      <c r="E395" s="94">
        <v>46067</v>
      </c>
      <c r="F395" s="92">
        <v>16</v>
      </c>
      <c r="G395" s="92" t="s">
        <v>89</v>
      </c>
      <c r="H395" s="47">
        <v>56899799</v>
      </c>
    </row>
    <row r="396" spans="1:8" x14ac:dyDescent="0.45">
      <c r="A396" s="59">
        <v>1707963227</v>
      </c>
      <c r="B396" s="59" t="s">
        <v>503</v>
      </c>
      <c r="C396" s="120" t="s">
        <v>87</v>
      </c>
      <c r="D396" s="59" t="s">
        <v>249</v>
      </c>
      <c r="E396" s="121">
        <v>46067</v>
      </c>
      <c r="F396" s="109">
        <v>18</v>
      </c>
      <c r="G396" s="92" t="s">
        <v>89</v>
      </c>
      <c r="H396" s="122"/>
    </row>
    <row r="397" spans="1:8" x14ac:dyDescent="0.45">
      <c r="A397" s="40">
        <v>1712323961001</v>
      </c>
      <c r="B397" s="40" t="s">
        <v>504</v>
      </c>
      <c r="C397" s="40" t="s">
        <v>87</v>
      </c>
      <c r="D397" s="80" t="s">
        <v>88</v>
      </c>
      <c r="E397" s="81">
        <v>46069</v>
      </c>
      <c r="F397" s="91">
        <v>18</v>
      </c>
      <c r="G397" s="91" t="s">
        <v>55</v>
      </c>
      <c r="H397" s="108"/>
    </row>
    <row r="398" spans="1:8" x14ac:dyDescent="0.45">
      <c r="A398" s="40">
        <v>1204569139</v>
      </c>
      <c r="B398" s="40" t="s">
        <v>505</v>
      </c>
      <c r="C398" s="40" t="s">
        <v>104</v>
      </c>
      <c r="D398" s="80" t="s">
        <v>88</v>
      </c>
      <c r="E398" s="81">
        <v>46069</v>
      </c>
      <c r="F398" s="91">
        <v>12</v>
      </c>
      <c r="G398" s="91" t="s">
        <v>55</v>
      </c>
      <c r="H398" s="108"/>
    </row>
    <row r="399" spans="1:8" x14ac:dyDescent="0.45">
      <c r="A399" s="40">
        <v>1703341808</v>
      </c>
      <c r="B399" s="40" t="s">
        <v>506</v>
      </c>
      <c r="C399" s="40" t="s">
        <v>95</v>
      </c>
      <c r="D399" s="80" t="s">
        <v>88</v>
      </c>
      <c r="E399" s="81">
        <v>46069</v>
      </c>
      <c r="F399" s="91">
        <v>10</v>
      </c>
      <c r="G399" s="91" t="s">
        <v>55</v>
      </c>
      <c r="H399" s="108"/>
    </row>
    <row r="400" spans="1:8" x14ac:dyDescent="0.45">
      <c r="A400" s="40"/>
      <c r="B400" s="40"/>
      <c r="C400" s="40"/>
      <c r="D400" s="80"/>
      <c r="E400" s="40"/>
      <c r="F400" s="91"/>
      <c r="G400" s="91"/>
      <c r="H400" s="108"/>
    </row>
    <row r="401" spans="1:8" x14ac:dyDescent="0.45">
      <c r="A401" s="43">
        <v>1750373639</v>
      </c>
      <c r="B401" s="43" t="s">
        <v>507</v>
      </c>
      <c r="C401" s="43" t="s">
        <v>508</v>
      </c>
      <c r="D401" s="93" t="s">
        <v>249</v>
      </c>
      <c r="E401" s="94">
        <v>46070</v>
      </c>
      <c r="F401" s="92">
        <v>20</v>
      </c>
      <c r="G401" s="92" t="s">
        <v>55</v>
      </c>
      <c r="H401" s="47"/>
    </row>
    <row r="402" spans="1:8" x14ac:dyDescent="0.45">
      <c r="A402" s="43"/>
      <c r="B402" s="43" t="s">
        <v>410</v>
      </c>
      <c r="C402" s="43" t="s">
        <v>509</v>
      </c>
      <c r="D402" s="93" t="s">
        <v>88</v>
      </c>
      <c r="E402" s="94">
        <v>46070</v>
      </c>
      <c r="F402" s="92">
        <v>24</v>
      </c>
      <c r="G402" s="92" t="s">
        <v>55</v>
      </c>
      <c r="H402" s="47"/>
    </row>
    <row r="403" spans="1:8" x14ac:dyDescent="0.45">
      <c r="A403" s="40">
        <v>1712323961001</v>
      </c>
      <c r="B403" s="40" t="s">
        <v>504</v>
      </c>
      <c r="C403" s="40" t="s">
        <v>102</v>
      </c>
      <c r="D403" s="80" t="s">
        <v>249</v>
      </c>
      <c r="E403" s="81">
        <v>46071</v>
      </c>
      <c r="F403" s="91">
        <v>19</v>
      </c>
      <c r="G403" s="91" t="s">
        <v>89</v>
      </c>
      <c r="H403" s="108">
        <v>237401689</v>
      </c>
    </row>
    <row r="404" spans="1:8" x14ac:dyDescent="0.45">
      <c r="A404" s="40"/>
      <c r="B404" s="40" t="s">
        <v>510</v>
      </c>
      <c r="C404" s="40" t="s">
        <v>359</v>
      </c>
      <c r="D404" s="80" t="s">
        <v>88</v>
      </c>
      <c r="E404" s="81">
        <v>46071</v>
      </c>
      <c r="F404" s="91">
        <v>5</v>
      </c>
      <c r="G404" s="91" t="s">
        <v>89</v>
      </c>
      <c r="H404" s="108">
        <v>227757077</v>
      </c>
    </row>
    <row r="405" spans="1:8" x14ac:dyDescent="0.45">
      <c r="A405" s="40">
        <v>1725577504</v>
      </c>
      <c r="B405" s="40" t="s">
        <v>276</v>
      </c>
      <c r="C405" s="40" t="s">
        <v>183</v>
      </c>
      <c r="D405" s="80" t="s">
        <v>88</v>
      </c>
      <c r="E405" s="81">
        <v>46071</v>
      </c>
      <c r="F405" s="91">
        <v>37</v>
      </c>
      <c r="G405" s="91" t="s">
        <v>89</v>
      </c>
      <c r="H405" s="108">
        <v>251608263</v>
      </c>
    </row>
    <row r="406" spans="1:8" x14ac:dyDescent="0.45">
      <c r="A406" s="40">
        <v>1725800971</v>
      </c>
      <c r="B406" s="40" t="s">
        <v>511</v>
      </c>
      <c r="C406" s="40" t="s">
        <v>102</v>
      </c>
      <c r="D406" s="80" t="s">
        <v>249</v>
      </c>
      <c r="E406" s="81">
        <v>46071</v>
      </c>
      <c r="F406" s="91">
        <v>19</v>
      </c>
      <c r="G406" s="91" t="s">
        <v>58</v>
      </c>
      <c r="H406" s="108">
        <v>854099020900</v>
      </c>
    </row>
    <row r="407" spans="1:8" x14ac:dyDescent="0.45">
      <c r="A407" s="43">
        <v>1750481671</v>
      </c>
      <c r="B407" s="43" t="s">
        <v>512</v>
      </c>
      <c r="C407" s="43" t="s">
        <v>95</v>
      </c>
      <c r="D407" s="93" t="s">
        <v>88</v>
      </c>
      <c r="E407" s="94">
        <v>46072</v>
      </c>
      <c r="F407" s="92">
        <v>10</v>
      </c>
      <c r="G407" s="92" t="s">
        <v>435</v>
      </c>
      <c r="H407" s="47">
        <v>126</v>
      </c>
    </row>
    <row r="408" spans="1:8" x14ac:dyDescent="0.45">
      <c r="A408" s="43">
        <v>1302508179</v>
      </c>
      <c r="B408" s="43" t="s">
        <v>464</v>
      </c>
      <c r="C408" s="43" t="s">
        <v>513</v>
      </c>
      <c r="D408" s="93" t="s">
        <v>249</v>
      </c>
      <c r="E408" s="94">
        <v>46072</v>
      </c>
      <c r="F408" s="92">
        <v>40</v>
      </c>
      <c r="G408" s="92" t="s">
        <v>58</v>
      </c>
      <c r="H408" s="47">
        <v>7691</v>
      </c>
    </row>
    <row r="409" spans="1:8" x14ac:dyDescent="0.45">
      <c r="A409" s="43"/>
      <c r="B409" s="43"/>
      <c r="C409" s="43"/>
      <c r="D409" s="93"/>
      <c r="E409" s="94"/>
      <c r="F409" s="92"/>
      <c r="G409" s="92"/>
      <c r="H409" s="47"/>
    </row>
    <row r="410" spans="1:8" x14ac:dyDescent="0.45">
      <c r="A410" s="40">
        <v>1725800971</v>
      </c>
      <c r="B410" s="40" t="s">
        <v>511</v>
      </c>
      <c r="C410" s="40" t="s">
        <v>87</v>
      </c>
      <c r="D410" s="80" t="s">
        <v>88</v>
      </c>
      <c r="E410" s="81">
        <v>46073</v>
      </c>
      <c r="F410" s="91">
        <v>18</v>
      </c>
      <c r="G410" s="115" t="s">
        <v>328</v>
      </c>
      <c r="H410" s="108">
        <v>444191020900</v>
      </c>
    </row>
    <row r="411" spans="1:8" x14ac:dyDescent="0.45">
      <c r="A411" s="40"/>
      <c r="B411" s="40" t="s">
        <v>514</v>
      </c>
      <c r="C411" s="40" t="s">
        <v>300</v>
      </c>
      <c r="D411" s="80" t="s">
        <v>249</v>
      </c>
      <c r="E411" s="81">
        <v>46073</v>
      </c>
      <c r="F411" s="91">
        <v>10</v>
      </c>
      <c r="G411" s="115" t="s">
        <v>515</v>
      </c>
      <c r="H411" s="108"/>
    </row>
    <row r="412" spans="1:8" x14ac:dyDescent="0.45">
      <c r="A412" s="40">
        <v>1753450904</v>
      </c>
      <c r="B412" s="40" t="s">
        <v>516</v>
      </c>
      <c r="C412" s="40" t="s">
        <v>517</v>
      </c>
      <c r="D412" s="80" t="s">
        <v>249</v>
      </c>
      <c r="E412" s="81">
        <v>46073</v>
      </c>
      <c r="F412" s="91">
        <v>16</v>
      </c>
      <c r="G412" s="91" t="s">
        <v>403</v>
      </c>
      <c r="H412" s="108">
        <v>127</v>
      </c>
    </row>
    <row r="413" spans="1:8" x14ac:dyDescent="0.45">
      <c r="A413" s="43"/>
      <c r="B413" s="43" t="s">
        <v>518</v>
      </c>
      <c r="C413" s="43" t="s">
        <v>160</v>
      </c>
      <c r="D413" s="93" t="s">
        <v>249</v>
      </c>
      <c r="E413" s="94">
        <v>46074</v>
      </c>
      <c r="F413" s="92">
        <v>18</v>
      </c>
      <c r="G413" s="92" t="s">
        <v>55</v>
      </c>
      <c r="H413" s="47"/>
    </row>
    <row r="414" spans="1:8" x14ac:dyDescent="0.45">
      <c r="A414" s="43">
        <v>1721674099</v>
      </c>
      <c r="B414" s="43" t="s">
        <v>519</v>
      </c>
      <c r="C414" s="43" t="s">
        <v>160</v>
      </c>
      <c r="D414" s="93" t="s">
        <v>88</v>
      </c>
      <c r="E414" s="94">
        <v>46074</v>
      </c>
      <c r="F414" s="92">
        <v>18</v>
      </c>
      <c r="G414" s="92" t="s">
        <v>435</v>
      </c>
      <c r="H414" s="47"/>
    </row>
    <row r="415" spans="1:8" x14ac:dyDescent="0.45">
      <c r="A415" s="43"/>
      <c r="B415" s="43" t="s">
        <v>520</v>
      </c>
      <c r="C415" s="43" t="s">
        <v>34</v>
      </c>
      <c r="D415" s="93" t="s">
        <v>249</v>
      </c>
      <c r="E415" s="94">
        <v>46074</v>
      </c>
      <c r="F415" s="92">
        <v>12</v>
      </c>
      <c r="G415" s="92" t="s">
        <v>435</v>
      </c>
      <c r="H415" s="47"/>
    </row>
    <row r="416" spans="1:8" x14ac:dyDescent="0.45">
      <c r="A416" s="43">
        <v>1721946067</v>
      </c>
      <c r="B416" s="43" t="s">
        <v>74</v>
      </c>
      <c r="C416" s="43" t="s">
        <v>521</v>
      </c>
      <c r="D416" s="93" t="s">
        <v>88</v>
      </c>
      <c r="E416" s="94">
        <v>46074</v>
      </c>
      <c r="F416" s="92">
        <v>3</v>
      </c>
      <c r="G416" s="92" t="s">
        <v>55</v>
      </c>
      <c r="H416" s="47"/>
    </row>
    <row r="417" spans="1:8" x14ac:dyDescent="0.45">
      <c r="A417" s="43">
        <v>1721946067</v>
      </c>
      <c r="B417" s="43" t="s">
        <v>522</v>
      </c>
      <c r="C417" s="43" t="s">
        <v>523</v>
      </c>
      <c r="D417" s="93" t="s">
        <v>249</v>
      </c>
      <c r="E417" s="94">
        <v>46074</v>
      </c>
      <c r="F417" s="92">
        <v>6</v>
      </c>
      <c r="G417" s="92" t="s">
        <v>55</v>
      </c>
      <c r="H417" s="47"/>
    </row>
    <row r="418" spans="1:8" x14ac:dyDescent="0.45">
      <c r="A418" s="43">
        <v>1714063292</v>
      </c>
      <c r="B418" s="43" t="s">
        <v>71</v>
      </c>
      <c r="C418" s="43" t="s">
        <v>524</v>
      </c>
      <c r="D418" s="93" t="s">
        <v>249</v>
      </c>
      <c r="E418" s="94">
        <v>46074</v>
      </c>
      <c r="F418" s="92">
        <v>10</v>
      </c>
      <c r="G418" s="92" t="s">
        <v>55</v>
      </c>
      <c r="H418" s="47"/>
    </row>
    <row r="419" spans="1:8" x14ac:dyDescent="0.45">
      <c r="A419" s="40">
        <v>1711000362</v>
      </c>
      <c r="B419" s="40" t="s">
        <v>525</v>
      </c>
      <c r="C419" s="40" t="s">
        <v>526</v>
      </c>
      <c r="D419" s="80" t="s">
        <v>249</v>
      </c>
      <c r="E419" s="81">
        <v>46075</v>
      </c>
      <c r="F419" s="91">
        <f>18+30</f>
        <v>48</v>
      </c>
      <c r="G419" s="91" t="s">
        <v>55</v>
      </c>
      <c r="H419" s="108"/>
    </row>
    <row r="420" spans="1:8" x14ac:dyDescent="0.45">
      <c r="A420" s="40">
        <v>1711000362</v>
      </c>
      <c r="B420" s="40" t="s">
        <v>525</v>
      </c>
      <c r="C420" s="40" t="s">
        <v>140</v>
      </c>
      <c r="D420" s="80" t="s">
        <v>88</v>
      </c>
      <c r="E420" s="81">
        <v>46075</v>
      </c>
      <c r="F420" s="91">
        <v>12</v>
      </c>
      <c r="G420" s="91" t="s">
        <v>55</v>
      </c>
      <c r="H420" s="108"/>
    </row>
    <row r="421" spans="1:8" x14ac:dyDescent="0.45">
      <c r="A421" s="40">
        <v>106143837</v>
      </c>
      <c r="B421" s="40" t="s">
        <v>144</v>
      </c>
      <c r="C421" s="40" t="s">
        <v>527</v>
      </c>
      <c r="D421" s="80" t="s">
        <v>88</v>
      </c>
      <c r="E421" s="81">
        <v>46075</v>
      </c>
      <c r="F421" s="91">
        <v>18</v>
      </c>
      <c r="G421" s="91" t="s">
        <v>89</v>
      </c>
      <c r="H421" s="108">
        <v>83119589</v>
      </c>
    </row>
    <row r="422" spans="1:8" x14ac:dyDescent="0.45">
      <c r="A422" s="40">
        <v>1721946067</v>
      </c>
      <c r="B422" s="40" t="s">
        <v>74</v>
      </c>
      <c r="C422" s="40" t="s">
        <v>528</v>
      </c>
      <c r="D422" s="80" t="s">
        <v>88</v>
      </c>
      <c r="E422" s="81">
        <v>46075</v>
      </c>
      <c r="F422" s="91">
        <f>18+6</f>
        <v>24</v>
      </c>
      <c r="G422" s="91" t="s">
        <v>55</v>
      </c>
      <c r="H422" s="108"/>
    </row>
    <row r="423" spans="1:8" x14ac:dyDescent="0.45">
      <c r="A423" s="62"/>
      <c r="B423" s="43" t="s">
        <v>529</v>
      </c>
      <c r="C423" s="43" t="s">
        <v>530</v>
      </c>
      <c r="D423" s="93" t="s">
        <v>88</v>
      </c>
      <c r="E423" s="94">
        <v>46076</v>
      </c>
      <c r="F423" s="92">
        <v>25</v>
      </c>
      <c r="G423" s="92" t="s">
        <v>89</v>
      </c>
      <c r="H423" s="47">
        <v>14726528</v>
      </c>
    </row>
    <row r="424" spans="1:8" x14ac:dyDescent="0.45">
      <c r="A424" s="40"/>
      <c r="B424" s="40"/>
      <c r="C424" s="40" t="s">
        <v>150</v>
      </c>
      <c r="D424" s="40"/>
      <c r="E424" s="81">
        <v>46077</v>
      </c>
      <c r="F424" s="91">
        <v>0</v>
      </c>
      <c r="G424" s="91"/>
      <c r="H424" s="108"/>
    </row>
    <row r="425" spans="1:8" x14ac:dyDescent="0.45">
      <c r="A425" s="43">
        <v>1707565337</v>
      </c>
      <c r="B425" s="43" t="s">
        <v>483</v>
      </c>
      <c r="C425" s="43" t="s">
        <v>484</v>
      </c>
      <c r="D425" s="93" t="s">
        <v>249</v>
      </c>
      <c r="E425" s="94">
        <v>46078</v>
      </c>
      <c r="F425" s="92">
        <v>18</v>
      </c>
      <c r="G425" s="92" t="s">
        <v>58</v>
      </c>
      <c r="H425" s="47">
        <v>154349</v>
      </c>
    </row>
    <row r="426" spans="1:8" x14ac:dyDescent="0.45">
      <c r="A426" s="43">
        <v>104207725</v>
      </c>
      <c r="B426" s="43" t="s">
        <v>531</v>
      </c>
      <c r="C426" s="43" t="s">
        <v>532</v>
      </c>
      <c r="D426" s="93" t="s">
        <v>249</v>
      </c>
      <c r="E426" s="94">
        <v>46078</v>
      </c>
      <c r="F426" s="92">
        <v>10</v>
      </c>
      <c r="G426" s="92" t="s">
        <v>55</v>
      </c>
      <c r="H426" s="47"/>
    </row>
    <row r="427" spans="1:8" x14ac:dyDescent="0.45">
      <c r="A427" s="43">
        <v>1707970552</v>
      </c>
      <c r="B427" s="43" t="s">
        <v>533</v>
      </c>
      <c r="C427" s="43" t="s">
        <v>534</v>
      </c>
      <c r="D427" s="93" t="s">
        <v>249</v>
      </c>
      <c r="E427" s="94">
        <v>45713</v>
      </c>
      <c r="F427" s="92">
        <v>22</v>
      </c>
      <c r="G427" s="92" t="s">
        <v>89</v>
      </c>
      <c r="H427" s="47">
        <v>65659794</v>
      </c>
    </row>
    <row r="428" spans="1:8" x14ac:dyDescent="0.45">
      <c r="A428" s="43"/>
      <c r="B428" s="43"/>
      <c r="C428" s="43"/>
      <c r="D428" s="93"/>
      <c r="E428" s="94"/>
      <c r="F428" s="92"/>
      <c r="G428" s="92"/>
      <c r="H428" s="47"/>
    </row>
    <row r="429" spans="1:8" x14ac:dyDescent="0.45">
      <c r="A429" s="40">
        <v>1718150517</v>
      </c>
      <c r="B429" s="40" t="s">
        <v>535</v>
      </c>
      <c r="C429" s="40" t="s">
        <v>536</v>
      </c>
      <c r="D429" s="80" t="s">
        <v>88</v>
      </c>
      <c r="E429" s="81">
        <v>46079</v>
      </c>
      <c r="F429" s="91">
        <v>18</v>
      </c>
      <c r="G429" s="91" t="s">
        <v>403</v>
      </c>
      <c r="H429" s="108">
        <v>133</v>
      </c>
    </row>
    <row r="430" spans="1:8" x14ac:dyDescent="0.45">
      <c r="A430" s="40">
        <v>1718150517</v>
      </c>
      <c r="B430" s="40" t="s">
        <v>535</v>
      </c>
      <c r="C430" s="40" t="s">
        <v>537</v>
      </c>
      <c r="D430" s="80" t="s">
        <v>405</v>
      </c>
      <c r="E430" s="81">
        <v>46079</v>
      </c>
      <c r="F430" s="91">
        <f>94-25-18</f>
        <v>51</v>
      </c>
      <c r="G430" s="91" t="s">
        <v>403</v>
      </c>
      <c r="H430" s="108"/>
    </row>
    <row r="431" spans="1:8" x14ac:dyDescent="0.45">
      <c r="A431" s="40">
        <v>951334366</v>
      </c>
      <c r="B431" s="40" t="s">
        <v>538</v>
      </c>
      <c r="C431" s="40" t="s">
        <v>539</v>
      </c>
      <c r="D431" s="80" t="s">
        <v>88</v>
      </c>
      <c r="E431" s="81">
        <v>46079</v>
      </c>
      <c r="F431" s="91">
        <v>37</v>
      </c>
      <c r="G431" s="91" t="s">
        <v>89</v>
      </c>
      <c r="H431" s="108">
        <v>54453606</v>
      </c>
    </row>
    <row r="432" spans="1:8" x14ac:dyDescent="0.45">
      <c r="A432" s="40">
        <v>17139191603</v>
      </c>
      <c r="B432" s="40" t="s">
        <v>296</v>
      </c>
      <c r="C432" s="40" t="s">
        <v>440</v>
      </c>
      <c r="D432" s="80" t="s">
        <v>249</v>
      </c>
      <c r="E432" s="81">
        <v>46809</v>
      </c>
      <c r="F432" s="91">
        <v>18</v>
      </c>
      <c r="G432" s="91" t="s">
        <v>403</v>
      </c>
      <c r="H432" s="108">
        <v>134</v>
      </c>
    </row>
    <row r="433" spans="1:8" x14ac:dyDescent="0.45">
      <c r="A433" s="40">
        <v>1721946067</v>
      </c>
      <c r="B433" s="40" t="s">
        <v>540</v>
      </c>
      <c r="C433" s="40" t="s">
        <v>87</v>
      </c>
      <c r="D433" s="80" t="s">
        <v>88</v>
      </c>
      <c r="E433" s="81">
        <v>46079</v>
      </c>
      <c r="F433" s="91">
        <v>18</v>
      </c>
      <c r="G433" s="91" t="s">
        <v>58</v>
      </c>
      <c r="H433" s="108">
        <v>19208936</v>
      </c>
    </row>
    <row r="434" spans="1:8" x14ac:dyDescent="0.45">
      <c r="A434" s="43">
        <v>1725676991</v>
      </c>
      <c r="B434" s="43" t="s">
        <v>541</v>
      </c>
      <c r="C434" s="43" t="s">
        <v>542</v>
      </c>
      <c r="D434" s="93" t="s">
        <v>249</v>
      </c>
      <c r="E434" s="94">
        <v>46080</v>
      </c>
      <c r="F434" s="92">
        <v>26</v>
      </c>
      <c r="G434" s="92" t="s">
        <v>435</v>
      </c>
      <c r="H434" s="47"/>
    </row>
    <row r="435" spans="1:8" x14ac:dyDescent="0.45">
      <c r="A435" s="43">
        <v>1724420235</v>
      </c>
      <c r="B435" s="43" t="s">
        <v>543</v>
      </c>
      <c r="C435" s="43" t="s">
        <v>544</v>
      </c>
      <c r="D435" s="93" t="s">
        <v>88</v>
      </c>
      <c r="E435" s="94">
        <v>46080</v>
      </c>
      <c r="F435" s="92">
        <v>18</v>
      </c>
      <c r="G435" s="92" t="s">
        <v>58</v>
      </c>
      <c r="H435" s="47">
        <v>3021193020900</v>
      </c>
    </row>
    <row r="436" spans="1:8" x14ac:dyDescent="0.45">
      <c r="A436" s="43">
        <v>1704254190</v>
      </c>
      <c r="B436" s="43" t="s">
        <v>545</v>
      </c>
      <c r="C436" s="43" t="s">
        <v>300</v>
      </c>
      <c r="D436" s="93" t="s">
        <v>249</v>
      </c>
      <c r="E436" s="94">
        <v>46080</v>
      </c>
      <c r="F436" s="92">
        <v>10</v>
      </c>
      <c r="G436" s="92" t="s">
        <v>435</v>
      </c>
      <c r="H436" s="47">
        <v>137</v>
      </c>
    </row>
    <row r="437" spans="1:8" x14ac:dyDescent="0.45">
      <c r="A437" s="40">
        <v>1704254190</v>
      </c>
      <c r="B437" s="40" t="s">
        <v>545</v>
      </c>
      <c r="C437" s="40" t="s">
        <v>34</v>
      </c>
      <c r="D437" s="40" t="s">
        <v>249</v>
      </c>
      <c r="E437" s="81">
        <v>46081</v>
      </c>
      <c r="F437" s="91">
        <v>12</v>
      </c>
      <c r="G437" s="91" t="s">
        <v>403</v>
      </c>
      <c r="H437" s="108"/>
    </row>
    <row r="438" spans="1:8" x14ac:dyDescent="0.45">
      <c r="A438" s="40">
        <v>1721946067</v>
      </c>
      <c r="B438" s="40" t="s">
        <v>74</v>
      </c>
      <c r="C438" s="40" t="s">
        <v>546</v>
      </c>
      <c r="D438" s="40" t="s">
        <v>249</v>
      </c>
      <c r="E438" s="81">
        <v>46081</v>
      </c>
      <c r="F438" s="91">
        <v>10</v>
      </c>
      <c r="G438" s="91" t="s">
        <v>55</v>
      </c>
      <c r="H438" s="108"/>
    </row>
    <row r="439" spans="1:8" x14ac:dyDescent="0.45">
      <c r="A439" s="40">
        <v>1714063292</v>
      </c>
      <c r="B439" s="40" t="s">
        <v>71</v>
      </c>
      <c r="C439" s="40" t="s">
        <v>270</v>
      </c>
      <c r="D439" s="40" t="s">
        <v>88</v>
      </c>
      <c r="E439" s="81">
        <v>46081</v>
      </c>
      <c r="F439" s="91">
        <v>10</v>
      </c>
      <c r="G439" s="91" t="s">
        <v>55</v>
      </c>
      <c r="H439" s="108"/>
    </row>
    <row r="440" spans="1:8" x14ac:dyDescent="0.45">
      <c r="A440" s="40">
        <v>1727054759</v>
      </c>
      <c r="B440" s="40" t="s">
        <v>547</v>
      </c>
      <c r="C440" s="40" t="s">
        <v>548</v>
      </c>
      <c r="D440" s="40" t="s">
        <v>88</v>
      </c>
      <c r="E440" s="81">
        <v>46081</v>
      </c>
      <c r="F440" s="91">
        <f>25+18</f>
        <v>43</v>
      </c>
      <c r="G440" s="91" t="s">
        <v>403</v>
      </c>
      <c r="H440" s="108"/>
    </row>
    <row r="441" spans="1:8" x14ac:dyDescent="0.45">
      <c r="A441" s="40"/>
      <c r="B441" s="40" t="s">
        <v>549</v>
      </c>
      <c r="C441" s="40" t="s">
        <v>550</v>
      </c>
      <c r="D441" s="40" t="s">
        <v>249</v>
      </c>
      <c r="E441" s="81">
        <v>46081</v>
      </c>
      <c r="F441" s="91">
        <v>19</v>
      </c>
      <c r="G441" s="91" t="s">
        <v>58</v>
      </c>
      <c r="H441" s="108"/>
    </row>
    <row r="442" spans="1:8" x14ac:dyDescent="0.45">
      <c r="A442" s="40">
        <v>1720193026</v>
      </c>
      <c r="B442" s="40" t="s">
        <v>551</v>
      </c>
      <c r="C442" s="40" t="s">
        <v>552</v>
      </c>
      <c r="D442" s="40" t="s">
        <v>249</v>
      </c>
      <c r="E442" s="81">
        <v>46081</v>
      </c>
      <c r="F442" s="91">
        <v>17</v>
      </c>
      <c r="G442" s="91" t="s">
        <v>55</v>
      </c>
      <c r="H442" s="108"/>
    </row>
    <row r="443" spans="1:8" x14ac:dyDescent="0.45">
      <c r="A443" s="40">
        <v>1704594298</v>
      </c>
      <c r="B443" s="40" t="s">
        <v>553</v>
      </c>
      <c r="C443" s="40" t="s">
        <v>270</v>
      </c>
      <c r="D443" s="40" t="s">
        <v>88</v>
      </c>
      <c r="E443" s="81">
        <v>46081</v>
      </c>
      <c r="F443" s="91">
        <v>10</v>
      </c>
      <c r="G443" s="91" t="s">
        <v>89</v>
      </c>
      <c r="H443" s="108"/>
    </row>
    <row r="444" spans="1:8" x14ac:dyDescent="0.45">
      <c r="A444" s="40"/>
      <c r="B444" s="40" t="s">
        <v>554</v>
      </c>
      <c r="C444" s="40" t="s">
        <v>555</v>
      </c>
      <c r="D444" s="40" t="s">
        <v>249</v>
      </c>
      <c r="E444" s="81">
        <v>46081</v>
      </c>
      <c r="F444" s="91">
        <v>22</v>
      </c>
      <c r="G444" s="91" t="s">
        <v>89</v>
      </c>
      <c r="H444" s="108"/>
    </row>
    <row r="445" spans="1:8" x14ac:dyDescent="0.45">
      <c r="A445" s="64"/>
      <c r="B445" s="64" t="s">
        <v>556</v>
      </c>
      <c r="C445" s="64" t="s">
        <v>422</v>
      </c>
      <c r="D445" s="123" t="s">
        <v>249</v>
      </c>
      <c r="E445" s="124">
        <v>46082</v>
      </c>
      <c r="F445" s="125">
        <v>12</v>
      </c>
      <c r="G445" s="125" t="s">
        <v>89</v>
      </c>
      <c r="H445" s="126">
        <v>85631398</v>
      </c>
    </row>
    <row r="446" spans="1:8" x14ac:dyDescent="0.45">
      <c r="A446" s="64"/>
      <c r="B446" s="64" t="s">
        <v>556</v>
      </c>
      <c r="C446" s="64" t="s">
        <v>270</v>
      </c>
      <c r="D446" s="123" t="s">
        <v>88</v>
      </c>
      <c r="E446" s="124">
        <v>46082</v>
      </c>
      <c r="F446" s="125">
        <v>10</v>
      </c>
      <c r="G446" s="125" t="s">
        <v>89</v>
      </c>
      <c r="H446" s="126">
        <v>85631398</v>
      </c>
    </row>
    <row r="447" spans="1:8" x14ac:dyDescent="0.45">
      <c r="A447" s="64"/>
      <c r="B447" s="64" t="s">
        <v>557</v>
      </c>
      <c r="C447" s="64" t="s">
        <v>270</v>
      </c>
      <c r="D447" s="123" t="s">
        <v>88</v>
      </c>
      <c r="E447" s="124">
        <v>46082</v>
      </c>
      <c r="F447" s="125">
        <v>10</v>
      </c>
      <c r="G447" s="125" t="s">
        <v>558</v>
      </c>
      <c r="H447" s="127"/>
    </row>
    <row r="448" spans="1:8" x14ac:dyDescent="0.45">
      <c r="A448" s="64">
        <v>1711291383</v>
      </c>
      <c r="B448" s="64" t="s">
        <v>559</v>
      </c>
      <c r="C448" s="64" t="s">
        <v>270</v>
      </c>
      <c r="D448" s="123" t="s">
        <v>249</v>
      </c>
      <c r="E448" s="124">
        <v>46082</v>
      </c>
      <c r="F448" s="125">
        <v>10</v>
      </c>
      <c r="G448" s="125" t="s">
        <v>89</v>
      </c>
      <c r="H448" s="127">
        <v>109771241</v>
      </c>
    </row>
    <row r="449" spans="1:8" x14ac:dyDescent="0.45">
      <c r="A449" s="64">
        <v>1711291383</v>
      </c>
      <c r="B449" s="64" t="s">
        <v>559</v>
      </c>
      <c r="C449" s="64" t="s">
        <v>264</v>
      </c>
      <c r="D449" s="123" t="s">
        <v>88</v>
      </c>
      <c r="E449" s="124">
        <v>46082</v>
      </c>
      <c r="F449" s="125">
        <v>18</v>
      </c>
      <c r="G449" s="125" t="s">
        <v>89</v>
      </c>
      <c r="H449" s="127">
        <v>109771241</v>
      </c>
    </row>
    <row r="450" spans="1:8" x14ac:dyDescent="0.45">
      <c r="A450" s="64">
        <v>503901894001</v>
      </c>
      <c r="B450" s="64" t="s">
        <v>560</v>
      </c>
      <c r="C450" s="64" t="s">
        <v>561</v>
      </c>
      <c r="D450" s="123" t="s">
        <v>249</v>
      </c>
      <c r="E450" s="124">
        <v>46082</v>
      </c>
      <c r="F450" s="125">
        <v>2</v>
      </c>
      <c r="G450" s="125" t="s">
        <v>55</v>
      </c>
      <c r="H450" s="127"/>
    </row>
    <row r="451" spans="1:8" x14ac:dyDescent="0.45">
      <c r="A451" s="40">
        <v>503901894001</v>
      </c>
      <c r="B451" s="40" t="s">
        <v>560</v>
      </c>
      <c r="C451" s="40" t="s">
        <v>562</v>
      </c>
      <c r="D451" s="80" t="s">
        <v>88</v>
      </c>
      <c r="E451" s="128">
        <v>46083</v>
      </c>
      <c r="F451" s="91">
        <v>20</v>
      </c>
      <c r="G451" s="91" t="s">
        <v>55</v>
      </c>
      <c r="H451" s="108"/>
    </row>
    <row r="452" spans="1:8" x14ac:dyDescent="0.45">
      <c r="A452" s="64">
        <v>1721675153</v>
      </c>
      <c r="B452" s="64" t="s">
        <v>426</v>
      </c>
      <c r="C452" s="64" t="s">
        <v>87</v>
      </c>
      <c r="D452" s="123" t="s">
        <v>249</v>
      </c>
      <c r="E452" s="124">
        <v>46084</v>
      </c>
      <c r="F452" s="125">
        <v>15</v>
      </c>
      <c r="G452" s="125" t="s">
        <v>89</v>
      </c>
      <c r="H452" s="127">
        <v>29255252</v>
      </c>
    </row>
    <row r="453" spans="1:8" x14ac:dyDescent="0.45">
      <c r="A453" s="64">
        <v>1707123897</v>
      </c>
      <c r="B453" s="64" t="s">
        <v>563</v>
      </c>
      <c r="C453" s="64" t="s">
        <v>393</v>
      </c>
      <c r="D453" s="123" t="s">
        <v>249</v>
      </c>
      <c r="E453" s="124">
        <v>46084</v>
      </c>
      <c r="F453" s="125">
        <v>10</v>
      </c>
      <c r="G453" s="125" t="s">
        <v>558</v>
      </c>
      <c r="H453" s="127">
        <v>144</v>
      </c>
    </row>
    <row r="454" spans="1:8" x14ac:dyDescent="0.45">
      <c r="A454" s="64">
        <v>901787903</v>
      </c>
      <c r="B454" s="64" t="s">
        <v>564</v>
      </c>
      <c r="C454" s="64" t="s">
        <v>565</v>
      </c>
      <c r="D454" s="123" t="s">
        <v>88</v>
      </c>
      <c r="E454" s="124">
        <v>46084</v>
      </c>
      <c r="F454" s="125">
        <v>12</v>
      </c>
      <c r="G454" s="125" t="s">
        <v>558</v>
      </c>
      <c r="H454" s="127">
        <v>144</v>
      </c>
    </row>
    <row r="455" spans="1:8" x14ac:dyDescent="0.45">
      <c r="A455" s="64">
        <v>1719927871</v>
      </c>
      <c r="B455" s="64" t="s">
        <v>566</v>
      </c>
      <c r="C455" s="64" t="s">
        <v>104</v>
      </c>
      <c r="D455" s="123" t="s">
        <v>249</v>
      </c>
      <c r="E455" s="124">
        <v>46084</v>
      </c>
      <c r="F455" s="125">
        <v>12</v>
      </c>
      <c r="G455" s="125" t="s">
        <v>89</v>
      </c>
      <c r="H455" s="127">
        <v>71071745</v>
      </c>
    </row>
    <row r="456" spans="1:8" x14ac:dyDescent="0.45">
      <c r="A456" s="40"/>
      <c r="B456" s="40" t="s">
        <v>410</v>
      </c>
      <c r="C456" s="40" t="s">
        <v>567</v>
      </c>
      <c r="D456" s="80" t="s">
        <v>249</v>
      </c>
      <c r="E456" s="128">
        <v>46085</v>
      </c>
      <c r="F456" s="91">
        <v>20</v>
      </c>
      <c r="G456" s="91" t="s">
        <v>55</v>
      </c>
      <c r="H456" s="108"/>
    </row>
    <row r="457" spans="1:8" x14ac:dyDescent="0.45">
      <c r="A457" s="40"/>
      <c r="B457" s="40"/>
      <c r="C457" s="40"/>
      <c r="D457" s="80"/>
      <c r="E457" s="81"/>
      <c r="F457" s="91"/>
      <c r="G457" s="91"/>
      <c r="H457" s="108"/>
    </row>
    <row r="458" spans="1:8" x14ac:dyDescent="0.45">
      <c r="A458" s="64"/>
      <c r="B458" s="64" t="s">
        <v>568</v>
      </c>
      <c r="C458" s="64" t="s">
        <v>300</v>
      </c>
      <c r="D458" s="123" t="s">
        <v>249</v>
      </c>
      <c r="E458" s="124">
        <v>46086</v>
      </c>
      <c r="F458" s="125">
        <v>10</v>
      </c>
      <c r="G458" s="125" t="s">
        <v>58</v>
      </c>
      <c r="H458" s="127">
        <v>51213836</v>
      </c>
    </row>
    <row r="459" spans="1:8" x14ac:dyDescent="0.45">
      <c r="A459" s="64"/>
      <c r="B459" s="64"/>
      <c r="C459" s="64"/>
      <c r="D459" s="123"/>
      <c r="E459" s="124"/>
      <c r="F459" s="125"/>
      <c r="G459" s="125"/>
      <c r="H459" s="127"/>
    </row>
    <row r="460" spans="1:8" x14ac:dyDescent="0.45">
      <c r="A460" s="44">
        <v>1718093238</v>
      </c>
      <c r="B460" s="44" t="s">
        <v>486</v>
      </c>
      <c r="C460" s="44" t="s">
        <v>569</v>
      </c>
      <c r="D460" s="129" t="s">
        <v>249</v>
      </c>
      <c r="E460" s="128">
        <v>46087</v>
      </c>
      <c r="F460" s="82">
        <v>20</v>
      </c>
      <c r="G460" s="82" t="s">
        <v>89</v>
      </c>
      <c r="H460" s="130">
        <v>45418634</v>
      </c>
    </row>
    <row r="461" spans="1:8" x14ac:dyDescent="0.45">
      <c r="A461" s="44">
        <v>170795881</v>
      </c>
      <c r="B461" s="44" t="s">
        <v>570</v>
      </c>
      <c r="C461" s="44" t="s">
        <v>287</v>
      </c>
      <c r="D461" s="129" t="s">
        <v>88</v>
      </c>
      <c r="E461" s="128">
        <v>46087</v>
      </c>
      <c r="F461" s="82">
        <v>10</v>
      </c>
      <c r="G461" s="82" t="s">
        <v>89</v>
      </c>
      <c r="H461" s="130">
        <v>633110127</v>
      </c>
    </row>
    <row r="462" spans="1:8" x14ac:dyDescent="0.45">
      <c r="A462" s="44">
        <v>170795881</v>
      </c>
      <c r="B462" s="44" t="s">
        <v>570</v>
      </c>
      <c r="C462" s="44" t="s">
        <v>571</v>
      </c>
      <c r="D462" s="129" t="s">
        <v>405</v>
      </c>
      <c r="E462" s="128">
        <v>46087</v>
      </c>
      <c r="F462" s="82">
        <v>50</v>
      </c>
      <c r="G462" s="82" t="s">
        <v>89</v>
      </c>
      <c r="H462" s="130">
        <v>633110127</v>
      </c>
    </row>
    <row r="463" spans="1:8" x14ac:dyDescent="0.45">
      <c r="A463" s="44">
        <v>1716381999</v>
      </c>
      <c r="B463" s="44" t="s">
        <v>572</v>
      </c>
      <c r="C463" s="44" t="s">
        <v>573</v>
      </c>
      <c r="D463" s="129" t="s">
        <v>249</v>
      </c>
      <c r="E463" s="128">
        <v>46087</v>
      </c>
      <c r="F463" s="82">
        <v>40</v>
      </c>
      <c r="G463" s="82" t="s">
        <v>89</v>
      </c>
      <c r="H463" s="130">
        <v>633110127</v>
      </c>
    </row>
    <row r="464" spans="1:8" x14ac:dyDescent="0.45">
      <c r="A464" s="44">
        <v>1716903032</v>
      </c>
      <c r="B464" s="44" t="s">
        <v>574</v>
      </c>
      <c r="C464" s="44" t="s">
        <v>575</v>
      </c>
      <c r="D464" s="129" t="s">
        <v>88</v>
      </c>
      <c r="E464" s="128">
        <v>46087</v>
      </c>
      <c r="F464" s="82">
        <f>10+12</f>
        <v>22</v>
      </c>
      <c r="G464" s="82" t="s">
        <v>558</v>
      </c>
      <c r="H464" s="130">
        <v>147</v>
      </c>
    </row>
    <row r="465" spans="1:8" x14ac:dyDescent="0.45">
      <c r="A465" s="44">
        <v>1722118344</v>
      </c>
      <c r="B465" s="44" t="s">
        <v>576</v>
      </c>
      <c r="C465" s="44" t="s">
        <v>87</v>
      </c>
      <c r="D465" s="129" t="s">
        <v>88</v>
      </c>
      <c r="E465" s="128">
        <v>46087</v>
      </c>
      <c r="F465" s="82">
        <v>18</v>
      </c>
      <c r="G465" s="82" t="s">
        <v>89</v>
      </c>
      <c r="H465" s="130">
        <v>71171319</v>
      </c>
    </row>
    <row r="466" spans="1:8" x14ac:dyDescent="0.45">
      <c r="A466" s="65">
        <v>1705421095</v>
      </c>
      <c r="B466" s="65" t="s">
        <v>577</v>
      </c>
      <c r="C466" s="65" t="s">
        <v>95</v>
      </c>
      <c r="D466" s="131" t="s">
        <v>249</v>
      </c>
      <c r="E466" s="132">
        <v>46087</v>
      </c>
      <c r="F466" s="133">
        <v>10</v>
      </c>
      <c r="G466" s="82" t="s">
        <v>89</v>
      </c>
      <c r="H466" s="134">
        <v>71171319</v>
      </c>
    </row>
    <row r="467" spans="1:8" x14ac:dyDescent="0.45">
      <c r="A467" s="64"/>
      <c r="B467" s="64" t="s">
        <v>578</v>
      </c>
      <c r="C467" s="64" t="s">
        <v>87</v>
      </c>
      <c r="D467" s="123" t="s">
        <v>88</v>
      </c>
      <c r="E467" s="124">
        <v>46088</v>
      </c>
      <c r="F467" s="125">
        <v>18</v>
      </c>
      <c r="G467" s="127" t="s">
        <v>558</v>
      </c>
      <c r="H467" s="127" t="s">
        <v>558</v>
      </c>
    </row>
    <row r="468" spans="1:8" x14ac:dyDescent="0.45">
      <c r="A468" s="64"/>
      <c r="B468" s="64" t="s">
        <v>579</v>
      </c>
      <c r="C468" s="64" t="s">
        <v>107</v>
      </c>
      <c r="D468" s="123" t="s">
        <v>249</v>
      </c>
      <c r="E468" s="124">
        <v>46088</v>
      </c>
      <c r="F468" s="125">
        <v>23</v>
      </c>
      <c r="G468" s="127" t="s">
        <v>558</v>
      </c>
      <c r="H468" s="127" t="s">
        <v>558</v>
      </c>
    </row>
    <row r="469" spans="1:8" x14ac:dyDescent="0.45">
      <c r="A469" s="64"/>
      <c r="B469" s="64" t="s">
        <v>296</v>
      </c>
      <c r="C469" s="64" t="s">
        <v>580</v>
      </c>
      <c r="D469" s="123" t="s">
        <v>88</v>
      </c>
      <c r="E469" s="124">
        <v>46088</v>
      </c>
      <c r="F469" s="125"/>
      <c r="G469" s="127"/>
      <c r="H469" s="127"/>
    </row>
    <row r="470" spans="1:8" x14ac:dyDescent="0.45">
      <c r="A470" s="64"/>
      <c r="B470" s="64" t="s">
        <v>581</v>
      </c>
      <c r="C470" s="64" t="s">
        <v>87</v>
      </c>
      <c r="D470" s="123" t="s">
        <v>249</v>
      </c>
      <c r="E470" s="124">
        <v>46088</v>
      </c>
      <c r="F470" s="125">
        <v>18</v>
      </c>
      <c r="G470" s="127" t="s">
        <v>558</v>
      </c>
      <c r="H470" s="127" t="s">
        <v>558</v>
      </c>
    </row>
    <row r="471" spans="1:8" x14ac:dyDescent="0.45">
      <c r="A471" s="64"/>
      <c r="B471" s="64" t="s">
        <v>581</v>
      </c>
      <c r="C471" s="64" t="s">
        <v>104</v>
      </c>
      <c r="D471" s="123" t="s">
        <v>88</v>
      </c>
      <c r="E471" s="124">
        <v>46088</v>
      </c>
      <c r="F471" s="125">
        <v>12</v>
      </c>
      <c r="G471" s="127" t="s">
        <v>558</v>
      </c>
      <c r="H471" s="127" t="s">
        <v>558</v>
      </c>
    </row>
    <row r="472" spans="1:8" x14ac:dyDescent="0.45">
      <c r="A472" s="40">
        <v>1701432229</v>
      </c>
      <c r="B472" s="40" t="s">
        <v>503</v>
      </c>
      <c r="C472" s="40" t="s">
        <v>107</v>
      </c>
      <c r="D472" s="80" t="s">
        <v>88</v>
      </c>
      <c r="E472" s="81">
        <v>46089</v>
      </c>
      <c r="F472" s="91">
        <v>18</v>
      </c>
      <c r="G472" s="91" t="s">
        <v>403</v>
      </c>
      <c r="H472" s="108"/>
    </row>
    <row r="473" spans="1:8" x14ac:dyDescent="0.45">
      <c r="A473" s="40"/>
      <c r="B473" s="40" t="s">
        <v>582</v>
      </c>
      <c r="C473" s="40" t="s">
        <v>583</v>
      </c>
      <c r="D473" s="80" t="s">
        <v>249</v>
      </c>
      <c r="E473" s="81">
        <v>46089</v>
      </c>
      <c r="F473" s="91">
        <v>24</v>
      </c>
      <c r="G473" s="108" t="s">
        <v>403</v>
      </c>
      <c r="H473" s="40"/>
    </row>
    <row r="474" spans="1:8" x14ac:dyDescent="0.45">
      <c r="A474" s="40">
        <v>171905163</v>
      </c>
      <c r="B474" s="40" t="s">
        <v>584</v>
      </c>
      <c r="C474" s="40" t="s">
        <v>585</v>
      </c>
      <c r="D474" s="80" t="s">
        <v>88</v>
      </c>
      <c r="E474" s="81">
        <v>46089</v>
      </c>
      <c r="F474" s="91">
        <v>12</v>
      </c>
      <c r="G474" s="91" t="s">
        <v>89</v>
      </c>
      <c r="H474" s="108">
        <v>91069075</v>
      </c>
    </row>
    <row r="475" spans="1:8" x14ac:dyDescent="0.45">
      <c r="A475" s="40">
        <v>171905163</v>
      </c>
      <c r="B475" s="40" t="s">
        <v>584</v>
      </c>
      <c r="C475" s="40" t="s">
        <v>586</v>
      </c>
      <c r="D475" s="80" t="s">
        <v>587</v>
      </c>
      <c r="E475" s="81">
        <v>46089</v>
      </c>
      <c r="F475" s="91">
        <v>1</v>
      </c>
      <c r="G475" s="91" t="s">
        <v>89</v>
      </c>
      <c r="H475" s="108">
        <v>91069075</v>
      </c>
    </row>
    <row r="476" spans="1:8" x14ac:dyDescent="0.45">
      <c r="A476" s="40">
        <v>171905163</v>
      </c>
      <c r="B476" s="40" t="s">
        <v>584</v>
      </c>
      <c r="C476" s="40" t="s">
        <v>87</v>
      </c>
      <c r="D476" s="80" t="s">
        <v>249</v>
      </c>
      <c r="E476" s="81">
        <v>46089</v>
      </c>
      <c r="F476" s="91">
        <v>18</v>
      </c>
      <c r="G476" s="91" t="s">
        <v>89</v>
      </c>
      <c r="H476" s="108">
        <v>91069075</v>
      </c>
    </row>
    <row r="477" spans="1:8" x14ac:dyDescent="0.45">
      <c r="A477" s="40">
        <v>1710644798</v>
      </c>
      <c r="B477" s="40" t="s">
        <v>588</v>
      </c>
      <c r="C477" s="40" t="s">
        <v>524</v>
      </c>
      <c r="D477" s="80" t="s">
        <v>249</v>
      </c>
      <c r="E477" s="81">
        <v>46089</v>
      </c>
      <c r="F477" s="91">
        <v>10</v>
      </c>
      <c r="G477" s="40" t="s">
        <v>55</v>
      </c>
      <c r="H477" s="40"/>
    </row>
    <row r="478" spans="1:8" x14ac:dyDescent="0.45">
      <c r="A478" s="64"/>
      <c r="B478" s="64" t="s">
        <v>589</v>
      </c>
      <c r="C478" s="64" t="s">
        <v>590</v>
      </c>
      <c r="D478" s="123" t="s">
        <v>88</v>
      </c>
      <c r="E478" s="124">
        <v>46090</v>
      </c>
      <c r="F478" s="125">
        <v>28</v>
      </c>
      <c r="G478" s="125" t="s">
        <v>89</v>
      </c>
      <c r="H478" s="127">
        <v>169315124</v>
      </c>
    </row>
    <row r="479" spans="1:8" x14ac:dyDescent="0.45">
      <c r="A479" s="64"/>
      <c r="B479" s="64"/>
      <c r="C479" s="64"/>
      <c r="D479" s="123"/>
      <c r="E479" s="124"/>
      <c r="F479" s="125"/>
      <c r="G479" s="125"/>
      <c r="H479" s="127"/>
    </row>
    <row r="480" spans="1:8" x14ac:dyDescent="0.45">
      <c r="A480" s="40"/>
      <c r="B480" s="40" t="s">
        <v>591</v>
      </c>
      <c r="C480" s="40" t="s">
        <v>87</v>
      </c>
      <c r="D480" s="80" t="s">
        <v>397</v>
      </c>
      <c r="E480" s="81">
        <v>46091</v>
      </c>
      <c r="F480" s="91">
        <v>18</v>
      </c>
      <c r="G480" s="91" t="s">
        <v>89</v>
      </c>
      <c r="H480" s="108">
        <v>56458455</v>
      </c>
    </row>
    <row r="481" spans="1:8" x14ac:dyDescent="0.45">
      <c r="A481" s="40"/>
      <c r="B481" s="40" t="s">
        <v>592</v>
      </c>
      <c r="C481" s="40" t="s">
        <v>104</v>
      </c>
      <c r="D481" s="80" t="s">
        <v>88</v>
      </c>
      <c r="E481" s="81">
        <v>46091</v>
      </c>
      <c r="F481" s="91">
        <v>12</v>
      </c>
      <c r="G481" s="91" t="s">
        <v>89</v>
      </c>
      <c r="H481" s="108">
        <v>56458455</v>
      </c>
    </row>
    <row r="482" spans="1:8" x14ac:dyDescent="0.45">
      <c r="A482" s="40"/>
      <c r="B482" s="40" t="s">
        <v>593</v>
      </c>
      <c r="C482" s="40" t="s">
        <v>87</v>
      </c>
      <c r="D482" s="80" t="s">
        <v>88</v>
      </c>
      <c r="E482" s="81">
        <v>46091</v>
      </c>
      <c r="F482" s="91">
        <v>18</v>
      </c>
      <c r="G482" s="91" t="s">
        <v>89</v>
      </c>
      <c r="H482" s="108">
        <v>60088984</v>
      </c>
    </row>
    <row r="483" spans="1:8" x14ac:dyDescent="0.45">
      <c r="A483" s="64">
        <v>1801685494</v>
      </c>
      <c r="B483" s="64" t="s">
        <v>594</v>
      </c>
      <c r="C483" s="64" t="s">
        <v>95</v>
      </c>
      <c r="D483" s="64" t="s">
        <v>397</v>
      </c>
      <c r="E483" s="124">
        <v>46092</v>
      </c>
      <c r="F483" s="125">
        <v>10</v>
      </c>
      <c r="G483" s="125" t="s">
        <v>55</v>
      </c>
      <c r="H483" s="127"/>
    </row>
    <row r="484" spans="1:8" x14ac:dyDescent="0.45">
      <c r="A484" s="64">
        <v>1719231316</v>
      </c>
      <c r="B484" s="64" t="s">
        <v>595</v>
      </c>
      <c r="C484" s="64" t="s">
        <v>596</v>
      </c>
      <c r="D484" s="64" t="s">
        <v>397</v>
      </c>
      <c r="E484" s="124">
        <v>46092</v>
      </c>
      <c r="F484" s="125">
        <v>38</v>
      </c>
      <c r="G484" s="125" t="s">
        <v>558</v>
      </c>
      <c r="H484" s="127">
        <v>157</v>
      </c>
    </row>
    <row r="485" spans="1:8" x14ac:dyDescent="0.45">
      <c r="A485" s="64">
        <v>1708380553</v>
      </c>
      <c r="B485" s="64" t="s">
        <v>597</v>
      </c>
      <c r="C485" s="64" t="s">
        <v>598</v>
      </c>
      <c r="D485" s="64" t="s">
        <v>88</v>
      </c>
      <c r="E485" s="124">
        <v>46092</v>
      </c>
      <c r="F485" s="125">
        <v>32</v>
      </c>
      <c r="G485" s="125" t="s">
        <v>89</v>
      </c>
      <c r="H485" s="127">
        <v>47976611</v>
      </c>
    </row>
    <row r="486" spans="1:8" x14ac:dyDescent="0.45">
      <c r="A486" s="64">
        <v>1711508117</v>
      </c>
      <c r="B486" s="64" t="s">
        <v>599</v>
      </c>
      <c r="C486" s="64" t="s">
        <v>600</v>
      </c>
      <c r="D486" s="64" t="s">
        <v>397</v>
      </c>
      <c r="E486" s="124">
        <v>46092</v>
      </c>
      <c r="F486" s="125">
        <v>34</v>
      </c>
      <c r="G486" s="125" t="s">
        <v>89</v>
      </c>
      <c r="H486" s="127">
        <v>58142449</v>
      </c>
    </row>
    <row r="487" spans="1:8" x14ac:dyDescent="0.45">
      <c r="A487" s="40">
        <v>1311894024</v>
      </c>
      <c r="B487" s="40" t="s">
        <v>601</v>
      </c>
      <c r="C487" s="40" t="s">
        <v>602</v>
      </c>
      <c r="D487" s="40" t="s">
        <v>397</v>
      </c>
      <c r="E487" s="81">
        <v>46093</v>
      </c>
      <c r="F487" s="91">
        <v>65</v>
      </c>
      <c r="G487" s="91" t="s">
        <v>558</v>
      </c>
      <c r="H487" s="108">
        <v>159</v>
      </c>
    </row>
    <row r="488" spans="1:8" x14ac:dyDescent="0.45">
      <c r="A488" s="40"/>
      <c r="B488" s="40" t="s">
        <v>603</v>
      </c>
      <c r="C488" s="40" t="s">
        <v>300</v>
      </c>
      <c r="D488" s="40" t="s">
        <v>397</v>
      </c>
      <c r="E488" s="81">
        <v>46093</v>
      </c>
      <c r="F488" s="91">
        <v>10</v>
      </c>
      <c r="G488" s="91" t="s">
        <v>96</v>
      </c>
      <c r="H488" s="108">
        <v>980004020900</v>
      </c>
    </row>
    <row r="489" spans="1:8" x14ac:dyDescent="0.45">
      <c r="A489" s="40">
        <v>1707963227</v>
      </c>
      <c r="B489" s="40" t="s">
        <v>77</v>
      </c>
      <c r="C489" s="40" t="s">
        <v>87</v>
      </c>
      <c r="D489" s="40" t="s">
        <v>397</v>
      </c>
      <c r="E489" s="81">
        <v>46093</v>
      </c>
      <c r="F489" s="91">
        <v>18</v>
      </c>
      <c r="G489" s="91"/>
      <c r="H489" s="108"/>
    </row>
    <row r="490" spans="1:8" x14ac:dyDescent="0.45">
      <c r="A490" s="40">
        <v>1721675153</v>
      </c>
      <c r="B490" s="40" t="s">
        <v>426</v>
      </c>
      <c r="C490" s="40" t="s">
        <v>87</v>
      </c>
      <c r="D490" s="40" t="s">
        <v>88</v>
      </c>
      <c r="E490" s="81">
        <v>46093</v>
      </c>
      <c r="F490" s="91">
        <v>18</v>
      </c>
      <c r="G490" s="91" t="s">
        <v>89</v>
      </c>
      <c r="H490" s="108">
        <v>55539817</v>
      </c>
    </row>
    <row r="491" spans="1:8" x14ac:dyDescent="0.45">
      <c r="A491" s="64">
        <v>1722462965</v>
      </c>
      <c r="B491" s="64" t="s">
        <v>604</v>
      </c>
      <c r="C491" s="64" t="s">
        <v>95</v>
      </c>
      <c r="D491" s="64" t="s">
        <v>397</v>
      </c>
      <c r="E491" s="124">
        <v>46094</v>
      </c>
      <c r="F491" s="125">
        <v>10</v>
      </c>
      <c r="G491" s="125" t="s">
        <v>605</v>
      </c>
      <c r="H491" s="127">
        <v>820460</v>
      </c>
    </row>
    <row r="492" spans="1:8" x14ac:dyDescent="0.45">
      <c r="A492" s="64">
        <v>1726529777</v>
      </c>
      <c r="B492" s="64" t="s">
        <v>606</v>
      </c>
      <c r="C492" s="64" t="s">
        <v>463</v>
      </c>
      <c r="D492" s="64" t="s">
        <v>88</v>
      </c>
      <c r="E492" s="124">
        <v>46094</v>
      </c>
      <c r="F492" s="125">
        <v>22</v>
      </c>
      <c r="G492" s="125" t="s">
        <v>89</v>
      </c>
      <c r="H492" s="127">
        <v>58436172</v>
      </c>
    </row>
    <row r="493" spans="1:8" x14ac:dyDescent="0.45">
      <c r="A493" s="64"/>
      <c r="B493" s="64" t="s">
        <v>607</v>
      </c>
      <c r="C493" s="64" t="s">
        <v>327</v>
      </c>
      <c r="D493" s="64" t="s">
        <v>397</v>
      </c>
      <c r="E493" s="124">
        <v>46094</v>
      </c>
      <c r="F493" s="125">
        <v>20</v>
      </c>
      <c r="G493" s="125" t="s">
        <v>55</v>
      </c>
      <c r="H493" s="127"/>
    </row>
    <row r="494" spans="1:8" x14ac:dyDescent="0.45">
      <c r="A494" s="64">
        <v>1716497159</v>
      </c>
      <c r="B494" s="64" t="s">
        <v>608</v>
      </c>
      <c r="C494" s="64" t="s">
        <v>95</v>
      </c>
      <c r="D494" s="64" t="s">
        <v>88</v>
      </c>
      <c r="E494" s="124">
        <v>46094</v>
      </c>
      <c r="F494" s="125">
        <v>15</v>
      </c>
      <c r="G494" s="125" t="s">
        <v>89</v>
      </c>
      <c r="H494" s="127">
        <v>62180897</v>
      </c>
    </row>
    <row r="495" spans="1:8" x14ac:dyDescent="0.45">
      <c r="A495" s="44"/>
      <c r="B495" s="44" t="s">
        <v>71</v>
      </c>
      <c r="C495" s="44" t="s">
        <v>609</v>
      </c>
      <c r="D495" s="40" t="s">
        <v>249</v>
      </c>
      <c r="E495" s="81">
        <v>46095</v>
      </c>
      <c r="F495" s="82">
        <f>10+10</f>
        <v>20</v>
      </c>
      <c r="G495" s="91"/>
      <c r="H495" s="108"/>
    </row>
    <row r="496" spans="1:8" x14ac:dyDescent="0.45">
      <c r="A496" s="44"/>
      <c r="B496" s="44" t="s">
        <v>71</v>
      </c>
      <c r="C496" s="44" t="s">
        <v>104</v>
      </c>
      <c r="D496" s="40" t="s">
        <v>88</v>
      </c>
      <c r="E496" s="81">
        <v>46095</v>
      </c>
      <c r="F496" s="82">
        <v>12</v>
      </c>
      <c r="G496" s="91"/>
      <c r="H496" s="108"/>
    </row>
    <row r="497" spans="1:8" x14ac:dyDescent="0.45">
      <c r="A497" s="40">
        <v>1721182903001</v>
      </c>
      <c r="B497" s="40" t="s">
        <v>610</v>
      </c>
      <c r="C497" s="40" t="s">
        <v>611</v>
      </c>
      <c r="D497" s="40" t="s">
        <v>88</v>
      </c>
      <c r="E497" s="81">
        <v>46095</v>
      </c>
      <c r="F497" s="91">
        <v>12</v>
      </c>
      <c r="G497" s="91" t="s">
        <v>558</v>
      </c>
      <c r="H497" s="108"/>
    </row>
    <row r="498" spans="1:8" x14ac:dyDescent="0.45">
      <c r="A498" s="40">
        <v>1721182903001</v>
      </c>
      <c r="B498" s="40" t="s">
        <v>610</v>
      </c>
      <c r="C498" s="40" t="s">
        <v>250</v>
      </c>
      <c r="D498" s="40" t="s">
        <v>249</v>
      </c>
      <c r="E498" s="81">
        <v>46095</v>
      </c>
      <c r="F498" s="91">
        <v>10</v>
      </c>
      <c r="G498" s="91" t="s">
        <v>558</v>
      </c>
      <c r="H498" s="108"/>
    </row>
    <row r="499" spans="1:8" x14ac:dyDescent="0.45">
      <c r="A499" s="44">
        <v>1721946067</v>
      </c>
      <c r="B499" s="44" t="s">
        <v>74</v>
      </c>
      <c r="C499" s="44" t="s">
        <v>612</v>
      </c>
      <c r="D499" s="40" t="s">
        <v>88</v>
      </c>
      <c r="E499" s="81">
        <v>46095</v>
      </c>
      <c r="F499" s="82">
        <f>10+5</f>
        <v>15</v>
      </c>
      <c r="G499" s="91"/>
      <c r="H499" s="108"/>
    </row>
    <row r="500" spans="1:8" x14ac:dyDescent="0.45">
      <c r="A500" s="43">
        <v>1721008744</v>
      </c>
      <c r="B500" s="43" t="s">
        <v>444</v>
      </c>
      <c r="C500" s="43" t="s">
        <v>70</v>
      </c>
      <c r="D500" s="43" t="s">
        <v>249</v>
      </c>
      <c r="E500" s="94">
        <v>46096</v>
      </c>
      <c r="F500" s="92">
        <v>18</v>
      </c>
      <c r="G500" s="92" t="s">
        <v>89</v>
      </c>
      <c r="H500" s="47">
        <v>69085013</v>
      </c>
    </row>
    <row r="501" spans="1:8" x14ac:dyDescent="0.45">
      <c r="A501" s="43">
        <v>1721008744</v>
      </c>
      <c r="B501" s="43" t="s">
        <v>444</v>
      </c>
      <c r="C501" s="43" t="s">
        <v>613</v>
      </c>
      <c r="D501" s="43" t="s">
        <v>88</v>
      </c>
      <c r="E501" s="94">
        <v>46096</v>
      </c>
      <c r="F501" s="92">
        <v>28</v>
      </c>
      <c r="G501" s="92" t="s">
        <v>89</v>
      </c>
      <c r="H501" s="47">
        <v>69085013</v>
      </c>
    </row>
    <row r="502" spans="1:8" x14ac:dyDescent="0.45">
      <c r="A502" s="43">
        <v>1718245812</v>
      </c>
      <c r="B502" s="43" t="s">
        <v>267</v>
      </c>
      <c r="C502" s="43" t="s">
        <v>70</v>
      </c>
      <c r="D502" s="43" t="s">
        <v>249</v>
      </c>
      <c r="E502" s="94">
        <v>46096</v>
      </c>
      <c r="F502" s="92">
        <v>18</v>
      </c>
      <c r="G502" s="92" t="s">
        <v>89</v>
      </c>
      <c r="H502" s="47"/>
    </row>
    <row r="503" spans="1:8" x14ac:dyDescent="0.45">
      <c r="A503" s="43">
        <v>1710459460</v>
      </c>
      <c r="B503" s="43" t="s">
        <v>614</v>
      </c>
      <c r="C503" s="43" t="s">
        <v>615</v>
      </c>
      <c r="D503" s="43" t="s">
        <v>88</v>
      </c>
      <c r="E503" s="94">
        <v>46096</v>
      </c>
      <c r="F503" s="92">
        <f>10+8</f>
        <v>18</v>
      </c>
      <c r="G503" s="92" t="s">
        <v>89</v>
      </c>
      <c r="H503" s="47">
        <v>79233105</v>
      </c>
    </row>
    <row r="504" spans="1:8" x14ac:dyDescent="0.45">
      <c r="A504" s="43">
        <v>1722303417</v>
      </c>
      <c r="B504" s="43" t="s">
        <v>616</v>
      </c>
      <c r="C504" s="43" t="s">
        <v>70</v>
      </c>
      <c r="D504" s="43" t="s">
        <v>88</v>
      </c>
      <c r="E504" s="94">
        <v>46096</v>
      </c>
      <c r="F504" s="92">
        <v>18</v>
      </c>
      <c r="G504" s="92" t="s">
        <v>89</v>
      </c>
      <c r="H504" s="47">
        <v>84511965</v>
      </c>
    </row>
    <row r="505" spans="1:8" x14ac:dyDescent="0.45">
      <c r="A505" s="43">
        <v>1721946067</v>
      </c>
      <c r="B505" s="43" t="s">
        <v>74</v>
      </c>
      <c r="C505" s="43" t="s">
        <v>617</v>
      </c>
      <c r="D505" s="43" t="s">
        <v>249</v>
      </c>
      <c r="E505" s="94">
        <v>46096</v>
      </c>
      <c r="F505" s="92">
        <v>6</v>
      </c>
      <c r="G505" s="92"/>
      <c r="H505" s="47"/>
    </row>
    <row r="506" spans="1:8" x14ac:dyDescent="0.45">
      <c r="A506" s="43">
        <v>1717200016</v>
      </c>
      <c r="B506" s="43" t="s">
        <v>618</v>
      </c>
      <c r="C506" s="43" t="s">
        <v>70</v>
      </c>
      <c r="D506" s="43" t="s">
        <v>249</v>
      </c>
      <c r="E506" s="94">
        <v>46096</v>
      </c>
      <c r="F506" s="92">
        <v>18</v>
      </c>
      <c r="G506" s="92" t="s">
        <v>89</v>
      </c>
      <c r="H506" s="47"/>
    </row>
    <row r="507" spans="1:8" x14ac:dyDescent="0.45">
      <c r="A507" s="40">
        <v>170795881</v>
      </c>
      <c r="B507" s="40" t="s">
        <v>570</v>
      </c>
      <c r="C507" s="40" t="s">
        <v>619</v>
      </c>
      <c r="D507" s="40" t="s">
        <v>249</v>
      </c>
      <c r="E507" s="81">
        <v>45732</v>
      </c>
      <c r="F507" s="91">
        <v>23</v>
      </c>
      <c r="G507" s="91" t="s">
        <v>96</v>
      </c>
      <c r="H507" s="108">
        <v>139042228</v>
      </c>
    </row>
    <row r="508" spans="1:8" x14ac:dyDescent="0.45">
      <c r="A508" s="40"/>
      <c r="B508" s="40"/>
      <c r="C508" s="40"/>
      <c r="D508" s="40"/>
      <c r="E508" s="81"/>
      <c r="F508" s="91"/>
      <c r="G508" s="91"/>
      <c r="H508" s="108"/>
    </row>
    <row r="509" spans="1:8" x14ac:dyDescent="0.45">
      <c r="A509" s="43"/>
      <c r="B509" s="43" t="s">
        <v>620</v>
      </c>
      <c r="C509" s="43" t="s">
        <v>95</v>
      </c>
      <c r="D509" s="43" t="s">
        <v>88</v>
      </c>
      <c r="E509" s="94">
        <v>46098</v>
      </c>
      <c r="F509" s="92">
        <v>10</v>
      </c>
      <c r="G509" s="92" t="s">
        <v>99</v>
      </c>
      <c r="H509" s="47"/>
    </row>
    <row r="510" spans="1:8" x14ac:dyDescent="0.45">
      <c r="A510" s="43"/>
      <c r="B510" s="43"/>
      <c r="C510" s="43"/>
      <c r="D510" s="43"/>
      <c r="E510" s="94"/>
      <c r="F510" s="92"/>
      <c r="G510" s="92"/>
      <c r="H510" s="47"/>
    </row>
    <row r="511" spans="1:8" x14ac:dyDescent="0.45">
      <c r="A511" s="40">
        <v>1720222817</v>
      </c>
      <c r="B511" s="40" t="s">
        <v>621</v>
      </c>
      <c r="C511" s="40" t="s">
        <v>87</v>
      </c>
      <c r="D511" s="40" t="s">
        <v>88</v>
      </c>
      <c r="E511" s="81">
        <v>46099</v>
      </c>
      <c r="F511" s="91">
        <v>18</v>
      </c>
      <c r="G511" s="91" t="s">
        <v>154</v>
      </c>
      <c r="H511" s="108">
        <v>164</v>
      </c>
    </row>
    <row r="512" spans="1:8" x14ac:dyDescent="0.45">
      <c r="A512" s="40"/>
      <c r="B512" s="40" t="s">
        <v>622</v>
      </c>
      <c r="C512" s="40" t="s">
        <v>623</v>
      </c>
      <c r="D512" s="40" t="s">
        <v>249</v>
      </c>
      <c r="E512" s="81">
        <v>46099</v>
      </c>
      <c r="F512" s="91">
        <v>12</v>
      </c>
      <c r="G512" s="91" t="s">
        <v>99</v>
      </c>
      <c r="H512" s="108">
        <v>27437731</v>
      </c>
    </row>
    <row r="513" spans="1:8" x14ac:dyDescent="0.45">
      <c r="A513" s="40"/>
      <c r="B513" s="40"/>
      <c r="C513" s="40"/>
      <c r="D513" s="40"/>
      <c r="E513" s="81"/>
      <c r="F513" s="91"/>
      <c r="G513" s="91"/>
      <c r="H513" s="108"/>
    </row>
    <row r="514" spans="1:8" x14ac:dyDescent="0.45">
      <c r="A514" s="43">
        <v>1708380553</v>
      </c>
      <c r="B514" s="43" t="s">
        <v>624</v>
      </c>
      <c r="C514" s="43" t="s">
        <v>625</v>
      </c>
      <c r="D514" s="43" t="s">
        <v>249</v>
      </c>
      <c r="E514" s="94">
        <v>46100</v>
      </c>
      <c r="F514" s="92">
        <v>3</v>
      </c>
      <c r="G514" s="92" t="s">
        <v>79</v>
      </c>
      <c r="H514" s="47"/>
    </row>
    <row r="515" spans="1:8" x14ac:dyDescent="0.45">
      <c r="A515" s="43">
        <v>905189890</v>
      </c>
      <c r="B515" s="43" t="s">
        <v>626</v>
      </c>
      <c r="C515" s="43" t="s">
        <v>627</v>
      </c>
      <c r="D515" s="43" t="s">
        <v>249</v>
      </c>
      <c r="E515" s="94">
        <v>46100</v>
      </c>
      <c r="F515" s="92">
        <v>20</v>
      </c>
      <c r="G515" s="92" t="s">
        <v>154</v>
      </c>
      <c r="H515" s="47">
        <v>165</v>
      </c>
    </row>
    <row r="516" spans="1:8" x14ac:dyDescent="0.45">
      <c r="A516" s="43">
        <v>1714644817</v>
      </c>
      <c r="B516" s="43" t="s">
        <v>628</v>
      </c>
      <c r="C516" s="43" t="s">
        <v>629</v>
      </c>
      <c r="D516" s="43" t="s">
        <v>249</v>
      </c>
      <c r="E516" s="94">
        <v>46100</v>
      </c>
      <c r="F516" s="92">
        <v>36</v>
      </c>
      <c r="G516" s="92" t="s">
        <v>99</v>
      </c>
      <c r="H516" s="47">
        <v>47682572</v>
      </c>
    </row>
    <row r="517" spans="1:8" x14ac:dyDescent="0.45">
      <c r="A517" s="43">
        <v>1800577700</v>
      </c>
      <c r="B517" s="43" t="s">
        <v>630</v>
      </c>
      <c r="C517" s="43" t="s">
        <v>631</v>
      </c>
      <c r="D517" s="43" t="s">
        <v>397</v>
      </c>
      <c r="E517" s="94">
        <v>46100</v>
      </c>
      <c r="F517" s="92">
        <v>20</v>
      </c>
      <c r="G517" s="92" t="s">
        <v>79</v>
      </c>
      <c r="H517" s="47"/>
    </row>
    <row r="518" spans="1:8" x14ac:dyDescent="0.45">
      <c r="A518" s="56">
        <v>1707963227</v>
      </c>
      <c r="B518" s="40" t="s">
        <v>77</v>
      </c>
      <c r="C518" s="56" t="s">
        <v>87</v>
      </c>
      <c r="D518" s="40" t="s">
        <v>397</v>
      </c>
      <c r="E518" s="81">
        <v>46101</v>
      </c>
      <c r="F518" s="100">
        <v>18</v>
      </c>
      <c r="G518" s="91"/>
      <c r="H518" s="108"/>
    </row>
    <row r="519" spans="1:8" x14ac:dyDescent="0.45">
      <c r="A519" s="40">
        <v>1722385430</v>
      </c>
      <c r="B519" s="40" t="s">
        <v>632</v>
      </c>
      <c r="C519" s="40" t="s">
        <v>633</v>
      </c>
      <c r="D519" s="40" t="s">
        <v>397</v>
      </c>
      <c r="E519" s="81">
        <v>46101</v>
      </c>
      <c r="F519" s="91">
        <v>16</v>
      </c>
      <c r="G519" s="91" t="s">
        <v>96</v>
      </c>
      <c r="H519" s="108">
        <v>5932370209</v>
      </c>
    </row>
    <row r="520" spans="1:8" x14ac:dyDescent="0.45">
      <c r="A520" s="43">
        <v>1712991023</v>
      </c>
      <c r="B520" s="43" t="s">
        <v>634</v>
      </c>
      <c r="C520" s="43" t="s">
        <v>635</v>
      </c>
      <c r="D520" s="43" t="s">
        <v>88</v>
      </c>
      <c r="E520" s="94">
        <v>46102</v>
      </c>
      <c r="F520" s="92">
        <f>12+10</f>
        <v>22</v>
      </c>
      <c r="G520" s="92" t="s">
        <v>55</v>
      </c>
      <c r="H520" s="47"/>
    </row>
    <row r="521" spans="1:8" x14ac:dyDescent="0.45">
      <c r="A521" s="43"/>
      <c r="B521" s="43"/>
      <c r="C521" s="43"/>
      <c r="D521" s="43"/>
      <c r="E521" s="43"/>
      <c r="F521" s="92"/>
      <c r="G521" s="92"/>
      <c r="H521" s="47"/>
    </row>
    <row r="522" spans="1:8" x14ac:dyDescent="0.45">
      <c r="A522" s="40">
        <v>1718017302</v>
      </c>
      <c r="B522" s="40" t="s">
        <v>636</v>
      </c>
      <c r="C522" s="40" t="s">
        <v>70</v>
      </c>
      <c r="D522" s="40" t="s">
        <v>249</v>
      </c>
      <c r="E522" s="81">
        <v>46103</v>
      </c>
      <c r="F522" s="91">
        <v>18</v>
      </c>
      <c r="G522" s="91" t="s">
        <v>99</v>
      </c>
      <c r="H522" s="108">
        <v>78331820</v>
      </c>
    </row>
    <row r="523" spans="1:8" x14ac:dyDescent="0.45">
      <c r="A523" s="40">
        <v>1718017302</v>
      </c>
      <c r="B523" s="60" t="s">
        <v>636</v>
      </c>
      <c r="C523" s="40" t="s">
        <v>34</v>
      </c>
      <c r="D523" s="40" t="s">
        <v>88</v>
      </c>
      <c r="E523" s="81">
        <v>46103</v>
      </c>
      <c r="F523" s="91">
        <v>12</v>
      </c>
      <c r="G523" s="91" t="s">
        <v>99</v>
      </c>
      <c r="H523" s="108">
        <v>78331820</v>
      </c>
    </row>
    <row r="524" spans="1:8" x14ac:dyDescent="0.45">
      <c r="A524" s="43">
        <v>1714650379</v>
      </c>
      <c r="B524" s="43" t="s">
        <v>637</v>
      </c>
      <c r="C524" s="43" t="s">
        <v>638</v>
      </c>
      <c r="D524" s="43" t="s">
        <v>88</v>
      </c>
      <c r="E524" s="94">
        <v>46104</v>
      </c>
      <c r="F524" s="92">
        <v>33</v>
      </c>
      <c r="G524" s="92" t="s">
        <v>99</v>
      </c>
      <c r="H524" s="47">
        <v>125765892</v>
      </c>
    </row>
    <row r="525" spans="1:8" x14ac:dyDescent="0.45">
      <c r="A525" s="43"/>
      <c r="B525" s="43" t="s">
        <v>639</v>
      </c>
      <c r="C525" s="43" t="s">
        <v>640</v>
      </c>
      <c r="D525" s="43" t="s">
        <v>88</v>
      </c>
      <c r="E525" s="94">
        <v>46104</v>
      </c>
      <c r="F525" s="92">
        <v>10</v>
      </c>
      <c r="G525" s="92" t="s">
        <v>79</v>
      </c>
      <c r="H525" s="47"/>
    </row>
    <row r="526" spans="1:8" x14ac:dyDescent="0.45">
      <c r="A526" s="43"/>
      <c r="B526" s="43"/>
      <c r="C526" s="43"/>
      <c r="D526" s="43"/>
      <c r="E526" s="94"/>
      <c r="F526" s="92"/>
      <c r="G526" s="92"/>
      <c r="H526" s="47"/>
    </row>
    <row r="527" spans="1:8" x14ac:dyDescent="0.45">
      <c r="A527" s="40"/>
      <c r="B527" s="40" t="s">
        <v>641</v>
      </c>
      <c r="C527" s="40" t="s">
        <v>136</v>
      </c>
      <c r="D527" s="40" t="s">
        <v>249</v>
      </c>
      <c r="E527" s="81">
        <v>46105</v>
      </c>
      <c r="F527" s="91">
        <v>18</v>
      </c>
      <c r="G527" s="91" t="s">
        <v>99</v>
      </c>
      <c r="H527" s="108">
        <v>52228477</v>
      </c>
    </row>
    <row r="528" spans="1:8" x14ac:dyDescent="0.45">
      <c r="A528" s="40">
        <v>1714400965</v>
      </c>
      <c r="B528" s="40" t="s">
        <v>642</v>
      </c>
      <c r="C528" s="40" t="s">
        <v>643</v>
      </c>
      <c r="D528" s="40" t="s">
        <v>88</v>
      </c>
      <c r="E528" s="81">
        <v>46105</v>
      </c>
      <c r="F528" s="91">
        <v>25</v>
      </c>
      <c r="G528" s="91" t="s">
        <v>99</v>
      </c>
      <c r="H528" s="108">
        <v>53781936</v>
      </c>
    </row>
    <row r="529" spans="1:8" x14ac:dyDescent="0.45">
      <c r="A529" s="43"/>
      <c r="B529" s="43" t="s">
        <v>644</v>
      </c>
      <c r="C529" s="43" t="s">
        <v>463</v>
      </c>
      <c r="D529" s="43" t="s">
        <v>88</v>
      </c>
      <c r="E529" s="94">
        <v>46106</v>
      </c>
      <c r="F529" s="92">
        <v>18</v>
      </c>
      <c r="G529" s="92" t="s">
        <v>99</v>
      </c>
      <c r="H529" s="47">
        <v>47468455</v>
      </c>
    </row>
    <row r="530" spans="1:8" x14ac:dyDescent="0.45">
      <c r="A530" s="43">
        <v>1718764119</v>
      </c>
      <c r="B530" s="43" t="s">
        <v>645</v>
      </c>
      <c r="C530" s="43" t="s">
        <v>646</v>
      </c>
      <c r="D530" s="43" t="s">
        <v>249</v>
      </c>
      <c r="E530" s="94">
        <v>46106</v>
      </c>
      <c r="F530" s="92">
        <v>24</v>
      </c>
      <c r="G530" s="92" t="s">
        <v>99</v>
      </c>
      <c r="H530" s="47">
        <v>47468455</v>
      </c>
    </row>
    <row r="531" spans="1:8" x14ac:dyDescent="0.45">
      <c r="A531" s="43">
        <v>1716489586</v>
      </c>
      <c r="B531" s="43" t="s">
        <v>448</v>
      </c>
      <c r="C531" s="43" t="s">
        <v>647</v>
      </c>
      <c r="D531" s="43" t="s">
        <v>249</v>
      </c>
      <c r="E531" s="94">
        <v>46106</v>
      </c>
      <c r="F531" s="92">
        <v>25</v>
      </c>
      <c r="G531" s="92" t="s">
        <v>79</v>
      </c>
      <c r="H531" s="47"/>
    </row>
    <row r="532" spans="1:8" x14ac:dyDescent="0.45">
      <c r="A532" s="43">
        <v>1722211792</v>
      </c>
      <c r="B532" s="43" t="s">
        <v>648</v>
      </c>
      <c r="C532" s="43" t="s">
        <v>359</v>
      </c>
      <c r="D532" s="43" t="s">
        <v>88</v>
      </c>
      <c r="E532" s="94">
        <v>46106</v>
      </c>
      <c r="F532" s="92">
        <v>5</v>
      </c>
      <c r="G532" s="92" t="s">
        <v>99</v>
      </c>
      <c r="H532" s="47">
        <v>31390946</v>
      </c>
    </row>
    <row r="533" spans="1:8" x14ac:dyDescent="0.45">
      <c r="A533" s="43"/>
      <c r="B533" s="43" t="s">
        <v>649</v>
      </c>
      <c r="C533" s="43" t="s">
        <v>650</v>
      </c>
      <c r="D533" s="43" t="s">
        <v>88</v>
      </c>
      <c r="E533" s="94">
        <v>46106</v>
      </c>
      <c r="F533" s="92">
        <v>19</v>
      </c>
      <c r="G533" s="92" t="s">
        <v>99</v>
      </c>
      <c r="H533" s="47">
        <v>54712115</v>
      </c>
    </row>
    <row r="534" spans="1:8" x14ac:dyDescent="0.45">
      <c r="A534" s="40">
        <v>103837001</v>
      </c>
      <c r="B534" s="40" t="s">
        <v>651</v>
      </c>
      <c r="C534" s="40" t="s">
        <v>652</v>
      </c>
      <c r="D534" s="80" t="s">
        <v>249</v>
      </c>
      <c r="E534" s="81">
        <v>46107</v>
      </c>
      <c r="F534" s="91">
        <v>25</v>
      </c>
      <c r="G534" s="91" t="s">
        <v>154</v>
      </c>
      <c r="H534" s="108">
        <v>167</v>
      </c>
    </row>
    <row r="535" spans="1:8" x14ac:dyDescent="0.45">
      <c r="A535" s="40"/>
      <c r="B535" s="40" t="s">
        <v>410</v>
      </c>
      <c r="C535" s="40" t="s">
        <v>653</v>
      </c>
      <c r="D535" s="80" t="s">
        <v>88</v>
      </c>
      <c r="E535" s="81">
        <v>46107</v>
      </c>
      <c r="F535" s="91">
        <v>30</v>
      </c>
      <c r="G535" s="91" t="s">
        <v>99</v>
      </c>
      <c r="H535" s="108">
        <v>48173299</v>
      </c>
    </row>
    <row r="536" spans="1:8" x14ac:dyDescent="0.45">
      <c r="A536" s="40"/>
      <c r="B536" s="40"/>
      <c r="C536" s="40"/>
      <c r="D536" s="40"/>
      <c r="E536" s="81"/>
      <c r="F536" s="91"/>
      <c r="G536" s="91"/>
      <c r="H536" s="108"/>
    </row>
    <row r="537" spans="1:8" x14ac:dyDescent="0.45">
      <c r="A537" s="43">
        <v>1704073939</v>
      </c>
      <c r="B537" s="43" t="s">
        <v>654</v>
      </c>
      <c r="C537" s="43" t="s">
        <v>655</v>
      </c>
      <c r="D537" s="43" t="s">
        <v>249</v>
      </c>
      <c r="E537" s="94">
        <v>46108</v>
      </c>
      <c r="F537" s="92">
        <v>18</v>
      </c>
      <c r="G537" s="92" t="s">
        <v>79</v>
      </c>
      <c r="H537" s="47"/>
    </row>
    <row r="538" spans="1:8" x14ac:dyDescent="0.45">
      <c r="A538" s="43">
        <v>1723292700</v>
      </c>
      <c r="B538" s="43" t="s">
        <v>229</v>
      </c>
      <c r="C538" s="43" t="s">
        <v>87</v>
      </c>
      <c r="D538" s="43" t="s">
        <v>88</v>
      </c>
      <c r="E538" s="94">
        <v>46108</v>
      </c>
      <c r="F538" s="92">
        <v>18</v>
      </c>
      <c r="G538" s="92" t="s">
        <v>605</v>
      </c>
      <c r="H538" s="47"/>
    </row>
    <row r="539" spans="1:8" x14ac:dyDescent="0.45">
      <c r="A539" s="43">
        <v>1713441408</v>
      </c>
      <c r="B539" s="43" t="s">
        <v>490</v>
      </c>
      <c r="C539" s="43" t="s">
        <v>611</v>
      </c>
      <c r="D539" s="43" t="s">
        <v>249</v>
      </c>
      <c r="E539" s="94">
        <v>46108</v>
      </c>
      <c r="F539" s="92">
        <v>28</v>
      </c>
      <c r="G539" s="92" t="s">
        <v>99</v>
      </c>
      <c r="H539" s="47">
        <v>61112851</v>
      </c>
    </row>
    <row r="540" spans="1:8" x14ac:dyDescent="0.45">
      <c r="A540" s="43">
        <v>1724477300</v>
      </c>
      <c r="B540" s="43" t="s">
        <v>656</v>
      </c>
      <c r="C540" s="43" t="s">
        <v>657</v>
      </c>
      <c r="D540" s="43" t="s">
        <v>88</v>
      </c>
      <c r="E540" s="94">
        <v>46108</v>
      </c>
      <c r="F540" s="92">
        <v>12.5</v>
      </c>
      <c r="G540" s="92" t="s">
        <v>99</v>
      </c>
      <c r="H540" s="47">
        <v>57040911</v>
      </c>
    </row>
    <row r="541" spans="1:8" x14ac:dyDescent="0.45">
      <c r="A541" s="40">
        <v>1721946067</v>
      </c>
      <c r="B541" s="40" t="s">
        <v>74</v>
      </c>
      <c r="C541" s="40" t="s">
        <v>658</v>
      </c>
      <c r="D541" s="40" t="s">
        <v>249</v>
      </c>
      <c r="E541" s="81">
        <v>46109</v>
      </c>
      <c r="F541" s="91">
        <v>21</v>
      </c>
      <c r="G541" s="91" t="s">
        <v>55</v>
      </c>
      <c r="H541" s="108"/>
    </row>
    <row r="542" spans="1:8" x14ac:dyDescent="0.45">
      <c r="A542" s="40">
        <v>1721946067</v>
      </c>
      <c r="B542" s="40" t="s">
        <v>74</v>
      </c>
      <c r="C542" s="40" t="s">
        <v>659</v>
      </c>
      <c r="D542" s="40" t="s">
        <v>88</v>
      </c>
      <c r="E542" s="81">
        <v>46109</v>
      </c>
      <c r="F542" s="91">
        <v>20</v>
      </c>
      <c r="G542" s="91" t="s">
        <v>55</v>
      </c>
      <c r="H542" s="108"/>
    </row>
    <row r="543" spans="1:8" x14ac:dyDescent="0.45">
      <c r="A543" s="40">
        <v>105334452</v>
      </c>
      <c r="B543" s="40" t="s">
        <v>41</v>
      </c>
      <c r="C543" s="40" t="s">
        <v>660</v>
      </c>
      <c r="D543" s="40" t="s">
        <v>249</v>
      </c>
      <c r="E543" s="81">
        <v>46109</v>
      </c>
      <c r="F543" s="91">
        <f>18+10</f>
        <v>28</v>
      </c>
      <c r="G543" s="91" t="s">
        <v>89</v>
      </c>
      <c r="H543" s="108"/>
    </row>
    <row r="544" spans="1:8" x14ac:dyDescent="0.45">
      <c r="A544" s="66">
        <v>1701432229</v>
      </c>
      <c r="B544" s="66" t="s">
        <v>503</v>
      </c>
      <c r="C544" s="66" t="s">
        <v>160</v>
      </c>
      <c r="D544" s="66" t="s">
        <v>88</v>
      </c>
      <c r="E544" s="135">
        <v>46109</v>
      </c>
      <c r="F544" s="136">
        <v>18</v>
      </c>
      <c r="G544" s="136"/>
      <c r="H544" s="137"/>
    </row>
    <row r="545" spans="1:8" x14ac:dyDescent="0.45">
      <c r="A545" s="40">
        <v>1717177966</v>
      </c>
      <c r="B545" s="40" t="s">
        <v>661</v>
      </c>
      <c r="C545" s="40" t="s">
        <v>662</v>
      </c>
      <c r="D545" s="40" t="s">
        <v>88</v>
      </c>
      <c r="E545" s="81">
        <v>46109</v>
      </c>
      <c r="F545" s="91">
        <v>30</v>
      </c>
      <c r="G545" s="91" t="s">
        <v>58</v>
      </c>
      <c r="H545" s="108">
        <v>826854020900</v>
      </c>
    </row>
    <row r="546" spans="1:8" x14ac:dyDescent="0.45">
      <c r="A546" s="40">
        <v>1722633169</v>
      </c>
      <c r="B546" s="40" t="s">
        <v>663</v>
      </c>
      <c r="C546" s="40" t="s">
        <v>33</v>
      </c>
      <c r="D546" s="40" t="s">
        <v>249</v>
      </c>
      <c r="E546" s="81">
        <v>46109</v>
      </c>
      <c r="F546" s="91">
        <v>20</v>
      </c>
      <c r="G546" s="91" t="s">
        <v>89</v>
      </c>
      <c r="H546" s="108">
        <v>41421193</v>
      </c>
    </row>
    <row r="547" spans="1:8" x14ac:dyDescent="0.45">
      <c r="A547" s="43"/>
      <c r="B547" s="43" t="s">
        <v>664</v>
      </c>
      <c r="C547" s="43" t="s">
        <v>266</v>
      </c>
      <c r="D547" s="43" t="s">
        <v>88</v>
      </c>
      <c r="E547" s="94">
        <v>46110</v>
      </c>
      <c r="F547" s="92">
        <v>10</v>
      </c>
      <c r="G547" s="92" t="s">
        <v>89</v>
      </c>
      <c r="H547" s="47">
        <v>67567340</v>
      </c>
    </row>
    <row r="548" spans="1:8" x14ac:dyDescent="0.45">
      <c r="A548" s="43"/>
      <c r="B548" s="43" t="s">
        <v>664</v>
      </c>
      <c r="C548" s="43" t="s">
        <v>34</v>
      </c>
      <c r="D548" s="43" t="s">
        <v>249</v>
      </c>
      <c r="E548" s="94">
        <v>46110</v>
      </c>
      <c r="F548" s="92">
        <v>12</v>
      </c>
      <c r="G548" s="92" t="s">
        <v>89</v>
      </c>
      <c r="H548" s="47">
        <v>67567340</v>
      </c>
    </row>
    <row r="549" spans="1:8" x14ac:dyDescent="0.45">
      <c r="A549" s="43"/>
      <c r="B549" s="43" t="s">
        <v>172</v>
      </c>
      <c r="C549" s="43" t="s">
        <v>665</v>
      </c>
      <c r="D549" s="43" t="s">
        <v>249</v>
      </c>
      <c r="E549" s="94">
        <v>46110</v>
      </c>
      <c r="F549" s="92">
        <v>10</v>
      </c>
      <c r="G549" s="92" t="s">
        <v>133</v>
      </c>
      <c r="H549" s="47"/>
    </row>
    <row r="550" spans="1:8" x14ac:dyDescent="0.45">
      <c r="A550" s="43">
        <v>1714063292</v>
      </c>
      <c r="B550" s="43" t="s">
        <v>71</v>
      </c>
      <c r="C550" s="43" t="s">
        <v>95</v>
      </c>
      <c r="D550" s="43" t="s">
        <v>88</v>
      </c>
      <c r="E550" s="94">
        <v>46110</v>
      </c>
      <c r="F550" s="92">
        <v>10</v>
      </c>
      <c r="G550" s="92" t="s">
        <v>55</v>
      </c>
      <c r="H550" s="47"/>
    </row>
    <row r="551" spans="1:8" x14ac:dyDescent="0.45">
      <c r="A551" s="43"/>
      <c r="B551" s="43" t="s">
        <v>666</v>
      </c>
      <c r="C551" s="43" t="s">
        <v>95</v>
      </c>
      <c r="D551" s="43" t="s">
        <v>249</v>
      </c>
      <c r="E551" s="94">
        <v>46110</v>
      </c>
      <c r="F551" s="92">
        <v>10</v>
      </c>
      <c r="G551" s="92" t="s">
        <v>89</v>
      </c>
      <c r="H551" s="47"/>
    </row>
    <row r="552" spans="1:8" x14ac:dyDescent="0.45">
      <c r="A552" s="43"/>
      <c r="B552" s="43" t="s">
        <v>667</v>
      </c>
      <c r="C552" s="43" t="s">
        <v>95</v>
      </c>
      <c r="D552" s="43" t="s">
        <v>88</v>
      </c>
      <c r="E552" s="94">
        <v>46110</v>
      </c>
      <c r="F552" s="92">
        <v>10</v>
      </c>
      <c r="G552" s="92" t="s">
        <v>133</v>
      </c>
      <c r="H552" s="47"/>
    </row>
    <row r="553" spans="1:8" x14ac:dyDescent="0.45">
      <c r="A553" s="40">
        <v>1707963227</v>
      </c>
      <c r="B553" s="40" t="s">
        <v>77</v>
      </c>
      <c r="C553" s="40" t="s">
        <v>668</v>
      </c>
      <c r="D553" s="40" t="s">
        <v>88</v>
      </c>
      <c r="E553" s="81">
        <v>46111</v>
      </c>
      <c r="F553" s="91">
        <v>2</v>
      </c>
      <c r="G553" s="91" t="s">
        <v>99</v>
      </c>
      <c r="H553" s="108">
        <v>124046078</v>
      </c>
    </row>
    <row r="554" spans="1:8" x14ac:dyDescent="0.45">
      <c r="A554" s="40"/>
      <c r="B554" s="40"/>
      <c r="C554" s="40"/>
      <c r="D554" s="40"/>
      <c r="E554" s="81"/>
      <c r="F554" s="91"/>
      <c r="G554" s="91"/>
      <c r="H554" s="108"/>
    </row>
    <row r="555" spans="1:8" x14ac:dyDescent="0.45">
      <c r="A555" s="43">
        <v>179952289</v>
      </c>
      <c r="B555" s="43" t="s">
        <v>669</v>
      </c>
      <c r="C555" s="43" t="s">
        <v>670</v>
      </c>
      <c r="D555" s="43" t="s">
        <v>88</v>
      </c>
      <c r="E555" s="94">
        <v>46112</v>
      </c>
      <c r="F555" s="92">
        <v>10</v>
      </c>
      <c r="G555" s="92" t="s">
        <v>154</v>
      </c>
      <c r="H555" s="47">
        <v>172</v>
      </c>
    </row>
    <row r="556" spans="1:8" x14ac:dyDescent="0.45">
      <c r="A556" s="43">
        <v>179952289</v>
      </c>
      <c r="B556" s="43" t="s">
        <v>669</v>
      </c>
      <c r="C556" s="43" t="s">
        <v>671</v>
      </c>
      <c r="D556" s="43" t="s">
        <v>419</v>
      </c>
      <c r="E556" s="94">
        <v>46112</v>
      </c>
      <c r="F556" s="92">
        <v>18</v>
      </c>
      <c r="G556" s="92" t="s">
        <v>154</v>
      </c>
      <c r="H556" s="47">
        <v>172</v>
      </c>
    </row>
    <row r="557" spans="1:8" x14ac:dyDescent="0.45">
      <c r="A557" s="43">
        <v>1724534076</v>
      </c>
      <c r="B557" s="43" t="s">
        <v>672</v>
      </c>
      <c r="C557" s="43" t="s">
        <v>673</v>
      </c>
      <c r="D557" s="43" t="s">
        <v>249</v>
      </c>
      <c r="E557" s="94">
        <v>46112</v>
      </c>
      <c r="F557" s="92">
        <v>25</v>
      </c>
      <c r="G557" s="92" t="s">
        <v>96</v>
      </c>
      <c r="H557" s="47">
        <v>22402129</v>
      </c>
    </row>
    <row r="558" spans="1:8" x14ac:dyDescent="0.45">
      <c r="A558" s="43">
        <v>1718530866</v>
      </c>
      <c r="B558" s="43" t="s">
        <v>674</v>
      </c>
      <c r="C558" s="43" t="s">
        <v>95</v>
      </c>
      <c r="D558" s="43" t="s">
        <v>88</v>
      </c>
      <c r="E558" s="94">
        <v>46112</v>
      </c>
      <c r="F558" s="92">
        <v>10</v>
      </c>
      <c r="G558" s="92" t="s">
        <v>99</v>
      </c>
      <c r="H558" s="47">
        <v>52326827</v>
      </c>
    </row>
    <row r="559" spans="1:8" x14ac:dyDescent="0.45">
      <c r="A559" s="43">
        <v>17081205579</v>
      </c>
      <c r="B559" s="43" t="s">
        <v>675</v>
      </c>
      <c r="C559" s="43" t="s">
        <v>95</v>
      </c>
      <c r="D559" s="43" t="s">
        <v>88</v>
      </c>
      <c r="E559" s="94">
        <v>46112</v>
      </c>
      <c r="F559" s="92">
        <v>10</v>
      </c>
      <c r="G559" s="92" t="s">
        <v>99</v>
      </c>
      <c r="H559" s="47">
        <v>52326827</v>
      </c>
    </row>
    <row r="560" spans="1:8" x14ac:dyDescent="0.45">
      <c r="A560" s="43"/>
      <c r="B560" s="43" t="s">
        <v>676</v>
      </c>
      <c r="C560" s="43" t="s">
        <v>87</v>
      </c>
      <c r="D560" s="43" t="s">
        <v>88</v>
      </c>
      <c r="E560" s="94">
        <v>46112</v>
      </c>
      <c r="F560" s="92">
        <v>18</v>
      </c>
      <c r="G560" s="92" t="s">
        <v>99</v>
      </c>
      <c r="H560" s="47">
        <v>50133235</v>
      </c>
    </row>
    <row r="561" spans="1:8" x14ac:dyDescent="0.45">
      <c r="A561" s="43">
        <v>1753632828</v>
      </c>
      <c r="B561" s="43" t="s">
        <v>677</v>
      </c>
      <c r="C561" s="43" t="s">
        <v>678</v>
      </c>
      <c r="D561" s="43" t="s">
        <v>249</v>
      </c>
      <c r="E561" s="94">
        <v>46112</v>
      </c>
      <c r="F561" s="92">
        <v>47</v>
      </c>
      <c r="G561" s="92" t="s">
        <v>99</v>
      </c>
      <c r="H561" s="47">
        <v>61484048</v>
      </c>
    </row>
    <row r="562" spans="1:8" x14ac:dyDescent="0.45">
      <c r="A562" s="40">
        <v>1111508117</v>
      </c>
      <c r="B562" s="40" t="s">
        <v>679</v>
      </c>
      <c r="C562" s="40" t="s">
        <v>680</v>
      </c>
      <c r="D562" s="80" t="s">
        <v>249</v>
      </c>
      <c r="E562" s="81">
        <v>46113</v>
      </c>
      <c r="F562" s="138">
        <v>37</v>
      </c>
      <c r="G562" s="138" t="s">
        <v>99</v>
      </c>
      <c r="H562" s="107">
        <v>69822933</v>
      </c>
    </row>
    <row r="563" spans="1:8" x14ac:dyDescent="0.45">
      <c r="A563" s="40"/>
      <c r="B563" s="40" t="s">
        <v>681</v>
      </c>
      <c r="C563" s="40" t="s">
        <v>104</v>
      </c>
      <c r="D563" s="80" t="s">
        <v>88</v>
      </c>
      <c r="E563" s="81">
        <v>46113</v>
      </c>
      <c r="F563" s="138">
        <v>12</v>
      </c>
      <c r="G563" s="138" t="s">
        <v>99</v>
      </c>
      <c r="H563" s="107">
        <v>69822933</v>
      </c>
    </row>
    <row r="564" spans="1:8" x14ac:dyDescent="0.45">
      <c r="A564" s="40">
        <v>1721675153</v>
      </c>
      <c r="B564" s="40" t="s">
        <v>426</v>
      </c>
      <c r="C564" s="40" t="s">
        <v>87</v>
      </c>
      <c r="D564" s="80" t="s">
        <v>88</v>
      </c>
      <c r="E564" s="81">
        <v>46113</v>
      </c>
      <c r="F564" s="138">
        <v>18</v>
      </c>
      <c r="G564" s="138"/>
      <c r="H564" s="108"/>
    </row>
    <row r="565" spans="1:8" x14ac:dyDescent="0.45">
      <c r="A565" s="40"/>
      <c r="B565" s="40"/>
      <c r="C565" s="40"/>
      <c r="D565" s="80"/>
      <c r="E565" s="81"/>
      <c r="F565" s="138"/>
      <c r="G565" s="138"/>
      <c r="H565" s="108"/>
    </row>
    <row r="566" spans="1:8" x14ac:dyDescent="0.45">
      <c r="A566" s="67">
        <v>1716270929</v>
      </c>
      <c r="B566" s="67" t="s">
        <v>682</v>
      </c>
      <c r="C566" s="67" t="s">
        <v>104</v>
      </c>
      <c r="D566" s="139" t="s">
        <v>88</v>
      </c>
      <c r="E566" s="140">
        <v>46114</v>
      </c>
      <c r="F566" s="141">
        <v>12</v>
      </c>
      <c r="G566" s="141" t="s">
        <v>154</v>
      </c>
      <c r="H566" s="142">
        <v>175</v>
      </c>
    </row>
    <row r="567" spans="1:8" x14ac:dyDescent="0.45">
      <c r="A567" s="67">
        <v>1708343775</v>
      </c>
      <c r="B567" s="67" t="s">
        <v>683</v>
      </c>
      <c r="C567" s="67" t="s">
        <v>104</v>
      </c>
      <c r="D567" s="139" t="s">
        <v>88</v>
      </c>
      <c r="E567" s="140">
        <v>46114</v>
      </c>
      <c r="F567" s="141">
        <v>12</v>
      </c>
      <c r="G567" s="141" t="s">
        <v>99</v>
      </c>
      <c r="H567" s="142">
        <v>59580755</v>
      </c>
    </row>
    <row r="568" spans="1:8" x14ac:dyDescent="0.45">
      <c r="A568" s="40"/>
      <c r="B568" s="40"/>
      <c r="C568" s="40"/>
      <c r="D568" s="80"/>
      <c r="E568" s="81"/>
      <c r="F568" s="138"/>
      <c r="G568" s="138"/>
      <c r="H568" s="108"/>
    </row>
    <row r="569" spans="1:8" x14ac:dyDescent="0.45">
      <c r="A569" s="40"/>
      <c r="B569" s="40"/>
      <c r="C569" s="40"/>
      <c r="D569" s="80"/>
      <c r="E569" s="81"/>
      <c r="F569" s="138"/>
      <c r="G569" s="138"/>
      <c r="H569" s="108"/>
    </row>
    <row r="570" spans="1:8" x14ac:dyDescent="0.45">
      <c r="A570" s="68"/>
      <c r="B570" s="68"/>
      <c r="C570" s="68"/>
      <c r="D570" s="143"/>
      <c r="E570" s="144"/>
      <c r="F570" s="145"/>
      <c r="G570" s="145"/>
      <c r="H570" s="146"/>
    </row>
    <row r="571" spans="1:8" x14ac:dyDescent="0.45">
      <c r="A571" s="40">
        <v>1717391971</v>
      </c>
      <c r="B571" s="40" t="s">
        <v>684</v>
      </c>
      <c r="C571" s="40" t="s">
        <v>368</v>
      </c>
      <c r="D571" s="80" t="s">
        <v>685</v>
      </c>
      <c r="E571" s="147">
        <v>46116</v>
      </c>
      <c r="F571" s="138">
        <v>20</v>
      </c>
      <c r="G571" s="138" t="s">
        <v>686</v>
      </c>
      <c r="H571" s="107"/>
    </row>
    <row r="572" spans="1:8" x14ac:dyDescent="0.45">
      <c r="A572" s="40">
        <v>1722118344</v>
      </c>
      <c r="B572" s="40" t="s">
        <v>576</v>
      </c>
      <c r="C572" s="40" t="s">
        <v>160</v>
      </c>
      <c r="D572" s="80" t="s">
        <v>685</v>
      </c>
      <c r="E572" s="147">
        <v>46116</v>
      </c>
      <c r="F572" s="138">
        <v>18</v>
      </c>
      <c r="G572" s="138" t="s">
        <v>686</v>
      </c>
      <c r="H572" s="107"/>
    </row>
    <row r="573" spans="1:8" x14ac:dyDescent="0.45">
      <c r="A573" s="40">
        <v>1714757224</v>
      </c>
      <c r="B573" s="40" t="s">
        <v>687</v>
      </c>
      <c r="C573" s="40" t="s">
        <v>160</v>
      </c>
      <c r="D573" s="80" t="s">
        <v>88</v>
      </c>
      <c r="E573" s="147">
        <v>46116</v>
      </c>
      <c r="F573" s="138">
        <v>18</v>
      </c>
      <c r="G573" s="138" t="s">
        <v>686</v>
      </c>
      <c r="H573" s="108"/>
    </row>
    <row r="574" spans="1:8" x14ac:dyDescent="0.45">
      <c r="A574" s="40">
        <v>1714757224</v>
      </c>
      <c r="B574" s="40" t="s">
        <v>688</v>
      </c>
      <c r="C574" s="40" t="s">
        <v>95</v>
      </c>
      <c r="D574" s="80" t="s">
        <v>88</v>
      </c>
      <c r="E574" s="147">
        <v>46116</v>
      </c>
      <c r="F574" s="138">
        <v>12</v>
      </c>
      <c r="G574" s="138" t="s">
        <v>686</v>
      </c>
      <c r="H574" s="108"/>
    </row>
    <row r="575" spans="1:8" x14ac:dyDescent="0.45">
      <c r="A575" s="40">
        <v>1725206369</v>
      </c>
      <c r="B575" s="40" t="s">
        <v>689</v>
      </c>
      <c r="C575" s="40" t="s">
        <v>117</v>
      </c>
      <c r="D575" s="80" t="s">
        <v>88</v>
      </c>
      <c r="E575" s="147">
        <v>46116</v>
      </c>
      <c r="F575" s="138">
        <v>4</v>
      </c>
      <c r="G575" s="138" t="s">
        <v>686</v>
      </c>
      <c r="H575" s="108"/>
    </row>
    <row r="576" spans="1:8" x14ac:dyDescent="0.45">
      <c r="A576" s="40">
        <v>1725206369</v>
      </c>
      <c r="B576" s="40" t="s">
        <v>689</v>
      </c>
      <c r="C576" s="40" t="s">
        <v>690</v>
      </c>
      <c r="D576" s="80" t="s">
        <v>88</v>
      </c>
      <c r="E576" s="147">
        <v>46116</v>
      </c>
      <c r="F576" s="138">
        <v>30</v>
      </c>
      <c r="G576" s="138" t="s">
        <v>686</v>
      </c>
      <c r="H576" s="108"/>
    </row>
    <row r="577" spans="1:8" x14ac:dyDescent="0.45">
      <c r="A577" s="40">
        <v>1725206369</v>
      </c>
      <c r="B577" s="40" t="s">
        <v>689</v>
      </c>
      <c r="C577" s="40" t="s">
        <v>95</v>
      </c>
      <c r="D577" s="80" t="s">
        <v>88</v>
      </c>
      <c r="E577" s="147">
        <v>46116</v>
      </c>
      <c r="F577" s="138">
        <v>10</v>
      </c>
      <c r="G577" s="138" t="s">
        <v>686</v>
      </c>
      <c r="H577" s="108"/>
    </row>
    <row r="578" spans="1:8" x14ac:dyDescent="0.45">
      <c r="A578" s="68"/>
      <c r="B578" s="68"/>
      <c r="C578" s="68"/>
      <c r="D578" s="143"/>
      <c r="E578" s="144"/>
      <c r="F578" s="145"/>
      <c r="G578" s="145"/>
      <c r="H578" s="146"/>
    </row>
    <row r="579" spans="1:8" x14ac:dyDescent="0.45">
      <c r="A579" s="40">
        <v>1714063292</v>
      </c>
      <c r="B579" s="40" t="s">
        <v>71</v>
      </c>
      <c r="C579" s="40" t="s">
        <v>422</v>
      </c>
      <c r="D579" s="80" t="s">
        <v>685</v>
      </c>
      <c r="E579" s="81">
        <v>46117</v>
      </c>
      <c r="F579" s="138">
        <v>12</v>
      </c>
      <c r="G579" s="138" t="s">
        <v>58</v>
      </c>
      <c r="H579" s="107"/>
    </row>
    <row r="580" spans="1:8" x14ac:dyDescent="0.45">
      <c r="A580" s="40"/>
      <c r="B580" s="40" t="s">
        <v>691</v>
      </c>
      <c r="C580" s="40" t="s">
        <v>692</v>
      </c>
      <c r="D580" s="80" t="s">
        <v>685</v>
      </c>
      <c r="E580" s="81">
        <v>46117</v>
      </c>
      <c r="F580" s="138">
        <v>8</v>
      </c>
      <c r="G580" s="138" t="s">
        <v>58</v>
      </c>
      <c r="H580" s="107"/>
    </row>
    <row r="581" spans="1:8" x14ac:dyDescent="0.45">
      <c r="A581" s="40">
        <v>1717391971</v>
      </c>
      <c r="B581" s="40" t="s">
        <v>684</v>
      </c>
      <c r="C581" s="40" t="s">
        <v>422</v>
      </c>
      <c r="D581" s="80" t="s">
        <v>685</v>
      </c>
      <c r="E581" s="81">
        <v>46117</v>
      </c>
      <c r="F581" s="138">
        <v>12</v>
      </c>
      <c r="G581" s="138" t="s">
        <v>58</v>
      </c>
      <c r="H581" s="108"/>
    </row>
    <row r="582" spans="1:8" x14ac:dyDescent="0.45">
      <c r="A582" s="40"/>
      <c r="B582" s="40" t="s">
        <v>81</v>
      </c>
      <c r="C582" s="40" t="s">
        <v>693</v>
      </c>
      <c r="D582" s="80" t="s">
        <v>685</v>
      </c>
      <c r="E582" s="81">
        <v>46117</v>
      </c>
      <c r="F582" s="138">
        <f>18+6</f>
        <v>24</v>
      </c>
      <c r="G582" s="138" t="s">
        <v>58</v>
      </c>
      <c r="H582" s="108"/>
    </row>
    <row r="583" spans="1:8" x14ac:dyDescent="0.45">
      <c r="A583" s="40"/>
      <c r="B583" s="40" t="s">
        <v>694</v>
      </c>
      <c r="C583" s="40" t="s">
        <v>693</v>
      </c>
      <c r="D583" s="80" t="s">
        <v>685</v>
      </c>
      <c r="E583" s="81">
        <v>46117</v>
      </c>
      <c r="F583" s="138">
        <f>18+2</f>
        <v>20</v>
      </c>
      <c r="G583" s="138" t="s">
        <v>58</v>
      </c>
      <c r="H583" s="107"/>
    </row>
    <row r="584" spans="1:8" x14ac:dyDescent="0.45">
      <c r="A584" s="40"/>
      <c r="B584" s="40" t="s">
        <v>81</v>
      </c>
      <c r="C584" s="40" t="s">
        <v>695</v>
      </c>
      <c r="D584" s="80" t="s">
        <v>142</v>
      </c>
      <c r="E584" s="81">
        <v>46117</v>
      </c>
      <c r="F584" s="138">
        <v>6</v>
      </c>
      <c r="G584" s="138" t="s">
        <v>58</v>
      </c>
      <c r="H584" s="107"/>
    </row>
    <row r="585" spans="1:8" x14ac:dyDescent="0.45">
      <c r="A585" s="68"/>
      <c r="B585" s="68"/>
      <c r="C585" s="68"/>
      <c r="D585" s="143"/>
      <c r="E585" s="144"/>
      <c r="F585" s="145"/>
      <c r="G585" s="145"/>
      <c r="H585" s="146"/>
    </row>
    <row r="586" spans="1:8" x14ac:dyDescent="0.45">
      <c r="A586" s="40"/>
      <c r="B586" s="40"/>
      <c r="C586" s="40"/>
      <c r="D586" s="80"/>
      <c r="E586" s="81">
        <v>46118</v>
      </c>
      <c r="F586" s="138"/>
      <c r="G586" s="138"/>
      <c r="H586" s="108"/>
    </row>
    <row r="587" spans="1:8" x14ac:dyDescent="0.45">
      <c r="A587" s="40"/>
      <c r="B587" s="40"/>
      <c r="C587" s="40"/>
      <c r="D587" s="80"/>
      <c r="E587" s="81">
        <v>46118</v>
      </c>
      <c r="F587" s="138"/>
      <c r="G587" s="138"/>
      <c r="H587" s="107"/>
    </row>
    <row r="588" spans="1:8" x14ac:dyDescent="0.45">
      <c r="A588" s="40"/>
      <c r="B588" s="40"/>
      <c r="C588" s="40"/>
      <c r="D588" s="80"/>
      <c r="E588" s="81">
        <v>46118</v>
      </c>
      <c r="F588" s="138"/>
      <c r="G588" s="138"/>
      <c r="H588" s="107"/>
    </row>
    <row r="589" spans="1:8" x14ac:dyDescent="0.45">
      <c r="A589" s="69"/>
      <c r="B589" s="69"/>
      <c r="C589" s="69"/>
      <c r="D589" s="148"/>
      <c r="E589" s="147"/>
      <c r="F589" s="149"/>
      <c r="G589" s="149"/>
      <c r="H589" s="150"/>
    </row>
    <row r="590" spans="1:8" x14ac:dyDescent="0.45">
      <c r="A590" s="40">
        <v>1716862840</v>
      </c>
      <c r="B590" s="40" t="s">
        <v>696</v>
      </c>
      <c r="C590" s="40" t="s">
        <v>136</v>
      </c>
      <c r="D590" s="80" t="s">
        <v>685</v>
      </c>
      <c r="E590" s="81">
        <v>46119</v>
      </c>
      <c r="F590" s="138">
        <v>18</v>
      </c>
      <c r="G590" s="138" t="s">
        <v>154</v>
      </c>
      <c r="H590" s="107"/>
    </row>
    <row r="591" spans="1:8" x14ac:dyDescent="0.45">
      <c r="A591" s="40">
        <v>930394861</v>
      </c>
      <c r="B591" s="40" t="s">
        <v>697</v>
      </c>
      <c r="C591" s="40" t="s">
        <v>698</v>
      </c>
      <c r="D591" s="80" t="s">
        <v>685</v>
      </c>
      <c r="E591" s="81">
        <v>46119</v>
      </c>
      <c r="F591" s="138">
        <v>20</v>
      </c>
      <c r="G591" s="138" t="s">
        <v>96</v>
      </c>
      <c r="H591" s="108"/>
    </row>
    <row r="592" spans="1:8" x14ac:dyDescent="0.45">
      <c r="A592" s="40">
        <v>1723862015</v>
      </c>
      <c r="B592" s="40" t="s">
        <v>699</v>
      </c>
      <c r="C592" s="40" t="s">
        <v>104</v>
      </c>
      <c r="D592" s="80" t="s">
        <v>88</v>
      </c>
      <c r="E592" s="81">
        <v>46119</v>
      </c>
      <c r="F592" s="138">
        <v>12</v>
      </c>
      <c r="G592" s="138" t="s">
        <v>99</v>
      </c>
      <c r="H592" s="108">
        <v>68668146</v>
      </c>
    </row>
    <row r="593" spans="1:8" x14ac:dyDescent="0.45">
      <c r="A593" s="40">
        <v>2300642077</v>
      </c>
      <c r="B593" s="40" t="s">
        <v>700</v>
      </c>
      <c r="C593" s="40" t="s">
        <v>701</v>
      </c>
      <c r="D593" s="80" t="s">
        <v>702</v>
      </c>
      <c r="E593" s="81">
        <v>46119</v>
      </c>
      <c r="F593" s="138">
        <v>22</v>
      </c>
      <c r="G593" s="138" t="s">
        <v>99</v>
      </c>
      <c r="H593" s="107">
        <v>69043180</v>
      </c>
    </row>
    <row r="594" spans="1:8" x14ac:dyDescent="0.45">
      <c r="A594" s="69"/>
      <c r="B594" s="69"/>
      <c r="C594" s="69"/>
      <c r="D594" s="148"/>
      <c r="E594" s="147"/>
      <c r="F594" s="149"/>
      <c r="G594" s="149"/>
      <c r="H594" s="150"/>
    </row>
    <row r="595" spans="1:8" x14ac:dyDescent="0.45">
      <c r="A595" s="40">
        <v>1719279398</v>
      </c>
      <c r="B595" s="40" t="s">
        <v>703</v>
      </c>
      <c r="C595" s="40" t="s">
        <v>704</v>
      </c>
      <c r="D595" s="80" t="s">
        <v>705</v>
      </c>
      <c r="E595" s="81">
        <v>46120</v>
      </c>
      <c r="F595" s="138">
        <v>24</v>
      </c>
      <c r="G595" s="138">
        <v>1.9122026040818098E+19</v>
      </c>
      <c r="H595" s="108"/>
    </row>
    <row r="596" spans="1:8" x14ac:dyDescent="0.45">
      <c r="A596" s="40">
        <v>1708380553</v>
      </c>
      <c r="B596" s="40" t="s">
        <v>597</v>
      </c>
      <c r="C596" s="40" t="s">
        <v>706</v>
      </c>
      <c r="D596" s="80" t="s">
        <v>88</v>
      </c>
      <c r="E596" s="81">
        <v>46120</v>
      </c>
      <c r="F596" s="138">
        <v>13</v>
      </c>
      <c r="G596" s="138" t="s">
        <v>99</v>
      </c>
      <c r="H596" s="108">
        <v>58471391</v>
      </c>
    </row>
    <row r="597" spans="1:8" x14ac:dyDescent="0.45">
      <c r="A597" s="40">
        <v>1708380553</v>
      </c>
      <c r="B597" s="40" t="s">
        <v>597</v>
      </c>
      <c r="C597" s="40" t="s">
        <v>707</v>
      </c>
      <c r="D597" s="80" t="s">
        <v>419</v>
      </c>
      <c r="E597" s="81">
        <v>46120</v>
      </c>
      <c r="F597" s="138">
        <v>10</v>
      </c>
      <c r="G597" s="138" t="s">
        <v>99</v>
      </c>
      <c r="H597" s="107">
        <v>58471391</v>
      </c>
    </row>
    <row r="598" spans="1:8" x14ac:dyDescent="0.45">
      <c r="A598" s="40"/>
      <c r="B598" s="40"/>
      <c r="C598" s="40"/>
      <c r="D598" s="80"/>
      <c r="E598" s="81"/>
      <c r="F598" s="138"/>
      <c r="G598" s="138"/>
      <c r="H598" s="107"/>
    </row>
    <row r="599" spans="1:8" x14ac:dyDescent="0.45">
      <c r="A599" s="69"/>
      <c r="B599" s="69"/>
      <c r="C599" s="69"/>
      <c r="D599" s="148"/>
      <c r="E599" s="147"/>
      <c r="F599" s="149"/>
      <c r="G599" s="149"/>
      <c r="H599" s="151"/>
    </row>
    <row r="600" spans="1:8" x14ac:dyDescent="0.45">
      <c r="A600" s="40">
        <v>1724534016</v>
      </c>
      <c r="B600" s="44" t="s">
        <v>708</v>
      </c>
      <c r="C600" s="40" t="s">
        <v>102</v>
      </c>
      <c r="D600" s="80" t="s">
        <v>88</v>
      </c>
      <c r="E600" s="81">
        <v>46121</v>
      </c>
      <c r="F600" s="138">
        <v>16</v>
      </c>
      <c r="G600" s="138" t="s">
        <v>99</v>
      </c>
      <c r="H600" s="108">
        <v>22938613</v>
      </c>
    </row>
    <row r="601" spans="1:8" x14ac:dyDescent="0.45">
      <c r="A601" s="40">
        <v>1714674817</v>
      </c>
      <c r="B601" s="40" t="s">
        <v>628</v>
      </c>
      <c r="C601" s="40" t="s">
        <v>709</v>
      </c>
      <c r="D601" s="80" t="s">
        <v>88</v>
      </c>
      <c r="E601" s="81">
        <v>46121</v>
      </c>
      <c r="F601" s="138">
        <v>10</v>
      </c>
      <c r="G601" s="138" t="s">
        <v>99</v>
      </c>
      <c r="H601" s="107">
        <v>31812996</v>
      </c>
    </row>
    <row r="602" spans="1:8" x14ac:dyDescent="0.45">
      <c r="A602" s="40">
        <v>1716954423</v>
      </c>
      <c r="B602" s="40" t="s">
        <v>710</v>
      </c>
      <c r="C602" s="40" t="s">
        <v>484</v>
      </c>
      <c r="D602" s="80" t="s">
        <v>88</v>
      </c>
      <c r="E602" s="81">
        <v>46121</v>
      </c>
      <c r="F602" s="138">
        <v>15</v>
      </c>
      <c r="G602" s="138" t="s">
        <v>99</v>
      </c>
      <c r="H602" s="107">
        <v>50422428</v>
      </c>
    </row>
    <row r="603" spans="1:8" x14ac:dyDescent="0.45">
      <c r="A603" s="40"/>
      <c r="B603" s="40"/>
      <c r="C603" s="40"/>
      <c r="D603" s="80"/>
      <c r="E603" s="81"/>
      <c r="F603" s="138"/>
      <c r="G603" s="138"/>
      <c r="H603" s="108"/>
    </row>
    <row r="604" spans="1:8" x14ac:dyDescent="0.45">
      <c r="A604" s="69"/>
      <c r="B604" s="69"/>
      <c r="C604" s="69"/>
      <c r="D604" s="148"/>
      <c r="E604" s="147"/>
      <c r="F604" s="149"/>
      <c r="G604" s="149"/>
      <c r="H604" s="151"/>
    </row>
    <row r="605" spans="1:8" x14ac:dyDescent="0.45">
      <c r="A605" s="40"/>
      <c r="B605" s="40" t="s">
        <v>71</v>
      </c>
      <c r="C605" s="40" t="s">
        <v>83</v>
      </c>
      <c r="D605" s="80" t="s">
        <v>88</v>
      </c>
      <c r="E605" s="81">
        <v>46122</v>
      </c>
      <c r="F605" s="138">
        <v>10</v>
      </c>
      <c r="G605" s="138"/>
      <c r="H605" s="107"/>
    </row>
    <row r="606" spans="1:8" x14ac:dyDescent="0.45">
      <c r="A606" s="69"/>
      <c r="B606" s="69"/>
      <c r="C606" s="69"/>
      <c r="D606" s="148"/>
      <c r="E606" s="147"/>
      <c r="F606" s="149"/>
      <c r="G606" s="149"/>
      <c r="H606" s="151"/>
    </row>
    <row r="607" spans="1:8" x14ac:dyDescent="0.45">
      <c r="A607" s="40"/>
      <c r="B607" s="40" t="s">
        <v>711</v>
      </c>
      <c r="C607" s="40" t="s">
        <v>712</v>
      </c>
      <c r="D607" s="80" t="s">
        <v>702</v>
      </c>
      <c r="E607" s="81">
        <v>46123</v>
      </c>
      <c r="F607" s="138">
        <v>30</v>
      </c>
      <c r="G607" s="138" t="s">
        <v>713</v>
      </c>
      <c r="H607" s="108">
        <v>20221913</v>
      </c>
    </row>
    <row r="608" spans="1:8" x14ac:dyDescent="0.45">
      <c r="A608" s="40"/>
      <c r="B608" s="40" t="s">
        <v>711</v>
      </c>
      <c r="C608" s="40" t="s">
        <v>714</v>
      </c>
      <c r="D608" s="80" t="s">
        <v>88</v>
      </c>
      <c r="E608" s="81">
        <v>46123</v>
      </c>
      <c r="F608" s="138">
        <v>55</v>
      </c>
      <c r="G608" s="138" t="s">
        <v>713</v>
      </c>
      <c r="H608" s="108">
        <v>20221913</v>
      </c>
    </row>
    <row r="609" spans="1:8" x14ac:dyDescent="0.45">
      <c r="A609" s="40">
        <v>1718346016</v>
      </c>
      <c r="B609" s="40" t="s">
        <v>715</v>
      </c>
      <c r="C609" s="40" t="s">
        <v>716</v>
      </c>
      <c r="D609" s="80" t="s">
        <v>702</v>
      </c>
      <c r="E609" s="81">
        <v>46123</v>
      </c>
      <c r="F609" s="138">
        <v>20</v>
      </c>
      <c r="G609" s="138" t="s">
        <v>713</v>
      </c>
      <c r="H609" s="107">
        <v>34576565</v>
      </c>
    </row>
    <row r="610" spans="1:8" x14ac:dyDescent="0.45">
      <c r="A610" s="40">
        <v>1718346016</v>
      </c>
      <c r="B610" s="40" t="s">
        <v>715</v>
      </c>
      <c r="C610" s="40" t="s">
        <v>455</v>
      </c>
      <c r="D610" s="80" t="s">
        <v>705</v>
      </c>
      <c r="E610" s="81">
        <v>46123</v>
      </c>
      <c r="F610" s="138">
        <v>10</v>
      </c>
      <c r="G610" s="138" t="s">
        <v>713</v>
      </c>
      <c r="H610" s="108">
        <v>34576565</v>
      </c>
    </row>
    <row r="611" spans="1:8" x14ac:dyDescent="0.45">
      <c r="A611" s="40"/>
      <c r="B611" s="40" t="s">
        <v>717</v>
      </c>
      <c r="C611" s="40" t="s">
        <v>718</v>
      </c>
      <c r="D611" s="80" t="s">
        <v>702</v>
      </c>
      <c r="E611" s="81">
        <v>46123</v>
      </c>
      <c r="F611" s="138">
        <v>22</v>
      </c>
      <c r="G611" s="138" t="s">
        <v>79</v>
      </c>
      <c r="H611" s="108"/>
    </row>
    <row r="612" spans="1:8" x14ac:dyDescent="0.45">
      <c r="A612" s="69"/>
      <c r="B612" s="69"/>
      <c r="C612" s="69"/>
      <c r="D612" s="148"/>
      <c r="E612" s="147"/>
      <c r="F612" s="149"/>
      <c r="G612" s="149"/>
      <c r="H612" s="151"/>
    </row>
    <row r="613" spans="1:8" x14ac:dyDescent="0.45">
      <c r="A613" s="40">
        <v>1715338024</v>
      </c>
      <c r="B613" s="40" t="s">
        <v>719</v>
      </c>
      <c r="C613" s="40" t="s">
        <v>266</v>
      </c>
      <c r="D613" s="80" t="s">
        <v>702</v>
      </c>
      <c r="E613" s="81">
        <v>46124</v>
      </c>
      <c r="F613" s="138">
        <v>10</v>
      </c>
      <c r="G613" s="138" t="s">
        <v>713</v>
      </c>
      <c r="H613" s="107">
        <v>71752845</v>
      </c>
    </row>
    <row r="614" spans="1:8" x14ac:dyDescent="0.45">
      <c r="A614" s="40"/>
      <c r="B614" s="40" t="s">
        <v>720</v>
      </c>
      <c r="C614" s="40" t="s">
        <v>721</v>
      </c>
      <c r="D614" s="80" t="s">
        <v>88</v>
      </c>
      <c r="E614" s="81">
        <v>46124</v>
      </c>
      <c r="F614" s="138">
        <v>15</v>
      </c>
      <c r="G614" s="138" t="s">
        <v>79</v>
      </c>
      <c r="H614" s="108"/>
    </row>
    <row r="615" spans="1:8" x14ac:dyDescent="0.45">
      <c r="A615" s="40">
        <v>1717933798</v>
      </c>
      <c r="B615" s="40" t="s">
        <v>454</v>
      </c>
      <c r="C615" s="40" t="s">
        <v>193</v>
      </c>
      <c r="D615" s="80" t="s">
        <v>88</v>
      </c>
      <c r="E615" s="81">
        <v>46124</v>
      </c>
      <c r="F615" s="138">
        <v>22</v>
      </c>
      <c r="G615" s="138" t="s">
        <v>722</v>
      </c>
      <c r="H615" s="108"/>
    </row>
    <row r="616" spans="1:8" x14ac:dyDescent="0.45">
      <c r="A616" s="69"/>
      <c r="B616" s="69"/>
      <c r="C616" s="69"/>
      <c r="D616" s="148"/>
      <c r="E616" s="147"/>
      <c r="F616" s="149"/>
      <c r="G616" s="149"/>
      <c r="H616" s="150"/>
    </row>
    <row r="617" spans="1:8" x14ac:dyDescent="0.45">
      <c r="A617" s="40">
        <v>1750481671</v>
      </c>
      <c r="B617" s="40" t="s">
        <v>723</v>
      </c>
      <c r="C617" s="40" t="s">
        <v>95</v>
      </c>
      <c r="D617" s="80" t="s">
        <v>88</v>
      </c>
      <c r="E617" s="81">
        <v>46125</v>
      </c>
      <c r="F617" s="138">
        <v>10</v>
      </c>
      <c r="G617" s="138"/>
      <c r="H617" s="107"/>
    </row>
    <row r="618" spans="1:8" x14ac:dyDescent="0.45">
      <c r="A618" s="40">
        <v>1720222817</v>
      </c>
      <c r="B618" s="40" t="s">
        <v>724</v>
      </c>
      <c r="C618" s="40" t="s">
        <v>160</v>
      </c>
      <c r="D618" s="80" t="s">
        <v>702</v>
      </c>
      <c r="E618" s="81">
        <v>46125</v>
      </c>
      <c r="F618" s="138">
        <v>15</v>
      </c>
      <c r="G618" s="138"/>
      <c r="H618" s="108"/>
    </row>
    <row r="619" spans="1:8" x14ac:dyDescent="0.45">
      <c r="A619" s="40"/>
      <c r="B619" s="40"/>
      <c r="C619" s="40"/>
      <c r="D619" s="80"/>
      <c r="E619" s="81"/>
      <c r="F619" s="138"/>
      <c r="G619" s="138"/>
      <c r="H619" s="108"/>
    </row>
    <row r="620" spans="1:8" x14ac:dyDescent="0.45">
      <c r="A620" s="58"/>
      <c r="B620" s="58"/>
      <c r="C620" s="58"/>
      <c r="D620" s="152"/>
      <c r="E620" s="153"/>
      <c r="F620" s="154"/>
      <c r="G620" s="154"/>
      <c r="H620" s="155"/>
    </row>
    <row r="621" spans="1:8" x14ac:dyDescent="0.45">
      <c r="A621" s="40">
        <v>1719051631</v>
      </c>
      <c r="B621" s="40" t="s">
        <v>584</v>
      </c>
      <c r="C621" s="40" t="s">
        <v>359</v>
      </c>
      <c r="D621" s="80" t="s">
        <v>88</v>
      </c>
      <c r="E621" s="81">
        <v>46126</v>
      </c>
      <c r="F621" s="138">
        <v>5</v>
      </c>
      <c r="G621" s="138" t="s">
        <v>99</v>
      </c>
      <c r="H621" s="107">
        <v>35913645</v>
      </c>
    </row>
    <row r="622" spans="1:8" x14ac:dyDescent="0.45">
      <c r="A622" s="40">
        <v>1714400965</v>
      </c>
      <c r="B622" s="40" t="s">
        <v>725</v>
      </c>
      <c r="C622" s="40" t="s">
        <v>95</v>
      </c>
      <c r="D622" s="80" t="s">
        <v>88</v>
      </c>
      <c r="E622" s="81">
        <v>46126</v>
      </c>
      <c r="F622" s="138">
        <v>10</v>
      </c>
      <c r="G622" s="138" t="s">
        <v>99</v>
      </c>
      <c r="H622" s="108">
        <v>40295330</v>
      </c>
    </row>
    <row r="623" spans="1:8" x14ac:dyDescent="0.45">
      <c r="A623" s="40">
        <v>1707963227</v>
      </c>
      <c r="B623" s="40" t="s">
        <v>77</v>
      </c>
      <c r="C623" s="40" t="s">
        <v>136</v>
      </c>
      <c r="D623" s="80" t="s">
        <v>88</v>
      </c>
      <c r="E623" s="81">
        <v>46126</v>
      </c>
      <c r="F623" s="138">
        <v>15</v>
      </c>
      <c r="G623" s="138"/>
      <c r="H623" s="108"/>
    </row>
    <row r="624" spans="1:8" x14ac:dyDescent="0.45">
      <c r="A624" s="40">
        <v>1707124341</v>
      </c>
      <c r="B624" s="40" t="s">
        <v>726</v>
      </c>
      <c r="C624" s="40" t="s">
        <v>449</v>
      </c>
      <c r="D624" s="80" t="s">
        <v>88</v>
      </c>
      <c r="E624" s="81">
        <v>46126</v>
      </c>
      <c r="F624" s="138">
        <v>31</v>
      </c>
      <c r="G624" s="138" t="s">
        <v>79</v>
      </c>
      <c r="H624" s="108"/>
    </row>
    <row r="625" spans="1:8" x14ac:dyDescent="0.45">
      <c r="A625" s="40"/>
      <c r="B625" s="40"/>
      <c r="C625" s="40"/>
      <c r="D625" s="80"/>
      <c r="E625" s="81"/>
      <c r="F625" s="138"/>
      <c r="G625" s="138"/>
      <c r="H625" s="108"/>
    </row>
    <row r="626" spans="1:8" x14ac:dyDescent="0.45">
      <c r="A626" s="58"/>
      <c r="B626" s="58"/>
      <c r="C626" s="58"/>
      <c r="D626" s="152"/>
      <c r="E626" s="153"/>
      <c r="F626" s="154"/>
      <c r="G626" s="154"/>
      <c r="H626" s="155"/>
    </row>
    <row r="627" spans="1:8" x14ac:dyDescent="0.45">
      <c r="A627" s="40">
        <v>1717603177</v>
      </c>
      <c r="B627" s="40" t="s">
        <v>727</v>
      </c>
      <c r="C627" s="40" t="s">
        <v>728</v>
      </c>
      <c r="D627" s="80" t="s">
        <v>88</v>
      </c>
      <c r="E627" s="81">
        <v>46127</v>
      </c>
      <c r="F627" s="138">
        <v>20</v>
      </c>
      <c r="G627" s="138" t="s">
        <v>99</v>
      </c>
      <c r="H627" s="108">
        <v>26290084</v>
      </c>
    </row>
    <row r="628" spans="1:8" x14ac:dyDescent="0.45">
      <c r="A628" s="40">
        <v>1753278652</v>
      </c>
      <c r="B628" s="40" t="s">
        <v>729</v>
      </c>
      <c r="C628" s="40" t="s">
        <v>484</v>
      </c>
      <c r="D628" s="80" t="s">
        <v>88</v>
      </c>
      <c r="E628" s="81">
        <v>46127</v>
      </c>
      <c r="F628" s="138">
        <v>15</v>
      </c>
      <c r="G628" s="138" t="s">
        <v>154</v>
      </c>
      <c r="H628" s="108">
        <v>182</v>
      </c>
    </row>
    <row r="629" spans="1:8" x14ac:dyDescent="0.45">
      <c r="A629" s="40">
        <v>802153023</v>
      </c>
      <c r="B629" s="40" t="s">
        <v>730</v>
      </c>
      <c r="C629" s="40" t="s">
        <v>87</v>
      </c>
      <c r="D629" s="80" t="s">
        <v>88</v>
      </c>
      <c r="E629" s="81">
        <v>46127</v>
      </c>
      <c r="F629" s="138">
        <v>15</v>
      </c>
      <c r="G629" s="138" t="s">
        <v>154</v>
      </c>
      <c r="H629" s="108">
        <v>183</v>
      </c>
    </row>
    <row r="630" spans="1:8" x14ac:dyDescent="0.45">
      <c r="A630" s="40"/>
      <c r="B630" s="40"/>
      <c r="C630" s="40"/>
      <c r="D630" s="80"/>
      <c r="E630" s="81"/>
      <c r="F630" s="138"/>
      <c r="G630" s="138"/>
      <c r="H630" s="108"/>
    </row>
    <row r="631" spans="1:8" x14ac:dyDescent="0.45">
      <c r="A631" s="40"/>
      <c r="B631" s="40"/>
      <c r="C631" s="40"/>
      <c r="D631" s="80"/>
      <c r="E631" s="81"/>
      <c r="F631" s="138"/>
      <c r="G631" s="138"/>
      <c r="H631" s="108"/>
    </row>
    <row r="632" spans="1:8" x14ac:dyDescent="0.45">
      <c r="A632" s="58"/>
      <c r="B632" s="58"/>
      <c r="C632" s="58"/>
      <c r="D632" s="152"/>
      <c r="E632" s="153"/>
      <c r="F632" s="154"/>
      <c r="G632" s="154"/>
      <c r="H632" s="155"/>
    </row>
    <row r="633" spans="1:8" x14ac:dyDescent="0.45">
      <c r="A633" s="40">
        <v>1719430991</v>
      </c>
      <c r="B633" s="40" t="s">
        <v>731</v>
      </c>
      <c r="C633" s="40" t="s">
        <v>87</v>
      </c>
      <c r="D633" s="80" t="s">
        <v>88</v>
      </c>
      <c r="E633" s="81">
        <v>46128</v>
      </c>
      <c r="F633" s="138">
        <v>15</v>
      </c>
      <c r="G633" s="138" t="s">
        <v>99</v>
      </c>
      <c r="H633" s="108">
        <v>30026017</v>
      </c>
    </row>
    <row r="634" spans="1:8" x14ac:dyDescent="0.45">
      <c r="A634" s="40">
        <v>1707963227</v>
      </c>
      <c r="B634" s="40" t="s">
        <v>77</v>
      </c>
      <c r="C634" s="40" t="s">
        <v>104</v>
      </c>
      <c r="D634" s="80" t="s">
        <v>88</v>
      </c>
      <c r="E634" s="81">
        <v>46128</v>
      </c>
      <c r="F634" s="138">
        <v>12</v>
      </c>
      <c r="G634" s="138"/>
      <c r="H634" s="108"/>
    </row>
    <row r="635" spans="1:8" x14ac:dyDescent="0.45">
      <c r="A635" s="40">
        <v>401388814</v>
      </c>
      <c r="B635" s="40" t="s">
        <v>732</v>
      </c>
      <c r="C635" s="40" t="s">
        <v>698</v>
      </c>
      <c r="D635" s="80" t="s">
        <v>88</v>
      </c>
      <c r="E635" s="81">
        <v>46128</v>
      </c>
      <c r="F635" s="138">
        <v>20</v>
      </c>
      <c r="G635" s="138" t="s">
        <v>99</v>
      </c>
      <c r="H635" s="108">
        <v>50345333</v>
      </c>
    </row>
    <row r="636" spans="1:8" x14ac:dyDescent="0.45">
      <c r="A636" s="40">
        <v>502514128</v>
      </c>
      <c r="B636" s="40" t="s">
        <v>733</v>
      </c>
      <c r="C636" s="40" t="s">
        <v>104</v>
      </c>
      <c r="D636" s="80" t="s">
        <v>88</v>
      </c>
      <c r="E636" s="81">
        <v>46128</v>
      </c>
      <c r="F636" s="138">
        <v>12</v>
      </c>
      <c r="G636" s="138" t="s">
        <v>79</v>
      </c>
      <c r="H636" s="108"/>
    </row>
    <row r="637" spans="1:8" x14ac:dyDescent="0.45">
      <c r="A637" s="40"/>
      <c r="B637" s="40"/>
      <c r="C637" s="40"/>
      <c r="D637" s="80"/>
      <c r="E637" s="81"/>
      <c r="F637" s="138"/>
      <c r="G637" s="138"/>
      <c r="H637" s="108"/>
    </row>
    <row r="638" spans="1:8" x14ac:dyDescent="0.45">
      <c r="A638" s="40"/>
      <c r="B638" s="40"/>
      <c r="C638" s="40"/>
      <c r="D638" s="80"/>
      <c r="E638" s="81"/>
      <c r="F638" s="138"/>
      <c r="G638" s="138"/>
      <c r="H638" s="108"/>
    </row>
    <row r="639" spans="1:8" x14ac:dyDescent="0.45">
      <c r="A639" s="58"/>
      <c r="B639" s="58"/>
      <c r="C639" s="58"/>
      <c r="D639" s="152"/>
      <c r="E639" s="153"/>
      <c r="F639" s="154"/>
      <c r="G639" s="154"/>
      <c r="H639" s="155"/>
    </row>
    <row r="640" spans="1:8" x14ac:dyDescent="0.45">
      <c r="A640" s="40">
        <v>401388814</v>
      </c>
      <c r="B640" s="40" t="s">
        <v>734</v>
      </c>
      <c r="C640" s="40" t="s">
        <v>102</v>
      </c>
      <c r="D640" s="80" t="s">
        <v>88</v>
      </c>
      <c r="E640" s="81">
        <v>46129</v>
      </c>
      <c r="F640" s="138">
        <v>17</v>
      </c>
      <c r="G640" s="138" t="s">
        <v>99</v>
      </c>
      <c r="H640" s="108">
        <v>26079419</v>
      </c>
    </row>
    <row r="641" spans="1:8" x14ac:dyDescent="0.45">
      <c r="A641" s="40">
        <v>1724928609</v>
      </c>
      <c r="B641" s="40" t="s">
        <v>735</v>
      </c>
      <c r="C641" s="40" t="s">
        <v>736</v>
      </c>
      <c r="D641" s="80" t="s">
        <v>88</v>
      </c>
      <c r="E641" s="81">
        <v>46129</v>
      </c>
      <c r="F641" s="138">
        <v>25</v>
      </c>
      <c r="G641" s="138" t="s">
        <v>154</v>
      </c>
      <c r="H641" s="108">
        <v>185</v>
      </c>
    </row>
    <row r="642" spans="1:8" x14ac:dyDescent="0.45">
      <c r="A642" s="40"/>
      <c r="B642" s="40" t="s">
        <v>737</v>
      </c>
      <c r="C642" s="40" t="s">
        <v>95</v>
      </c>
      <c r="D642" s="80" t="s">
        <v>88</v>
      </c>
      <c r="E642" s="81">
        <v>46129</v>
      </c>
      <c r="F642" s="138">
        <v>10</v>
      </c>
      <c r="G642" s="138" t="s">
        <v>79</v>
      </c>
      <c r="H642" s="108"/>
    </row>
    <row r="643" spans="1:8" x14ac:dyDescent="0.45">
      <c r="A643" s="58"/>
      <c r="B643" s="58"/>
      <c r="C643" s="58"/>
      <c r="D643" s="152"/>
      <c r="E643" s="153"/>
      <c r="F643" s="154"/>
      <c r="G643" s="154"/>
      <c r="H643" s="155"/>
    </row>
    <row r="644" spans="1:8" x14ac:dyDescent="0.45">
      <c r="A644" s="40">
        <v>1721946067</v>
      </c>
      <c r="B644" s="40" t="s">
        <v>74</v>
      </c>
      <c r="C644" s="40" t="s">
        <v>160</v>
      </c>
      <c r="D644" s="80" t="s">
        <v>702</v>
      </c>
      <c r="E644" s="81">
        <v>46130</v>
      </c>
      <c r="F644" s="138">
        <v>15</v>
      </c>
      <c r="G644" s="138"/>
      <c r="H644" s="108"/>
    </row>
    <row r="645" spans="1:8" x14ac:dyDescent="0.45">
      <c r="A645" s="40">
        <v>1724038862</v>
      </c>
      <c r="B645" s="40" t="s">
        <v>43</v>
      </c>
      <c r="C645" s="40" t="s">
        <v>693</v>
      </c>
      <c r="D645" s="80" t="s">
        <v>88</v>
      </c>
      <c r="E645" s="81">
        <v>46130</v>
      </c>
      <c r="F645" s="138">
        <f>15+4</f>
        <v>19</v>
      </c>
      <c r="G645" s="138" t="s">
        <v>686</v>
      </c>
      <c r="H645" s="108">
        <v>2209317587</v>
      </c>
    </row>
    <row r="646" spans="1:8" x14ac:dyDescent="0.45">
      <c r="A646" s="40">
        <v>1724038862</v>
      </c>
      <c r="B646" s="40" t="s">
        <v>43</v>
      </c>
      <c r="C646" s="40" t="s">
        <v>693</v>
      </c>
      <c r="D646" s="80" t="s">
        <v>88</v>
      </c>
      <c r="E646" s="81">
        <v>46130</v>
      </c>
      <c r="F646" s="138">
        <f>15+5</f>
        <v>20</v>
      </c>
      <c r="G646" s="138" t="s">
        <v>686</v>
      </c>
      <c r="H646" s="108">
        <v>2209317587</v>
      </c>
    </row>
    <row r="647" spans="1:8" x14ac:dyDescent="0.45">
      <c r="A647" s="40">
        <v>1713447157</v>
      </c>
      <c r="B647" s="40" t="s">
        <v>738</v>
      </c>
      <c r="C647" s="40" t="s">
        <v>484</v>
      </c>
      <c r="D647" s="80" t="s">
        <v>702</v>
      </c>
      <c r="E647" s="81">
        <v>46130</v>
      </c>
      <c r="F647" s="138">
        <v>15</v>
      </c>
      <c r="G647" s="138" t="s">
        <v>56</v>
      </c>
      <c r="H647" s="108">
        <v>43944280</v>
      </c>
    </row>
    <row r="648" spans="1:8" x14ac:dyDescent="0.45">
      <c r="A648" s="40"/>
      <c r="B648" s="40"/>
      <c r="C648" s="40"/>
      <c r="D648" s="80"/>
      <c r="E648" s="81"/>
      <c r="F648" s="138"/>
      <c r="G648" s="138"/>
      <c r="H648" s="108"/>
    </row>
    <row r="649" spans="1:8" x14ac:dyDescent="0.45">
      <c r="A649" s="70"/>
      <c r="B649" s="70"/>
      <c r="C649" s="70"/>
      <c r="D649" s="156"/>
      <c r="E649" s="157"/>
      <c r="F649" s="158"/>
      <c r="G649" s="158"/>
      <c r="H649" s="159"/>
    </row>
    <row r="650" spans="1:8" x14ac:dyDescent="0.45">
      <c r="A650" s="40">
        <v>1721674098</v>
      </c>
      <c r="B650" s="40" t="s">
        <v>739</v>
      </c>
      <c r="C650" s="40" t="s">
        <v>740</v>
      </c>
      <c r="D650" s="80" t="s">
        <v>88</v>
      </c>
      <c r="E650" s="81">
        <v>46131</v>
      </c>
      <c r="F650" s="138">
        <v>27</v>
      </c>
      <c r="G650" s="138" t="s">
        <v>99</v>
      </c>
      <c r="H650" s="108">
        <v>73042828</v>
      </c>
    </row>
    <row r="651" spans="1:8" x14ac:dyDescent="0.45">
      <c r="A651" s="40">
        <v>1714650379</v>
      </c>
      <c r="B651" s="40" t="s">
        <v>637</v>
      </c>
      <c r="C651" s="40" t="s">
        <v>484</v>
      </c>
      <c r="D651" s="80" t="s">
        <v>702</v>
      </c>
      <c r="E651" s="81">
        <v>46131</v>
      </c>
      <c r="F651" s="138">
        <v>15</v>
      </c>
      <c r="G651" s="138" t="s">
        <v>713</v>
      </c>
      <c r="H651" s="108"/>
    </row>
    <row r="652" spans="1:8" x14ac:dyDescent="0.45">
      <c r="A652" s="40">
        <v>1721675153</v>
      </c>
      <c r="B652" s="40" t="s">
        <v>741</v>
      </c>
      <c r="C652" s="40" t="s">
        <v>742</v>
      </c>
      <c r="D652" s="80" t="s">
        <v>88</v>
      </c>
      <c r="E652" s="81">
        <v>46131</v>
      </c>
      <c r="F652" s="138">
        <v>20</v>
      </c>
      <c r="G652" s="138" t="s">
        <v>713</v>
      </c>
      <c r="H652" s="108">
        <v>90467407</v>
      </c>
    </row>
    <row r="653" spans="1:8" x14ac:dyDescent="0.45">
      <c r="A653" s="40">
        <v>1721675153</v>
      </c>
      <c r="B653" s="40" t="s">
        <v>741</v>
      </c>
      <c r="C653" s="40" t="s">
        <v>742</v>
      </c>
      <c r="D653" s="80" t="s">
        <v>88</v>
      </c>
      <c r="E653" s="81">
        <v>46131</v>
      </c>
      <c r="F653" s="138">
        <v>17</v>
      </c>
      <c r="G653" s="138" t="s">
        <v>713</v>
      </c>
      <c r="H653" s="108">
        <v>90467407</v>
      </c>
    </row>
    <row r="654" spans="1:8" x14ac:dyDescent="0.45">
      <c r="A654" s="40"/>
      <c r="B654" s="40"/>
      <c r="C654" s="40"/>
      <c r="D654" s="80"/>
      <c r="E654" s="81"/>
      <c r="F654" s="138"/>
      <c r="G654" s="138"/>
      <c r="H654" s="108"/>
    </row>
    <row r="655" spans="1:8" x14ac:dyDescent="0.45">
      <c r="A655" s="58"/>
      <c r="B655" s="58"/>
      <c r="C655" s="58"/>
      <c r="D655" s="152"/>
      <c r="E655" s="153"/>
      <c r="F655" s="154"/>
      <c r="G655" s="154"/>
      <c r="H655" s="160"/>
    </row>
    <row r="656" spans="1:8" x14ac:dyDescent="0.45">
      <c r="A656" s="40"/>
      <c r="B656" s="40" t="s">
        <v>743</v>
      </c>
      <c r="C656" s="40" t="s">
        <v>102</v>
      </c>
      <c r="D656" s="80" t="s">
        <v>88</v>
      </c>
      <c r="E656" s="81">
        <v>46132</v>
      </c>
      <c r="F656" s="138">
        <v>16</v>
      </c>
      <c r="G656" s="138" t="s">
        <v>99</v>
      </c>
      <c r="H656" s="108">
        <v>119726202</v>
      </c>
    </row>
    <row r="657" spans="1:8" x14ac:dyDescent="0.45">
      <c r="A657" s="40"/>
      <c r="B657" s="40"/>
      <c r="C657" s="40"/>
      <c r="D657" s="80"/>
      <c r="E657" s="81"/>
      <c r="F657" s="138"/>
      <c r="G657" s="138"/>
      <c r="H657" s="108"/>
    </row>
    <row r="658" spans="1:8" x14ac:dyDescent="0.45">
      <c r="A658" s="58"/>
      <c r="B658" s="58"/>
      <c r="C658" s="58"/>
      <c r="D658" s="152"/>
      <c r="E658" s="153"/>
      <c r="F658" s="154"/>
      <c r="G658" s="154"/>
      <c r="H658" s="160"/>
    </row>
    <row r="659" spans="1:8" x14ac:dyDescent="0.45">
      <c r="A659" s="40"/>
      <c r="B659" s="40" t="s">
        <v>744</v>
      </c>
      <c r="C659" s="40" t="s">
        <v>155</v>
      </c>
      <c r="D659" s="80" t="s">
        <v>88</v>
      </c>
      <c r="E659" s="81">
        <v>46133</v>
      </c>
      <c r="F659" s="138">
        <v>22</v>
      </c>
      <c r="G659" s="138" t="s">
        <v>154</v>
      </c>
      <c r="H659" s="108">
        <v>187</v>
      </c>
    </row>
    <row r="660" spans="1:8" x14ac:dyDescent="0.45">
      <c r="A660" s="40"/>
      <c r="B660" s="40" t="s">
        <v>744</v>
      </c>
      <c r="C660" s="40" t="s">
        <v>745</v>
      </c>
      <c r="D660" s="80" t="s">
        <v>746</v>
      </c>
      <c r="E660" s="81">
        <v>21</v>
      </c>
      <c r="F660" s="138">
        <v>22</v>
      </c>
      <c r="G660" s="138" t="s">
        <v>154</v>
      </c>
      <c r="H660" s="108">
        <v>187</v>
      </c>
    </row>
    <row r="661" spans="1:8" x14ac:dyDescent="0.45">
      <c r="A661" s="40">
        <v>1721946067</v>
      </c>
      <c r="B661" s="40" t="s">
        <v>74</v>
      </c>
      <c r="C661" s="40" t="s">
        <v>747</v>
      </c>
      <c r="D661" s="80"/>
      <c r="E661" s="81"/>
      <c r="F661" s="138">
        <f>17+6</f>
        <v>23</v>
      </c>
      <c r="G661" s="138"/>
      <c r="H661" s="108"/>
    </row>
    <row r="662" spans="1:8" x14ac:dyDescent="0.45">
      <c r="A662" s="40"/>
      <c r="B662" s="40"/>
      <c r="C662" s="40"/>
      <c r="D662" s="80"/>
      <c r="E662" s="81"/>
      <c r="F662" s="138"/>
      <c r="G662" s="138"/>
      <c r="H662" s="108"/>
    </row>
    <row r="663" spans="1:8" x14ac:dyDescent="0.45">
      <c r="A663" s="58"/>
      <c r="B663" s="58"/>
      <c r="C663" s="58"/>
      <c r="D663" s="152"/>
      <c r="E663" s="153"/>
      <c r="F663" s="154"/>
      <c r="G663" s="154"/>
      <c r="H663" s="160"/>
    </row>
    <row r="664" spans="1:8" x14ac:dyDescent="0.45">
      <c r="A664" s="40"/>
      <c r="B664" s="40"/>
      <c r="C664" s="40"/>
      <c r="D664" s="80"/>
      <c r="E664" s="81">
        <v>46134</v>
      </c>
      <c r="F664" s="138"/>
      <c r="G664" s="138"/>
      <c r="H664" s="108"/>
    </row>
    <row r="665" spans="1:8" x14ac:dyDescent="0.45">
      <c r="A665" s="40"/>
      <c r="B665" s="40"/>
      <c r="C665" s="40"/>
      <c r="D665" s="80"/>
      <c r="E665" s="81"/>
      <c r="F665" s="138"/>
      <c r="G665" s="138"/>
      <c r="H665" s="108"/>
    </row>
    <row r="666" spans="1:8" x14ac:dyDescent="0.45">
      <c r="A666" s="58"/>
      <c r="B666" s="58"/>
      <c r="C666" s="58"/>
      <c r="D666" s="152"/>
      <c r="E666" s="153"/>
      <c r="F666" s="154"/>
      <c r="G666" s="154"/>
      <c r="H666" s="160"/>
    </row>
    <row r="667" spans="1:8" x14ac:dyDescent="0.45">
      <c r="A667" s="40">
        <v>1703826188</v>
      </c>
      <c r="B667" s="40" t="s">
        <v>748</v>
      </c>
      <c r="C667" s="40" t="s">
        <v>95</v>
      </c>
      <c r="D667" s="80" t="s">
        <v>746</v>
      </c>
      <c r="E667" s="81">
        <v>46135</v>
      </c>
      <c r="F667" s="138">
        <v>10</v>
      </c>
      <c r="G667" s="138" t="s">
        <v>96</v>
      </c>
      <c r="H667" s="108">
        <v>723234020900</v>
      </c>
    </row>
    <row r="668" spans="1:8" x14ac:dyDescent="0.45">
      <c r="A668" s="40">
        <v>1701432229</v>
      </c>
      <c r="B668" s="40" t="s">
        <v>749</v>
      </c>
      <c r="C668" s="40" t="s">
        <v>87</v>
      </c>
      <c r="D668" s="80" t="s">
        <v>88</v>
      </c>
      <c r="E668" s="81">
        <v>46135</v>
      </c>
      <c r="F668" s="138">
        <v>15</v>
      </c>
      <c r="G668" s="138"/>
      <c r="H668" s="108"/>
    </row>
    <row r="669" spans="1:8" x14ac:dyDescent="0.45">
      <c r="A669" s="40">
        <v>1709577199</v>
      </c>
      <c r="B669" s="40" t="s">
        <v>44</v>
      </c>
      <c r="C669" s="40" t="s">
        <v>95</v>
      </c>
      <c r="D669" s="80" t="s">
        <v>746</v>
      </c>
      <c r="E669" s="81">
        <v>46135</v>
      </c>
      <c r="F669" s="138">
        <v>10</v>
      </c>
      <c r="G669" s="138"/>
      <c r="H669" s="108"/>
    </row>
    <row r="670" spans="1:8" x14ac:dyDescent="0.45">
      <c r="A670" s="58"/>
      <c r="B670" s="58"/>
      <c r="C670" s="58"/>
      <c r="D670" s="152"/>
      <c r="E670" s="153"/>
      <c r="F670" s="154"/>
      <c r="G670" s="154"/>
      <c r="H670" s="160"/>
    </row>
    <row r="671" spans="1:8" x14ac:dyDescent="0.45">
      <c r="A671" s="40"/>
      <c r="B671" s="40"/>
      <c r="C671" s="40" t="s">
        <v>750</v>
      </c>
      <c r="D671" s="80" t="s">
        <v>272</v>
      </c>
      <c r="E671" s="81">
        <v>46136</v>
      </c>
      <c r="F671" s="138">
        <v>30</v>
      </c>
      <c r="G671" s="138" t="s">
        <v>79</v>
      </c>
      <c r="H671" s="108"/>
    </row>
    <row r="672" spans="1:8" x14ac:dyDescent="0.45">
      <c r="A672" s="40"/>
      <c r="B672" s="40" t="s">
        <v>751</v>
      </c>
      <c r="C672" s="40" t="s">
        <v>102</v>
      </c>
      <c r="D672" s="80" t="s">
        <v>88</v>
      </c>
      <c r="E672" s="81">
        <v>46136</v>
      </c>
      <c r="F672" s="138">
        <v>17</v>
      </c>
      <c r="G672" s="138" t="s">
        <v>154</v>
      </c>
      <c r="H672" s="108">
        <v>190</v>
      </c>
    </row>
    <row r="673" spans="1:8" x14ac:dyDescent="0.45">
      <c r="A673" s="40">
        <v>1720035284</v>
      </c>
      <c r="B673" s="40" t="s">
        <v>752</v>
      </c>
      <c r="C673" s="40" t="s">
        <v>753</v>
      </c>
      <c r="D673" s="80" t="s">
        <v>746</v>
      </c>
      <c r="E673" s="81">
        <v>46136</v>
      </c>
      <c r="F673" s="138">
        <v>5</v>
      </c>
      <c r="G673" s="138"/>
      <c r="H673" s="108">
        <v>44336965</v>
      </c>
    </row>
    <row r="674" spans="1:8" x14ac:dyDescent="0.45">
      <c r="A674" s="40">
        <v>1722462965</v>
      </c>
      <c r="B674" s="40" t="s">
        <v>754</v>
      </c>
      <c r="C674" s="40" t="s">
        <v>755</v>
      </c>
      <c r="D674" s="80" t="s">
        <v>746</v>
      </c>
      <c r="E674" s="81">
        <v>46136</v>
      </c>
      <c r="F674" s="138">
        <v>20</v>
      </c>
      <c r="G674" s="161" t="s">
        <v>96</v>
      </c>
      <c r="H674" s="108">
        <v>803625</v>
      </c>
    </row>
    <row r="675" spans="1:8" x14ac:dyDescent="0.45">
      <c r="A675" s="40"/>
      <c r="B675" s="40" t="s">
        <v>751</v>
      </c>
      <c r="C675" s="40" t="s">
        <v>756</v>
      </c>
      <c r="D675" s="80" t="s">
        <v>272</v>
      </c>
      <c r="E675" s="81">
        <v>46136</v>
      </c>
      <c r="F675" s="138">
        <v>70</v>
      </c>
      <c r="G675" s="138" t="s">
        <v>154</v>
      </c>
      <c r="H675" s="108">
        <v>190</v>
      </c>
    </row>
    <row r="676" spans="1:8" x14ac:dyDescent="0.45">
      <c r="A676" s="58"/>
      <c r="B676" s="58"/>
      <c r="C676" s="58"/>
      <c r="D676" s="152"/>
      <c r="E676" s="153"/>
      <c r="F676" s="154"/>
      <c r="G676" s="154"/>
      <c r="H676" s="160"/>
    </row>
    <row r="677" spans="1:8" x14ac:dyDescent="0.45">
      <c r="A677" s="40">
        <v>1705610085</v>
      </c>
      <c r="B677" s="40" t="s">
        <v>757</v>
      </c>
      <c r="C677" s="40" t="s">
        <v>709</v>
      </c>
      <c r="D677" s="80" t="s">
        <v>746</v>
      </c>
      <c r="E677" s="81">
        <v>46137</v>
      </c>
      <c r="F677" s="138">
        <v>10</v>
      </c>
      <c r="G677" s="138" t="s">
        <v>133</v>
      </c>
      <c r="H677" s="108"/>
    </row>
    <row r="678" spans="1:8" x14ac:dyDescent="0.45">
      <c r="A678" s="40">
        <v>1705610085</v>
      </c>
      <c r="B678" s="40" t="s">
        <v>757</v>
      </c>
      <c r="C678" s="40" t="s">
        <v>104</v>
      </c>
      <c r="D678" s="80" t="s">
        <v>88</v>
      </c>
      <c r="E678" s="81">
        <v>46137</v>
      </c>
      <c r="F678" s="138">
        <v>12</v>
      </c>
      <c r="G678" s="138" t="s">
        <v>133</v>
      </c>
      <c r="H678" s="108"/>
    </row>
    <row r="679" spans="1:8" x14ac:dyDescent="0.45">
      <c r="A679" s="40">
        <v>1705610085</v>
      </c>
      <c r="B679" s="40" t="s">
        <v>758</v>
      </c>
      <c r="C679" s="40" t="s">
        <v>742</v>
      </c>
      <c r="D679" s="80" t="s">
        <v>702</v>
      </c>
      <c r="E679" s="81">
        <v>46137</v>
      </c>
      <c r="F679" s="138">
        <v>21</v>
      </c>
      <c r="G679" s="138" t="s">
        <v>686</v>
      </c>
      <c r="H679" s="108">
        <v>25630054</v>
      </c>
    </row>
    <row r="680" spans="1:8" x14ac:dyDescent="0.45">
      <c r="A680" s="40">
        <v>1705610085</v>
      </c>
      <c r="B680" s="40" t="s">
        <v>757</v>
      </c>
      <c r="C680" s="40" t="s">
        <v>695</v>
      </c>
      <c r="D680" s="80"/>
      <c r="E680" s="81">
        <v>46137</v>
      </c>
      <c r="F680" s="138">
        <v>6</v>
      </c>
      <c r="G680" s="138" t="s">
        <v>133</v>
      </c>
      <c r="H680" s="108"/>
    </row>
    <row r="681" spans="1:8" x14ac:dyDescent="0.45">
      <c r="A681" s="40">
        <v>1312423450</v>
      </c>
      <c r="B681" s="40" t="s">
        <v>466</v>
      </c>
      <c r="C681" s="40" t="s">
        <v>385</v>
      </c>
      <c r="D681" s="80" t="s">
        <v>88</v>
      </c>
      <c r="E681" s="81">
        <v>46137</v>
      </c>
      <c r="F681" s="138">
        <v>20</v>
      </c>
      <c r="G681" s="138" t="s">
        <v>686</v>
      </c>
      <c r="H681" s="108">
        <v>35534881</v>
      </c>
    </row>
    <row r="682" spans="1:8" x14ac:dyDescent="0.45">
      <c r="A682" s="40">
        <v>1312423450</v>
      </c>
      <c r="B682" s="40" t="s">
        <v>466</v>
      </c>
      <c r="C682" s="40" t="s">
        <v>102</v>
      </c>
      <c r="D682" s="80" t="s">
        <v>746</v>
      </c>
      <c r="E682" s="81">
        <v>46137</v>
      </c>
      <c r="F682" s="138">
        <v>17</v>
      </c>
      <c r="G682" s="138" t="s">
        <v>686</v>
      </c>
      <c r="H682" s="108">
        <v>35534881</v>
      </c>
    </row>
    <row r="683" spans="1:8" x14ac:dyDescent="0.45">
      <c r="A683" s="40">
        <v>1312423450</v>
      </c>
      <c r="B683" s="40" t="s">
        <v>466</v>
      </c>
      <c r="C683" s="40" t="s">
        <v>759</v>
      </c>
      <c r="D683" s="80" t="s">
        <v>746</v>
      </c>
      <c r="E683" s="81">
        <v>46137</v>
      </c>
      <c r="F683" s="138">
        <v>10</v>
      </c>
      <c r="G683" s="138" t="s">
        <v>686</v>
      </c>
      <c r="H683" s="108">
        <v>35534881</v>
      </c>
    </row>
    <row r="684" spans="1:8" x14ac:dyDescent="0.45">
      <c r="A684" s="40">
        <v>1715703052</v>
      </c>
      <c r="B684" s="40" t="s">
        <v>760</v>
      </c>
      <c r="C684" s="40" t="s">
        <v>761</v>
      </c>
      <c r="D684" s="80" t="s">
        <v>88</v>
      </c>
      <c r="E684" s="81">
        <v>46137</v>
      </c>
      <c r="F684" s="138">
        <v>22</v>
      </c>
      <c r="G684" s="138" t="s">
        <v>686</v>
      </c>
      <c r="H684" s="108">
        <v>38488478</v>
      </c>
    </row>
    <row r="685" spans="1:8" x14ac:dyDescent="0.45">
      <c r="A685" s="58"/>
      <c r="B685" s="58"/>
      <c r="C685" s="58"/>
      <c r="D685" s="152"/>
      <c r="E685" s="153"/>
      <c r="F685" s="154"/>
      <c r="G685" s="154"/>
      <c r="H685" s="160"/>
    </row>
    <row r="686" spans="1:8" x14ac:dyDescent="0.45">
      <c r="A686" s="40">
        <v>1722115738</v>
      </c>
      <c r="B686" s="40" t="s">
        <v>556</v>
      </c>
      <c r="C686" s="40" t="s">
        <v>762</v>
      </c>
      <c r="D686" s="80" t="s">
        <v>88</v>
      </c>
      <c r="E686" s="81">
        <v>46138</v>
      </c>
      <c r="F686" s="138">
        <v>22</v>
      </c>
      <c r="G686" s="138" t="s">
        <v>686</v>
      </c>
      <c r="H686" s="108">
        <v>66393415</v>
      </c>
    </row>
    <row r="687" spans="1:8" x14ac:dyDescent="0.45">
      <c r="A687" s="40">
        <v>1724467210</v>
      </c>
      <c r="B687" s="40" t="s">
        <v>763</v>
      </c>
      <c r="C687" s="40" t="s">
        <v>764</v>
      </c>
      <c r="D687" s="80" t="s">
        <v>746</v>
      </c>
      <c r="E687" s="81">
        <v>46138</v>
      </c>
      <c r="F687" s="138">
        <v>15</v>
      </c>
      <c r="G687" s="138" t="s">
        <v>686</v>
      </c>
      <c r="H687" s="108">
        <v>641382</v>
      </c>
    </row>
    <row r="688" spans="1:8" x14ac:dyDescent="0.45">
      <c r="A688" s="40">
        <v>1712530813</v>
      </c>
      <c r="B688" s="40" t="s">
        <v>765</v>
      </c>
      <c r="C688" s="40" t="s">
        <v>742</v>
      </c>
      <c r="D688" s="80" t="s">
        <v>88</v>
      </c>
      <c r="E688" s="81">
        <v>46138</v>
      </c>
      <c r="F688" s="138">
        <v>21</v>
      </c>
      <c r="G688" s="138" t="s">
        <v>79</v>
      </c>
      <c r="H688" s="108"/>
    </row>
    <row r="689" spans="1:8" x14ac:dyDescent="0.45">
      <c r="A689" s="40">
        <v>1712530813</v>
      </c>
      <c r="B689" s="40" t="s">
        <v>765</v>
      </c>
      <c r="C689" s="40" t="s">
        <v>104</v>
      </c>
      <c r="D689" s="80" t="s">
        <v>88</v>
      </c>
      <c r="E689" s="81">
        <v>46138</v>
      </c>
      <c r="F689" s="138">
        <v>12</v>
      </c>
      <c r="G689" s="138" t="s">
        <v>79</v>
      </c>
      <c r="H689" s="108"/>
    </row>
    <row r="690" spans="1:8" x14ac:dyDescent="0.45">
      <c r="A690" s="40">
        <v>1712530805</v>
      </c>
      <c r="B690" s="40" t="s">
        <v>766</v>
      </c>
      <c r="C690" s="40" t="s">
        <v>95</v>
      </c>
      <c r="D690" s="80" t="s">
        <v>746</v>
      </c>
      <c r="E690" s="81">
        <v>46138</v>
      </c>
      <c r="F690" s="138">
        <v>10</v>
      </c>
      <c r="G690" s="138" t="s">
        <v>79</v>
      </c>
      <c r="H690" s="108"/>
    </row>
    <row r="691" spans="1:8" x14ac:dyDescent="0.45">
      <c r="A691" s="40">
        <v>1712530805</v>
      </c>
      <c r="B691" s="71" t="s">
        <v>766</v>
      </c>
      <c r="C691" s="40" t="s">
        <v>104</v>
      </c>
      <c r="D691" s="80" t="s">
        <v>746</v>
      </c>
      <c r="E691" s="81">
        <v>46138</v>
      </c>
      <c r="F691" s="138">
        <v>12</v>
      </c>
      <c r="G691" s="138" t="s">
        <v>79</v>
      </c>
      <c r="H691" s="108"/>
    </row>
    <row r="692" spans="1:8" x14ac:dyDescent="0.45">
      <c r="A692" s="58"/>
      <c r="B692" s="58"/>
      <c r="C692" s="58"/>
      <c r="D692" s="152"/>
      <c r="E692" s="153"/>
      <c r="F692" s="154"/>
      <c r="G692" s="154"/>
      <c r="H692" s="160"/>
    </row>
    <row r="693" spans="1:8" x14ac:dyDescent="0.45">
      <c r="A693" s="40">
        <v>1708228880</v>
      </c>
      <c r="B693" s="40" t="s">
        <v>767</v>
      </c>
      <c r="C693" s="40" t="s">
        <v>768</v>
      </c>
      <c r="D693" s="80" t="s">
        <v>88</v>
      </c>
      <c r="E693" s="81">
        <v>46139</v>
      </c>
      <c r="F693" s="138">
        <v>32</v>
      </c>
      <c r="G693" s="138" t="s">
        <v>154</v>
      </c>
      <c r="H693" s="108">
        <v>195</v>
      </c>
    </row>
    <row r="694" spans="1:8" x14ac:dyDescent="0.45">
      <c r="A694" s="40">
        <v>930394861</v>
      </c>
      <c r="B694" s="40" t="s">
        <v>697</v>
      </c>
      <c r="C694" s="40" t="s">
        <v>769</v>
      </c>
      <c r="D694" s="80" t="s">
        <v>88</v>
      </c>
      <c r="E694" s="81">
        <v>46139</v>
      </c>
      <c r="F694" s="138">
        <v>20</v>
      </c>
      <c r="G694" s="138" t="s">
        <v>99</v>
      </c>
      <c r="H694" s="108">
        <v>149719054</v>
      </c>
    </row>
    <row r="695" spans="1:8" x14ac:dyDescent="0.45">
      <c r="A695" s="58"/>
      <c r="B695" s="58"/>
      <c r="C695" s="58"/>
      <c r="D695" s="152"/>
      <c r="E695" s="153"/>
      <c r="F695" s="154"/>
      <c r="G695" s="154"/>
      <c r="H695" s="160"/>
    </row>
    <row r="696" spans="1:8" x14ac:dyDescent="0.45">
      <c r="A696" s="40">
        <v>1720537651</v>
      </c>
      <c r="B696" s="40" t="s">
        <v>454</v>
      </c>
      <c r="C696" s="40" t="s">
        <v>463</v>
      </c>
      <c r="D696" s="80" t="s">
        <v>746</v>
      </c>
      <c r="E696" s="81">
        <v>46140</v>
      </c>
      <c r="F696" s="138">
        <v>20</v>
      </c>
      <c r="G696" s="138" t="s">
        <v>99</v>
      </c>
      <c r="H696" s="108">
        <v>61208887</v>
      </c>
    </row>
    <row r="697" spans="1:8" x14ac:dyDescent="0.45">
      <c r="A697" s="58"/>
      <c r="B697" s="58"/>
      <c r="C697" s="58"/>
      <c r="D697" s="152"/>
      <c r="E697" s="153"/>
      <c r="F697" s="154"/>
      <c r="G697" s="154"/>
      <c r="H697" s="160"/>
    </row>
    <row r="698" spans="1:8" x14ac:dyDescent="0.45">
      <c r="A698" s="40">
        <v>1707963227</v>
      </c>
      <c r="B698" s="40" t="s">
        <v>77</v>
      </c>
      <c r="C698" s="40" t="s">
        <v>769</v>
      </c>
      <c r="D698" s="80" t="s">
        <v>88</v>
      </c>
      <c r="E698" s="81">
        <v>46141</v>
      </c>
      <c r="F698" s="138">
        <v>20</v>
      </c>
      <c r="G698" s="138" t="s">
        <v>154</v>
      </c>
      <c r="H698" s="108">
        <v>197</v>
      </c>
    </row>
    <row r="699" spans="1:8" x14ac:dyDescent="0.45">
      <c r="A699" s="40">
        <v>40099587</v>
      </c>
      <c r="B699" s="40" t="s">
        <v>475</v>
      </c>
      <c r="C699" s="40" t="s">
        <v>770</v>
      </c>
      <c r="D699" s="80" t="s">
        <v>746</v>
      </c>
      <c r="E699" s="81">
        <v>46141</v>
      </c>
      <c r="F699" s="138">
        <v>26</v>
      </c>
      <c r="G699" s="138" t="s">
        <v>99</v>
      </c>
      <c r="H699" s="108">
        <v>33075114</v>
      </c>
    </row>
    <row r="700" spans="1:8" x14ac:dyDescent="0.45">
      <c r="A700" s="40"/>
      <c r="B700" s="40" t="s">
        <v>180</v>
      </c>
      <c r="C700" s="40" t="s">
        <v>532</v>
      </c>
      <c r="D700" s="80" t="s">
        <v>746</v>
      </c>
      <c r="E700" s="81">
        <v>46141</v>
      </c>
      <c r="F700" s="138">
        <v>10</v>
      </c>
      <c r="G700" s="138" t="s">
        <v>99</v>
      </c>
      <c r="H700" s="108">
        <v>43290994</v>
      </c>
    </row>
    <row r="701" spans="1:8" x14ac:dyDescent="0.45">
      <c r="A701" s="40">
        <v>1721674098</v>
      </c>
      <c r="B701" s="40" t="s">
        <v>519</v>
      </c>
      <c r="C701" s="40" t="s">
        <v>359</v>
      </c>
      <c r="D701" s="80" t="s">
        <v>771</v>
      </c>
      <c r="E701" s="81">
        <v>46141</v>
      </c>
      <c r="F701" s="138">
        <v>5</v>
      </c>
      <c r="G701" s="138" t="s">
        <v>99</v>
      </c>
      <c r="H701" s="108">
        <v>60652455</v>
      </c>
    </row>
    <row r="702" spans="1:8" x14ac:dyDescent="0.45">
      <c r="A702" s="40">
        <v>1720226214</v>
      </c>
      <c r="B702" s="40" t="s">
        <v>772</v>
      </c>
      <c r="C702" s="40" t="s">
        <v>773</v>
      </c>
      <c r="D702" s="80" t="s">
        <v>88</v>
      </c>
      <c r="E702" s="81">
        <v>46141</v>
      </c>
      <c r="F702" s="138">
        <v>32</v>
      </c>
      <c r="G702" s="138" t="s">
        <v>99</v>
      </c>
      <c r="H702" s="108">
        <v>64644408</v>
      </c>
    </row>
    <row r="703" spans="1:8" x14ac:dyDescent="0.45">
      <c r="A703" s="40">
        <v>1714986860</v>
      </c>
      <c r="B703" s="40" t="s">
        <v>774</v>
      </c>
      <c r="C703" s="40" t="s">
        <v>775</v>
      </c>
      <c r="D703" s="80" t="s">
        <v>746</v>
      </c>
      <c r="E703" s="81">
        <v>46142</v>
      </c>
      <c r="F703" s="138">
        <v>15</v>
      </c>
      <c r="G703" s="138" t="s">
        <v>154</v>
      </c>
      <c r="H703" s="108">
        <v>201</v>
      </c>
    </row>
    <row r="704" spans="1:8" x14ac:dyDescent="0.45">
      <c r="A704" s="40"/>
      <c r="B704" s="40" t="s">
        <v>776</v>
      </c>
      <c r="C704" s="40" t="s">
        <v>359</v>
      </c>
      <c r="D704" s="80" t="s">
        <v>746</v>
      </c>
      <c r="E704" s="81">
        <v>46142</v>
      </c>
      <c r="F704" s="138">
        <v>5</v>
      </c>
      <c r="G704" s="138" t="s">
        <v>154</v>
      </c>
      <c r="H704" s="108">
        <v>202</v>
      </c>
    </row>
    <row r="705" spans="1:8" x14ac:dyDescent="0.45">
      <c r="A705" s="40"/>
      <c r="B705" s="40" t="s">
        <v>777</v>
      </c>
      <c r="C705" s="40" t="s">
        <v>359</v>
      </c>
      <c r="D705" s="80" t="s">
        <v>88</v>
      </c>
      <c r="E705" s="81">
        <v>46142</v>
      </c>
      <c r="F705" s="138">
        <v>5</v>
      </c>
      <c r="G705" s="138" t="s">
        <v>154</v>
      </c>
      <c r="H705" s="108">
        <v>202</v>
      </c>
    </row>
    <row r="706" spans="1:8" x14ac:dyDescent="0.45">
      <c r="A706" s="40">
        <v>1718740796</v>
      </c>
      <c r="B706" s="40" t="s">
        <v>778</v>
      </c>
      <c r="C706" s="40" t="s">
        <v>87</v>
      </c>
      <c r="D706" s="80" t="s">
        <v>746</v>
      </c>
      <c r="E706" s="81">
        <v>46142</v>
      </c>
      <c r="F706" s="138">
        <v>15</v>
      </c>
      <c r="G706" s="138" t="s">
        <v>99</v>
      </c>
      <c r="H706" s="108">
        <v>47676945</v>
      </c>
    </row>
    <row r="707" spans="1:8" x14ac:dyDescent="0.45">
      <c r="A707" s="40">
        <v>1721182903</v>
      </c>
      <c r="B707" s="40" t="s">
        <v>256</v>
      </c>
      <c r="C707" s="40" t="s">
        <v>34</v>
      </c>
      <c r="D707" s="80" t="s">
        <v>746</v>
      </c>
      <c r="E707" s="81">
        <v>46144</v>
      </c>
      <c r="F707" s="138">
        <v>12</v>
      </c>
      <c r="G707" s="138" t="s">
        <v>133</v>
      </c>
      <c r="H707" s="107"/>
    </row>
    <row r="708" spans="1:8" x14ac:dyDescent="0.45">
      <c r="A708" s="40">
        <v>1721182903</v>
      </c>
      <c r="B708" s="40" t="s">
        <v>256</v>
      </c>
      <c r="C708" s="40" t="s">
        <v>270</v>
      </c>
      <c r="D708" s="80" t="s">
        <v>88</v>
      </c>
      <c r="E708" s="81">
        <v>46144</v>
      </c>
      <c r="F708" s="138">
        <v>10</v>
      </c>
      <c r="G708" s="138" t="s">
        <v>133</v>
      </c>
      <c r="H708" s="107"/>
    </row>
    <row r="709" spans="1:8" x14ac:dyDescent="0.45">
      <c r="A709" s="40">
        <v>1721182903</v>
      </c>
      <c r="B709" s="40" t="s">
        <v>256</v>
      </c>
      <c r="C709" s="40" t="s">
        <v>779</v>
      </c>
      <c r="D709" s="80" t="s">
        <v>746</v>
      </c>
      <c r="E709" s="81">
        <v>46144</v>
      </c>
      <c r="F709" s="138">
        <v>10</v>
      </c>
      <c r="G709" s="138" t="s">
        <v>133</v>
      </c>
      <c r="H709" s="108"/>
    </row>
    <row r="710" spans="1:8" x14ac:dyDescent="0.45">
      <c r="A710" s="40">
        <v>1708000698</v>
      </c>
      <c r="B710" s="40" t="s">
        <v>780</v>
      </c>
      <c r="C710" s="40" t="s">
        <v>160</v>
      </c>
      <c r="D710" s="80" t="s">
        <v>746</v>
      </c>
      <c r="E710" s="81">
        <v>46144</v>
      </c>
      <c r="F710" s="138">
        <v>15</v>
      </c>
      <c r="G710" s="138" t="s">
        <v>89</v>
      </c>
      <c r="H710" s="108">
        <v>146555541</v>
      </c>
    </row>
    <row r="711" spans="1:8" x14ac:dyDescent="0.45">
      <c r="A711" s="40">
        <v>1717869984</v>
      </c>
      <c r="B711" s="40" t="s">
        <v>781</v>
      </c>
      <c r="C711" s="40" t="s">
        <v>782</v>
      </c>
      <c r="D711" s="80" t="s">
        <v>88</v>
      </c>
      <c r="E711" s="81">
        <v>46144</v>
      </c>
      <c r="F711" s="138">
        <v>23</v>
      </c>
      <c r="G711" s="138" t="s">
        <v>89</v>
      </c>
      <c r="H711" s="108">
        <v>146932112</v>
      </c>
    </row>
    <row r="712" spans="1:8" x14ac:dyDescent="0.45">
      <c r="A712" s="40">
        <v>1716954423</v>
      </c>
      <c r="B712" s="40" t="s">
        <v>710</v>
      </c>
      <c r="C712" s="40" t="s">
        <v>160</v>
      </c>
      <c r="D712" s="80" t="s">
        <v>746</v>
      </c>
      <c r="E712" s="81">
        <v>46144</v>
      </c>
      <c r="F712" s="138">
        <v>15</v>
      </c>
      <c r="G712" s="138" t="s">
        <v>89</v>
      </c>
      <c r="H712" s="107">
        <v>1465501100</v>
      </c>
    </row>
    <row r="713" spans="1:8" x14ac:dyDescent="0.45">
      <c r="A713" s="40">
        <v>1720222817</v>
      </c>
      <c r="B713" s="40" t="s">
        <v>621</v>
      </c>
      <c r="C713" s="40" t="s">
        <v>742</v>
      </c>
      <c r="D713" s="80" t="s">
        <v>88</v>
      </c>
      <c r="E713" s="81">
        <v>46145</v>
      </c>
      <c r="F713" s="138">
        <v>21</v>
      </c>
      <c r="G713" s="138" t="s">
        <v>89</v>
      </c>
      <c r="H713" s="108">
        <v>194432604</v>
      </c>
    </row>
    <row r="714" spans="1:8" x14ac:dyDescent="0.45">
      <c r="A714" s="40">
        <v>1714400965</v>
      </c>
      <c r="B714" s="40" t="s">
        <v>783</v>
      </c>
      <c r="C714" s="40" t="s">
        <v>784</v>
      </c>
      <c r="D714" s="80" t="s">
        <v>746</v>
      </c>
      <c r="E714" s="81">
        <v>46145</v>
      </c>
      <c r="F714" s="138">
        <v>27</v>
      </c>
      <c r="G714" s="138" t="s">
        <v>89</v>
      </c>
      <c r="H714" s="108">
        <v>195970280</v>
      </c>
    </row>
    <row r="715" spans="1:8" x14ac:dyDescent="0.45">
      <c r="A715" s="40">
        <v>1721480851</v>
      </c>
      <c r="B715" s="40" t="s">
        <v>785</v>
      </c>
      <c r="C715" s="40" t="s">
        <v>34</v>
      </c>
      <c r="D715" s="80" t="s">
        <v>88</v>
      </c>
      <c r="E715" s="81">
        <v>46145</v>
      </c>
      <c r="F715" s="138">
        <v>12</v>
      </c>
      <c r="G715" s="138" t="s">
        <v>89</v>
      </c>
      <c r="H715" s="108">
        <v>199439223</v>
      </c>
    </row>
    <row r="716" spans="1:8" x14ac:dyDescent="0.45">
      <c r="A716" s="40">
        <v>1712514031</v>
      </c>
      <c r="B716" s="40" t="s">
        <v>786</v>
      </c>
      <c r="C716" s="40" t="s">
        <v>270</v>
      </c>
      <c r="D716" s="80" t="s">
        <v>746</v>
      </c>
      <c r="E716" s="81">
        <v>46145</v>
      </c>
      <c r="F716" s="138">
        <v>10</v>
      </c>
      <c r="G716" s="138" t="s">
        <v>89</v>
      </c>
      <c r="H716" s="107">
        <v>200231010</v>
      </c>
    </row>
    <row r="717" spans="1:8" x14ac:dyDescent="0.45">
      <c r="A717" s="40"/>
      <c r="B717" s="40" t="s">
        <v>499</v>
      </c>
      <c r="C717" s="40" t="s">
        <v>787</v>
      </c>
      <c r="D717" s="80" t="s">
        <v>88</v>
      </c>
      <c r="E717" s="81">
        <v>46146</v>
      </c>
      <c r="F717" s="138">
        <v>7.5</v>
      </c>
      <c r="G717" s="138" t="s">
        <v>99</v>
      </c>
      <c r="H717" s="108">
        <v>65432527</v>
      </c>
    </row>
    <row r="718" spans="1:8" x14ac:dyDescent="0.45">
      <c r="A718" s="40"/>
      <c r="B718" s="40" t="s">
        <v>499</v>
      </c>
      <c r="C718" s="40" t="s">
        <v>787</v>
      </c>
      <c r="D718" s="80" t="s">
        <v>746</v>
      </c>
      <c r="E718" s="81">
        <v>46146</v>
      </c>
      <c r="F718" s="138">
        <v>7.5</v>
      </c>
      <c r="G718" s="138" t="s">
        <v>99</v>
      </c>
      <c r="H718" s="108">
        <v>65432527</v>
      </c>
    </row>
    <row r="719" spans="1:8" x14ac:dyDescent="0.45">
      <c r="A719" s="40">
        <v>1751746262</v>
      </c>
      <c r="B719" s="40" t="s">
        <v>788</v>
      </c>
      <c r="C719" s="40" t="s">
        <v>789</v>
      </c>
      <c r="D719" s="80" t="s">
        <v>88</v>
      </c>
      <c r="E719" s="81">
        <v>46147</v>
      </c>
      <c r="F719" s="138">
        <v>10</v>
      </c>
      <c r="G719" s="138" t="s">
        <v>154</v>
      </c>
      <c r="H719" s="108">
        <v>208</v>
      </c>
    </row>
    <row r="720" spans="1:8" x14ac:dyDescent="0.45">
      <c r="A720" s="40">
        <v>716636871</v>
      </c>
      <c r="B720" s="40" t="s">
        <v>790</v>
      </c>
      <c r="C720" s="40" t="s">
        <v>791</v>
      </c>
      <c r="D720" s="80" t="s">
        <v>746</v>
      </c>
      <c r="E720" s="81">
        <v>46147</v>
      </c>
      <c r="F720" s="138">
        <v>10</v>
      </c>
      <c r="G720" s="138" t="s">
        <v>99</v>
      </c>
      <c r="H720" s="108">
        <v>62787048</v>
      </c>
    </row>
    <row r="721" spans="1:8" x14ac:dyDescent="0.45">
      <c r="A721" s="40">
        <v>703191148</v>
      </c>
      <c r="B721" s="40" t="s">
        <v>792</v>
      </c>
      <c r="C721" s="40" t="s">
        <v>793</v>
      </c>
      <c r="D721" s="80" t="s">
        <v>794</v>
      </c>
      <c r="E721" s="81">
        <v>46148</v>
      </c>
      <c r="F721" s="138">
        <v>27</v>
      </c>
      <c r="G721" s="138" t="s">
        <v>154</v>
      </c>
      <c r="H721" s="107">
        <v>209</v>
      </c>
    </row>
    <row r="722" spans="1:8" x14ac:dyDescent="0.45">
      <c r="A722" s="40">
        <v>706708302</v>
      </c>
      <c r="B722" s="40" t="s">
        <v>795</v>
      </c>
      <c r="C722" s="40" t="s">
        <v>796</v>
      </c>
      <c r="D722" s="80" t="s">
        <v>746</v>
      </c>
      <c r="E722" s="81">
        <v>46148</v>
      </c>
      <c r="F722" s="138">
        <v>67</v>
      </c>
      <c r="G722" s="138" t="s">
        <v>154</v>
      </c>
      <c r="H722" s="107">
        <v>209</v>
      </c>
    </row>
    <row r="723" spans="1:8" x14ac:dyDescent="0.45">
      <c r="A723" s="40"/>
      <c r="B723" s="40" t="s">
        <v>797</v>
      </c>
      <c r="C723" s="40" t="s">
        <v>798</v>
      </c>
      <c r="D723" s="80" t="s">
        <v>272</v>
      </c>
      <c r="E723" s="81">
        <v>46148</v>
      </c>
      <c r="F723" s="138">
        <v>6</v>
      </c>
      <c r="G723" s="138" t="s">
        <v>99</v>
      </c>
      <c r="H723" s="108">
        <v>60896372</v>
      </c>
    </row>
    <row r="724" spans="1:8" x14ac:dyDescent="0.45">
      <c r="A724" s="40">
        <v>1705374740</v>
      </c>
      <c r="B724" s="40" t="s">
        <v>799</v>
      </c>
      <c r="C724" s="40" t="s">
        <v>87</v>
      </c>
      <c r="D724" s="80" t="s">
        <v>88</v>
      </c>
      <c r="E724" s="81">
        <v>46148</v>
      </c>
      <c r="F724" s="138">
        <v>15</v>
      </c>
      <c r="G724" s="138" t="s">
        <v>154</v>
      </c>
      <c r="H724" s="108">
        <v>212</v>
      </c>
    </row>
    <row r="725" spans="1:8" x14ac:dyDescent="0.45">
      <c r="A725" s="40"/>
      <c r="B725" s="40" t="s">
        <v>800</v>
      </c>
      <c r="C725" s="40" t="s">
        <v>801</v>
      </c>
      <c r="D725" s="80" t="s">
        <v>746</v>
      </c>
      <c r="E725" s="81">
        <v>46148</v>
      </c>
      <c r="F725" s="138">
        <v>20</v>
      </c>
      <c r="G725" s="138" t="s">
        <v>154</v>
      </c>
      <c r="H725" s="107">
        <v>212</v>
      </c>
    </row>
    <row r="726" spans="1:8" x14ac:dyDescent="0.45">
      <c r="A726" s="40">
        <v>1720116506</v>
      </c>
      <c r="B726" s="40" t="s">
        <v>802</v>
      </c>
      <c r="C726" s="40" t="s">
        <v>803</v>
      </c>
      <c r="D726" s="80" t="s">
        <v>746</v>
      </c>
      <c r="E726" s="81">
        <v>46149</v>
      </c>
      <c r="F726" s="138">
        <v>40</v>
      </c>
      <c r="G726" s="138" t="s">
        <v>154</v>
      </c>
      <c r="H726" s="108">
        <v>214</v>
      </c>
    </row>
    <row r="727" spans="1:8" x14ac:dyDescent="0.45">
      <c r="A727" s="40">
        <v>401388814</v>
      </c>
      <c r="B727" s="40" t="s">
        <v>734</v>
      </c>
      <c r="C727" s="40" t="s">
        <v>804</v>
      </c>
      <c r="D727" s="80" t="s">
        <v>88</v>
      </c>
      <c r="E727" s="81">
        <v>46149</v>
      </c>
      <c r="F727" s="138">
        <v>22</v>
      </c>
      <c r="G727" s="138" t="s">
        <v>99</v>
      </c>
      <c r="H727" s="108">
        <v>5123185</v>
      </c>
    </row>
    <row r="728" spans="1:8" x14ac:dyDescent="0.45">
      <c r="A728" s="40">
        <v>1721675153</v>
      </c>
      <c r="B728" s="40" t="s">
        <v>426</v>
      </c>
      <c r="C728" s="40" t="s">
        <v>805</v>
      </c>
      <c r="D728" s="80" t="s">
        <v>88</v>
      </c>
      <c r="E728" s="81">
        <v>46149</v>
      </c>
      <c r="F728" s="138">
        <v>5</v>
      </c>
      <c r="G728" s="138" t="s">
        <v>99</v>
      </c>
      <c r="H728" s="107">
        <v>56126199</v>
      </c>
    </row>
    <row r="729" spans="1:8" x14ac:dyDescent="0.45">
      <c r="A729" s="40"/>
      <c r="B729" s="40" t="s">
        <v>71</v>
      </c>
      <c r="C729" s="40" t="s">
        <v>806</v>
      </c>
      <c r="D729" s="80" t="s">
        <v>88</v>
      </c>
      <c r="E729" s="81">
        <v>46149</v>
      </c>
      <c r="F729" s="138">
        <v>22</v>
      </c>
      <c r="G729" s="138" t="s">
        <v>807</v>
      </c>
      <c r="H729" s="107"/>
    </row>
    <row r="730" spans="1:8" x14ac:dyDescent="0.45">
      <c r="A730" s="40">
        <v>1719430991</v>
      </c>
      <c r="B730" s="40" t="s">
        <v>731</v>
      </c>
      <c r="C730" s="40" t="s">
        <v>87</v>
      </c>
      <c r="D730" s="80" t="s">
        <v>88</v>
      </c>
      <c r="E730" s="81">
        <v>46150</v>
      </c>
      <c r="F730" s="138">
        <v>15</v>
      </c>
      <c r="G730" s="138" t="s">
        <v>99</v>
      </c>
      <c r="H730" s="107">
        <v>36236890</v>
      </c>
    </row>
    <row r="731" spans="1:8" x14ac:dyDescent="0.45">
      <c r="A731" s="40"/>
      <c r="B731" s="40" t="s">
        <v>808</v>
      </c>
      <c r="C731" s="40" t="s">
        <v>327</v>
      </c>
      <c r="D731" s="80" t="s">
        <v>746</v>
      </c>
      <c r="E731" s="81">
        <v>46150</v>
      </c>
      <c r="F731" s="138">
        <v>23</v>
      </c>
      <c r="G731" s="138" t="s">
        <v>79</v>
      </c>
      <c r="H731" s="108"/>
    </row>
    <row r="732" spans="1:8" x14ac:dyDescent="0.45">
      <c r="A732" s="40">
        <v>1724928609</v>
      </c>
      <c r="B732" s="40" t="s">
        <v>809</v>
      </c>
      <c r="C732" s="40" t="s">
        <v>810</v>
      </c>
      <c r="D732" s="80" t="s">
        <v>88</v>
      </c>
      <c r="E732" s="81">
        <v>46150</v>
      </c>
      <c r="F732" s="138">
        <v>26</v>
      </c>
      <c r="G732" s="138" t="s">
        <v>811</v>
      </c>
      <c r="H732" s="108"/>
    </row>
    <row r="733" spans="1:8" x14ac:dyDescent="0.45">
      <c r="A733" s="40"/>
      <c r="B733" s="40" t="s">
        <v>812</v>
      </c>
      <c r="C733" s="40" t="s">
        <v>813</v>
      </c>
      <c r="D733" s="80" t="s">
        <v>746</v>
      </c>
      <c r="E733" s="81">
        <v>46150</v>
      </c>
      <c r="F733" s="138">
        <v>25</v>
      </c>
      <c r="G733" s="138" t="s">
        <v>96</v>
      </c>
      <c r="H733" s="107">
        <v>33673433</v>
      </c>
    </row>
    <row r="734" spans="1:8" x14ac:dyDescent="0.45">
      <c r="A734" s="40">
        <v>1724928609</v>
      </c>
      <c r="B734" s="40" t="s">
        <v>814</v>
      </c>
      <c r="C734" s="40" t="s">
        <v>104</v>
      </c>
      <c r="D734" s="80" t="s">
        <v>746</v>
      </c>
      <c r="E734" s="81">
        <v>46150</v>
      </c>
      <c r="F734" s="138">
        <v>12</v>
      </c>
      <c r="G734" s="138" t="s">
        <v>811</v>
      </c>
      <c r="H734" s="107"/>
    </row>
    <row r="735" spans="1:8" x14ac:dyDescent="0.45">
      <c r="A735" s="40">
        <v>1718740796</v>
      </c>
      <c r="B735" s="40" t="s">
        <v>815</v>
      </c>
      <c r="C735" s="40" t="s">
        <v>160</v>
      </c>
      <c r="D735" s="80" t="s">
        <v>88</v>
      </c>
      <c r="E735" s="81">
        <v>46151</v>
      </c>
      <c r="F735" s="138">
        <v>15</v>
      </c>
      <c r="G735" s="138" t="s">
        <v>89</v>
      </c>
      <c r="H735" s="108">
        <v>18533831</v>
      </c>
    </row>
    <row r="736" spans="1:8" x14ac:dyDescent="0.45">
      <c r="A736" s="40">
        <v>1701432229</v>
      </c>
      <c r="B736" s="40" t="s">
        <v>503</v>
      </c>
      <c r="C736" s="40" t="s">
        <v>160</v>
      </c>
      <c r="D736" s="80" t="s">
        <v>88</v>
      </c>
      <c r="E736" s="81">
        <v>46151</v>
      </c>
      <c r="F736" s="138">
        <v>15</v>
      </c>
      <c r="G736" s="138" t="s">
        <v>89</v>
      </c>
      <c r="H736" s="107">
        <v>21044568</v>
      </c>
    </row>
    <row r="737" spans="1:8" x14ac:dyDescent="0.45">
      <c r="A737" s="40">
        <v>1717630113</v>
      </c>
      <c r="B737" s="40" t="s">
        <v>816</v>
      </c>
      <c r="C737" s="40" t="s">
        <v>219</v>
      </c>
      <c r="D737" s="80" t="s">
        <v>746</v>
      </c>
      <c r="E737" s="81">
        <v>46151</v>
      </c>
      <c r="F737" s="138">
        <v>30</v>
      </c>
      <c r="G737" s="138" t="s">
        <v>89</v>
      </c>
      <c r="H737" s="108">
        <v>2215563914</v>
      </c>
    </row>
    <row r="738" spans="1:8" x14ac:dyDescent="0.45">
      <c r="A738" s="40">
        <v>1712145372</v>
      </c>
      <c r="B738" s="40" t="s">
        <v>817</v>
      </c>
      <c r="C738" s="40" t="s">
        <v>818</v>
      </c>
      <c r="D738" s="80" t="s">
        <v>88</v>
      </c>
      <c r="E738" s="81">
        <v>46151</v>
      </c>
      <c r="F738" s="138">
        <f>15+10</f>
        <v>25</v>
      </c>
      <c r="G738" s="138" t="s">
        <v>819</v>
      </c>
      <c r="H738" s="108"/>
    </row>
    <row r="739" spans="1:8" x14ac:dyDescent="0.45">
      <c r="A739" s="40">
        <v>1712145372</v>
      </c>
      <c r="B739" s="40" t="s">
        <v>817</v>
      </c>
      <c r="C739" s="40" t="s">
        <v>820</v>
      </c>
      <c r="D739" s="80" t="s">
        <v>746</v>
      </c>
      <c r="E739" s="81">
        <v>46151</v>
      </c>
      <c r="F739" s="138">
        <f>(15*0.7)+10</f>
        <v>20.5</v>
      </c>
      <c r="G739" s="138" t="s">
        <v>819</v>
      </c>
      <c r="H739" s="107"/>
    </row>
    <row r="740" spans="1:8" x14ac:dyDescent="0.45">
      <c r="A740" s="40">
        <v>1718590746</v>
      </c>
      <c r="B740" s="40" t="s">
        <v>499</v>
      </c>
      <c r="C740" s="40" t="s">
        <v>821</v>
      </c>
      <c r="D740" s="80" t="s">
        <v>88</v>
      </c>
      <c r="E740" s="81">
        <v>46151</v>
      </c>
      <c r="F740" s="138">
        <v>3</v>
      </c>
      <c r="G740" s="138" t="s">
        <v>89</v>
      </c>
      <c r="H740" s="107"/>
    </row>
    <row r="741" spans="1:8" x14ac:dyDescent="0.45">
      <c r="A741" s="40">
        <v>1717349970</v>
      </c>
      <c r="B741" s="40" t="s">
        <v>822</v>
      </c>
      <c r="C741" s="40" t="s">
        <v>823</v>
      </c>
      <c r="D741" s="80" t="s">
        <v>746</v>
      </c>
      <c r="E741" s="81">
        <v>46152</v>
      </c>
      <c r="F741" s="138">
        <f>25+20</f>
        <v>45</v>
      </c>
      <c r="G741" s="138" t="s">
        <v>96</v>
      </c>
      <c r="H741" s="108"/>
    </row>
    <row r="742" spans="1:8" x14ac:dyDescent="0.45">
      <c r="A742" s="40">
        <v>1713424479</v>
      </c>
      <c r="B742" s="40" t="s">
        <v>824</v>
      </c>
      <c r="C742" s="40" t="s">
        <v>825</v>
      </c>
      <c r="D742" s="80" t="s">
        <v>746</v>
      </c>
      <c r="E742" s="81">
        <v>46152</v>
      </c>
      <c r="F742" s="138">
        <v>10</v>
      </c>
      <c r="G742" s="138" t="s">
        <v>133</v>
      </c>
      <c r="H742" s="108"/>
    </row>
    <row r="743" spans="1:8" x14ac:dyDescent="0.45">
      <c r="A743" s="40">
        <v>1722109178</v>
      </c>
      <c r="B743" s="40" t="s">
        <v>826</v>
      </c>
      <c r="C743" s="40" t="s">
        <v>827</v>
      </c>
      <c r="D743" s="80" t="s">
        <v>746</v>
      </c>
      <c r="E743" s="81">
        <v>46152</v>
      </c>
      <c r="F743" s="138">
        <f>25+25</f>
        <v>50</v>
      </c>
      <c r="G743" s="138"/>
      <c r="H743" s="107"/>
    </row>
    <row r="744" spans="1:8" x14ac:dyDescent="0.45">
      <c r="A744" s="40"/>
      <c r="B744" s="40" t="s">
        <v>265</v>
      </c>
      <c r="C744" s="40" t="s">
        <v>160</v>
      </c>
      <c r="D744" s="80" t="s">
        <v>746</v>
      </c>
      <c r="E744" s="81">
        <v>46152</v>
      </c>
      <c r="F744" s="138">
        <v>15</v>
      </c>
      <c r="G744" s="138" t="s">
        <v>89</v>
      </c>
      <c r="H744" s="108"/>
    </row>
    <row r="745" spans="1:8" x14ac:dyDescent="0.45">
      <c r="A745" s="40">
        <v>1725622516</v>
      </c>
      <c r="B745" s="40" t="s">
        <v>828</v>
      </c>
      <c r="C745" s="40" t="s">
        <v>829</v>
      </c>
      <c r="D745" s="80" t="s">
        <v>746</v>
      </c>
      <c r="E745" s="81">
        <v>46152</v>
      </c>
      <c r="F745" s="138">
        <f>15+6</f>
        <v>21</v>
      </c>
      <c r="G745" s="138" t="s">
        <v>89</v>
      </c>
      <c r="H745" s="108">
        <v>95736654</v>
      </c>
    </row>
    <row r="746" spans="1:8" x14ac:dyDescent="0.45">
      <c r="A746" s="40"/>
      <c r="B746" s="40" t="s">
        <v>428</v>
      </c>
      <c r="C746" s="40" t="s">
        <v>484</v>
      </c>
      <c r="D746" s="80" t="s">
        <v>88</v>
      </c>
      <c r="E746" s="81">
        <v>46153</v>
      </c>
      <c r="F746" s="138">
        <v>15</v>
      </c>
      <c r="G746" s="138" t="s">
        <v>99</v>
      </c>
      <c r="H746" s="107">
        <v>157393771</v>
      </c>
    </row>
    <row r="747" spans="1:8" x14ac:dyDescent="0.45">
      <c r="A747" s="40">
        <v>1600371480</v>
      </c>
      <c r="B747" s="40" t="s">
        <v>830</v>
      </c>
      <c r="C747" s="40" t="s">
        <v>484</v>
      </c>
      <c r="D747" s="80" t="s">
        <v>88</v>
      </c>
      <c r="E747" s="81">
        <v>46153</v>
      </c>
      <c r="F747" s="138">
        <v>15</v>
      </c>
      <c r="G747" s="138" t="s">
        <v>99</v>
      </c>
      <c r="H747" s="107">
        <v>3253285300</v>
      </c>
    </row>
    <row r="748" spans="1:8" x14ac:dyDescent="0.45">
      <c r="A748" s="40">
        <v>1720201472</v>
      </c>
      <c r="B748" s="40" t="s">
        <v>831</v>
      </c>
      <c r="C748" s="40" t="s">
        <v>484</v>
      </c>
      <c r="D748" s="80" t="s">
        <v>88</v>
      </c>
      <c r="E748" s="81">
        <v>46153</v>
      </c>
      <c r="F748" s="138">
        <v>15</v>
      </c>
      <c r="G748" s="138" t="s">
        <v>99</v>
      </c>
      <c r="H748" s="107">
        <v>164400419</v>
      </c>
    </row>
    <row r="749" spans="1:8" x14ac:dyDescent="0.45">
      <c r="A749" s="40"/>
      <c r="B749" s="40"/>
      <c r="C749" s="40"/>
      <c r="D749" s="80"/>
      <c r="E749" s="81">
        <v>46153</v>
      </c>
      <c r="F749" s="138"/>
      <c r="G749" s="138"/>
      <c r="H749" s="107"/>
    </row>
    <row r="750" spans="1:8" x14ac:dyDescent="0.45">
      <c r="A750" s="40"/>
      <c r="B750" s="40"/>
      <c r="C750" s="40"/>
      <c r="D750" s="80"/>
      <c r="E750" s="81">
        <v>46153</v>
      </c>
      <c r="F750" s="138"/>
      <c r="G750" s="138"/>
      <c r="H750" s="107"/>
    </row>
    <row r="751" spans="1:8" x14ac:dyDescent="0.45">
      <c r="A751" s="40">
        <v>1719279398</v>
      </c>
      <c r="B751" s="40" t="s">
        <v>703</v>
      </c>
      <c r="C751" s="40" t="s">
        <v>832</v>
      </c>
      <c r="D751" s="80" t="s">
        <v>746</v>
      </c>
      <c r="E751" s="81">
        <v>46155</v>
      </c>
      <c r="F751" s="91">
        <v>25</v>
      </c>
      <c r="G751" s="91" t="s">
        <v>154</v>
      </c>
      <c r="H751" s="108">
        <v>223</v>
      </c>
    </row>
    <row r="752" spans="1:8" x14ac:dyDescent="0.45">
      <c r="A752" s="40">
        <v>1718896580</v>
      </c>
      <c r="B752" s="40" t="s">
        <v>833</v>
      </c>
      <c r="C752" s="40" t="s">
        <v>834</v>
      </c>
      <c r="D752" s="80" t="s">
        <v>88</v>
      </c>
      <c r="E752" s="81">
        <v>46155</v>
      </c>
      <c r="F752" s="91">
        <v>10</v>
      </c>
      <c r="G752" s="91" t="s">
        <v>154</v>
      </c>
      <c r="H752" s="108">
        <v>224</v>
      </c>
    </row>
    <row r="753" spans="1:8" x14ac:dyDescent="0.45">
      <c r="A753" s="40">
        <v>1707963227</v>
      </c>
      <c r="B753" s="40" t="s">
        <v>77</v>
      </c>
      <c r="C753" s="40" t="s">
        <v>104</v>
      </c>
      <c r="D753" s="80" t="s">
        <v>746</v>
      </c>
      <c r="E753" s="81">
        <v>46156</v>
      </c>
      <c r="F753" s="91">
        <v>12</v>
      </c>
      <c r="G753" s="91" t="s">
        <v>154</v>
      </c>
      <c r="H753" s="108">
        <v>226</v>
      </c>
    </row>
    <row r="754" spans="1:8" x14ac:dyDescent="0.45">
      <c r="A754" s="40">
        <v>171943099</v>
      </c>
      <c r="B754" s="40" t="s">
        <v>731</v>
      </c>
      <c r="C754" s="40" t="s">
        <v>835</v>
      </c>
      <c r="D754" s="80" t="s">
        <v>746</v>
      </c>
      <c r="E754" s="81">
        <v>46157</v>
      </c>
      <c r="F754" s="91">
        <v>19</v>
      </c>
      <c r="G754" s="91" t="s">
        <v>99</v>
      </c>
      <c r="H754" s="108">
        <v>71035926</v>
      </c>
    </row>
    <row r="755" spans="1:8" x14ac:dyDescent="0.45">
      <c r="A755" s="40"/>
      <c r="B755" s="40" t="s">
        <v>836</v>
      </c>
      <c r="C755" s="40"/>
      <c r="D755" s="80" t="s">
        <v>837</v>
      </c>
      <c r="E755" s="81">
        <v>46157</v>
      </c>
      <c r="F755" s="91"/>
      <c r="G755" s="91"/>
      <c r="H755" s="108"/>
    </row>
    <row r="756" spans="1:8" x14ac:dyDescent="0.45">
      <c r="A756" s="40">
        <v>1721402657</v>
      </c>
      <c r="B756" s="40" t="s">
        <v>838</v>
      </c>
      <c r="C756" s="40" t="s">
        <v>839</v>
      </c>
      <c r="D756" s="80" t="s">
        <v>746</v>
      </c>
      <c r="E756" s="81">
        <v>46157</v>
      </c>
      <c r="F756" s="91">
        <v>4</v>
      </c>
      <c r="G756" s="91" t="s">
        <v>99</v>
      </c>
      <c r="H756" s="108">
        <v>55360245</v>
      </c>
    </row>
    <row r="757" spans="1:8" x14ac:dyDescent="0.45">
      <c r="A757" s="40">
        <v>1717349970</v>
      </c>
      <c r="B757" s="40" t="s">
        <v>822</v>
      </c>
      <c r="C757" s="40" t="s">
        <v>840</v>
      </c>
      <c r="D757" s="80"/>
      <c r="E757" s="81">
        <v>46152</v>
      </c>
      <c r="F757" s="91">
        <v>7</v>
      </c>
      <c r="G757" s="91" t="s">
        <v>89</v>
      </c>
      <c r="H757" s="108"/>
    </row>
    <row r="758" spans="1:8" x14ac:dyDescent="0.45">
      <c r="A758" s="40">
        <v>1717630113</v>
      </c>
      <c r="B758" s="40" t="s">
        <v>816</v>
      </c>
      <c r="C758" s="40" t="s">
        <v>463</v>
      </c>
      <c r="D758" s="80" t="s">
        <v>88</v>
      </c>
      <c r="E758" s="81">
        <v>46157</v>
      </c>
      <c r="F758" s="91">
        <v>22</v>
      </c>
      <c r="G758" s="91" t="s">
        <v>99</v>
      </c>
      <c r="H758" s="108">
        <v>55360245</v>
      </c>
    </row>
    <row r="759" spans="1:8" x14ac:dyDescent="0.45">
      <c r="A759" s="40"/>
      <c r="B759" s="40" t="s">
        <v>71</v>
      </c>
      <c r="C759" s="40" t="s">
        <v>841</v>
      </c>
      <c r="D759" s="80" t="s">
        <v>746</v>
      </c>
      <c r="E759" s="81">
        <v>46158</v>
      </c>
      <c r="F759" s="91">
        <f>20+4+15</f>
        <v>39</v>
      </c>
      <c r="G759" s="91"/>
      <c r="H759" s="107"/>
    </row>
    <row r="760" spans="1:8" x14ac:dyDescent="0.45">
      <c r="A760" s="40">
        <v>1718848987</v>
      </c>
      <c r="B760" s="40" t="s">
        <v>842</v>
      </c>
      <c r="C760" s="40" t="s">
        <v>87</v>
      </c>
      <c r="D760" s="80" t="s">
        <v>746</v>
      </c>
      <c r="E760" s="81">
        <v>46158</v>
      </c>
      <c r="F760" s="91">
        <v>15</v>
      </c>
      <c r="G760" s="91"/>
      <c r="H760" s="107"/>
    </row>
    <row r="761" spans="1:8" x14ac:dyDescent="0.45">
      <c r="A761" s="40"/>
      <c r="B761" s="40" t="s">
        <v>843</v>
      </c>
      <c r="C761" s="40" t="s">
        <v>87</v>
      </c>
      <c r="D761" s="80" t="s">
        <v>746</v>
      </c>
      <c r="E761" s="81">
        <v>46158</v>
      </c>
      <c r="F761" s="91">
        <v>15</v>
      </c>
      <c r="G761" s="91"/>
      <c r="H761" s="107"/>
    </row>
    <row r="762" spans="1:8" x14ac:dyDescent="0.45">
      <c r="A762" s="40"/>
      <c r="B762" s="40" t="s">
        <v>844</v>
      </c>
      <c r="C762" s="40" t="s">
        <v>497</v>
      </c>
      <c r="D762" s="80" t="s">
        <v>746</v>
      </c>
      <c r="E762" s="81">
        <v>46158</v>
      </c>
      <c r="F762" s="91">
        <f>10+12</f>
        <v>22</v>
      </c>
      <c r="G762" s="91"/>
      <c r="H762" s="108"/>
    </row>
    <row r="763" spans="1:8" x14ac:dyDescent="0.45">
      <c r="A763" s="40"/>
      <c r="B763" s="40" t="s">
        <v>845</v>
      </c>
      <c r="C763" s="40" t="s">
        <v>270</v>
      </c>
      <c r="D763" s="80" t="s">
        <v>746</v>
      </c>
      <c r="E763" s="81">
        <v>46158</v>
      </c>
      <c r="F763" s="91">
        <v>10</v>
      </c>
      <c r="G763" s="91"/>
      <c r="H763" s="108"/>
    </row>
    <row r="764" spans="1:8" x14ac:dyDescent="0.45">
      <c r="A764" s="40"/>
      <c r="B764" s="40" t="s">
        <v>846</v>
      </c>
      <c r="C764" s="40" t="s">
        <v>847</v>
      </c>
      <c r="D764" s="80"/>
      <c r="E764" s="81">
        <v>46158</v>
      </c>
      <c r="F764" s="91">
        <f>15+20</f>
        <v>35</v>
      </c>
      <c r="G764" s="91"/>
      <c r="H764" s="108"/>
    </row>
    <row r="765" spans="1:8" x14ac:dyDescent="0.45">
      <c r="A765" s="40"/>
      <c r="B765" s="40" t="s">
        <v>848</v>
      </c>
      <c r="C765" s="40" t="s">
        <v>561</v>
      </c>
      <c r="D765" s="80"/>
      <c r="E765" s="81">
        <v>46158</v>
      </c>
      <c r="F765" s="91">
        <v>2</v>
      </c>
      <c r="G765" s="91"/>
      <c r="H765" s="108"/>
    </row>
    <row r="766" spans="1:8" x14ac:dyDescent="0.45">
      <c r="A766" s="40">
        <v>1713781126</v>
      </c>
      <c r="B766" s="40" t="s">
        <v>849</v>
      </c>
      <c r="C766" s="40" t="s">
        <v>850</v>
      </c>
      <c r="D766" s="80" t="s">
        <v>88</v>
      </c>
      <c r="E766" s="81">
        <v>46159</v>
      </c>
      <c r="F766" s="91">
        <f>20+12</f>
        <v>32</v>
      </c>
      <c r="G766" s="91" t="s">
        <v>89</v>
      </c>
      <c r="H766" s="107">
        <v>73320445</v>
      </c>
    </row>
    <row r="767" spans="1:8" x14ac:dyDescent="0.45">
      <c r="A767" s="40">
        <v>1713781126</v>
      </c>
      <c r="B767" s="40" t="s">
        <v>849</v>
      </c>
      <c r="C767" s="40" t="s">
        <v>851</v>
      </c>
      <c r="D767" s="80" t="s">
        <v>746</v>
      </c>
      <c r="E767" s="81">
        <v>46159</v>
      </c>
      <c r="F767" s="91">
        <f>10+25+8</f>
        <v>43</v>
      </c>
      <c r="G767" s="91" t="s">
        <v>89</v>
      </c>
      <c r="H767" s="107">
        <v>73320445</v>
      </c>
    </row>
    <row r="768" spans="1:8" x14ac:dyDescent="0.45">
      <c r="A768" s="40">
        <v>1712865870</v>
      </c>
      <c r="B768" s="40" t="s">
        <v>852</v>
      </c>
      <c r="C768" s="40" t="s">
        <v>853</v>
      </c>
      <c r="D768" s="80" t="s">
        <v>746</v>
      </c>
      <c r="E768" s="81">
        <v>46159</v>
      </c>
      <c r="F768" s="91">
        <f>10+17+15</f>
        <v>42</v>
      </c>
      <c r="G768" s="91"/>
      <c r="H768" s="108"/>
    </row>
    <row r="769" spans="1:8" x14ac:dyDescent="0.45">
      <c r="A769" s="40">
        <v>1712865870</v>
      </c>
      <c r="B769" s="40" t="s">
        <v>852</v>
      </c>
      <c r="C769" s="40" t="s">
        <v>139</v>
      </c>
      <c r="D769" s="80" t="s">
        <v>88</v>
      </c>
      <c r="E769" s="81">
        <v>46159</v>
      </c>
      <c r="F769" s="91">
        <v>17</v>
      </c>
      <c r="G769" s="91"/>
      <c r="H769" s="108"/>
    </row>
    <row r="770" spans="1:8" x14ac:dyDescent="0.45">
      <c r="A770" s="40">
        <v>930394861</v>
      </c>
      <c r="B770" s="40" t="s">
        <v>854</v>
      </c>
      <c r="C770" s="40" t="s">
        <v>855</v>
      </c>
      <c r="D770" s="80" t="s">
        <v>88</v>
      </c>
      <c r="E770" s="81">
        <v>46159</v>
      </c>
      <c r="F770" s="91">
        <f>20+2+6</f>
        <v>28</v>
      </c>
      <c r="G770" s="91" t="s">
        <v>89</v>
      </c>
      <c r="H770" s="107"/>
    </row>
    <row r="771" spans="1:8" x14ac:dyDescent="0.45">
      <c r="A771" s="40"/>
      <c r="B771" s="40" t="s">
        <v>82</v>
      </c>
      <c r="C771" s="40" t="s">
        <v>270</v>
      </c>
      <c r="D771" s="80" t="s">
        <v>88</v>
      </c>
      <c r="E771" s="81">
        <v>46159</v>
      </c>
      <c r="F771" s="91">
        <v>10</v>
      </c>
      <c r="G771" s="91"/>
      <c r="H771" s="108"/>
    </row>
    <row r="772" spans="1:8" x14ac:dyDescent="0.45">
      <c r="A772" s="40"/>
      <c r="B772" s="40" t="s">
        <v>856</v>
      </c>
      <c r="C772" s="40" t="s">
        <v>270</v>
      </c>
      <c r="D772" s="80" t="s">
        <v>746</v>
      </c>
      <c r="E772" s="81">
        <v>46159</v>
      </c>
      <c r="F772" s="91">
        <v>10</v>
      </c>
      <c r="G772" s="91"/>
      <c r="H772" s="108"/>
    </row>
    <row r="773" spans="1:8" x14ac:dyDescent="0.45">
      <c r="A773" s="40">
        <v>172665534</v>
      </c>
      <c r="B773" s="40" t="s">
        <v>808</v>
      </c>
      <c r="C773" s="40" t="s">
        <v>670</v>
      </c>
      <c r="D773" s="80" t="s">
        <v>88</v>
      </c>
      <c r="E773" s="81">
        <v>46160</v>
      </c>
      <c r="F773" s="91">
        <v>8</v>
      </c>
      <c r="G773" s="91" t="s">
        <v>79</v>
      </c>
      <c r="H773" s="108"/>
    </row>
    <row r="774" spans="1:8" x14ac:dyDescent="0.45">
      <c r="A774" s="40">
        <v>172665534</v>
      </c>
      <c r="B774" s="40" t="s">
        <v>808</v>
      </c>
      <c r="C774" s="40" t="s">
        <v>857</v>
      </c>
      <c r="D774" s="80" t="s">
        <v>858</v>
      </c>
      <c r="E774" s="81">
        <v>46160</v>
      </c>
      <c r="F774" s="91">
        <v>20</v>
      </c>
      <c r="G774" s="91" t="s">
        <v>811</v>
      </c>
      <c r="H774" s="108"/>
    </row>
    <row r="775" spans="1:8" x14ac:dyDescent="0.45">
      <c r="A775" s="40">
        <v>1702327655</v>
      </c>
      <c r="B775" s="40" t="s">
        <v>859</v>
      </c>
      <c r="C775" s="40" t="s">
        <v>463</v>
      </c>
      <c r="D775" s="80" t="s">
        <v>88</v>
      </c>
      <c r="E775" s="81">
        <v>46160</v>
      </c>
      <c r="F775" s="91">
        <v>22</v>
      </c>
      <c r="G775" s="91" t="s">
        <v>79</v>
      </c>
      <c r="H775" s="108"/>
    </row>
    <row r="776" spans="1:8" x14ac:dyDescent="0.45">
      <c r="A776" s="40">
        <v>1707124341</v>
      </c>
      <c r="B776" s="40" t="s">
        <v>726</v>
      </c>
      <c r="C776" s="40" t="s">
        <v>463</v>
      </c>
      <c r="D776" s="80" t="s">
        <v>88</v>
      </c>
      <c r="E776" s="81">
        <v>46160</v>
      </c>
      <c r="F776" s="91">
        <v>22</v>
      </c>
      <c r="G776" s="91" t="s">
        <v>79</v>
      </c>
      <c r="H776" s="108"/>
    </row>
    <row r="777" spans="1:8" x14ac:dyDescent="0.45">
      <c r="A777" s="40">
        <v>1711306199</v>
      </c>
      <c r="B777" s="40" t="s">
        <v>860</v>
      </c>
      <c r="C777" s="40" t="s">
        <v>861</v>
      </c>
      <c r="D777" s="80" t="s">
        <v>746</v>
      </c>
      <c r="E777" s="81">
        <v>46161</v>
      </c>
      <c r="F777" s="91">
        <v>34</v>
      </c>
      <c r="G777" s="91" t="s">
        <v>99</v>
      </c>
      <c r="H777" s="108">
        <v>29537603</v>
      </c>
    </row>
    <row r="778" spans="1:8" x14ac:dyDescent="0.45">
      <c r="A778" s="40">
        <v>901090167</v>
      </c>
      <c r="B778" s="40" t="s">
        <v>862</v>
      </c>
      <c r="C778" s="40" t="s">
        <v>698</v>
      </c>
      <c r="D778" s="80" t="s">
        <v>88</v>
      </c>
      <c r="E778" s="81">
        <v>46161</v>
      </c>
      <c r="F778" s="91">
        <v>20</v>
      </c>
      <c r="G778" s="91" t="s">
        <v>154</v>
      </c>
      <c r="H778" s="108">
        <v>231</v>
      </c>
    </row>
    <row r="779" spans="1:8" x14ac:dyDescent="0.45">
      <c r="A779" s="40">
        <v>3050432586</v>
      </c>
      <c r="B779" s="40" t="s">
        <v>863</v>
      </c>
      <c r="C779" s="40" t="s">
        <v>95</v>
      </c>
      <c r="D779" s="80" t="s">
        <v>746</v>
      </c>
      <c r="E779" s="81">
        <v>46161</v>
      </c>
      <c r="F779" s="91">
        <v>10</v>
      </c>
      <c r="G779" s="91" t="s">
        <v>154</v>
      </c>
      <c r="H779" s="108">
        <v>231</v>
      </c>
    </row>
    <row r="780" spans="1:8" x14ac:dyDescent="0.45">
      <c r="A780" s="40">
        <v>3050432586</v>
      </c>
      <c r="B780" s="40" t="s">
        <v>863</v>
      </c>
      <c r="C780" s="40" t="s">
        <v>864</v>
      </c>
      <c r="D780" s="80" t="s">
        <v>272</v>
      </c>
      <c r="E780" s="81">
        <v>46161</v>
      </c>
      <c r="F780" s="91">
        <v>8</v>
      </c>
      <c r="G780" s="91" t="s">
        <v>154</v>
      </c>
      <c r="H780" s="108">
        <v>231</v>
      </c>
    </row>
    <row r="781" spans="1:8" x14ac:dyDescent="0.45">
      <c r="A781" s="40"/>
      <c r="B781" s="40" t="s">
        <v>475</v>
      </c>
      <c r="C781" s="40" t="s">
        <v>865</v>
      </c>
      <c r="D781" s="80" t="s">
        <v>88</v>
      </c>
      <c r="E781" s="81">
        <v>46161</v>
      </c>
      <c r="F781" s="91">
        <v>24</v>
      </c>
      <c r="G781" s="91" t="s">
        <v>99</v>
      </c>
      <c r="H781" s="108">
        <v>55160227</v>
      </c>
    </row>
    <row r="782" spans="1:8" x14ac:dyDescent="0.45">
      <c r="A782" s="40"/>
      <c r="B782" s="40" t="s">
        <v>475</v>
      </c>
      <c r="C782" s="40" t="s">
        <v>104</v>
      </c>
      <c r="D782" s="80" t="s">
        <v>746</v>
      </c>
      <c r="E782" s="81">
        <v>46161</v>
      </c>
      <c r="F782" s="91">
        <v>12</v>
      </c>
      <c r="G782" s="91" t="s">
        <v>99</v>
      </c>
      <c r="H782" s="108">
        <v>55160227</v>
      </c>
    </row>
    <row r="783" spans="1:8" x14ac:dyDescent="0.45">
      <c r="A783" s="40">
        <v>502138340</v>
      </c>
      <c r="B783" s="40" t="s">
        <v>866</v>
      </c>
      <c r="C783" s="40" t="s">
        <v>95</v>
      </c>
      <c r="D783" s="80" t="s">
        <v>746</v>
      </c>
      <c r="E783" s="81">
        <v>46161</v>
      </c>
      <c r="F783" s="91">
        <v>10</v>
      </c>
      <c r="G783" s="91" t="s">
        <v>99</v>
      </c>
      <c r="H783" s="108">
        <v>56780043</v>
      </c>
    </row>
    <row r="784" spans="1:8" x14ac:dyDescent="0.45">
      <c r="A784" s="40">
        <v>1706811757</v>
      </c>
      <c r="B784" s="40" t="s">
        <v>867</v>
      </c>
      <c r="C784" s="40" t="s">
        <v>87</v>
      </c>
      <c r="D784" s="80" t="s">
        <v>88</v>
      </c>
      <c r="E784" s="81">
        <v>46161</v>
      </c>
      <c r="F784" s="91">
        <v>15</v>
      </c>
      <c r="G784" s="91" t="s">
        <v>55</v>
      </c>
      <c r="H784" s="108"/>
    </row>
    <row r="785" spans="1:8" x14ac:dyDescent="0.45">
      <c r="A785" s="40">
        <v>1713660825</v>
      </c>
      <c r="B785" s="40" t="s">
        <v>868</v>
      </c>
      <c r="C785" s="40" t="s">
        <v>869</v>
      </c>
      <c r="D785" s="80" t="s">
        <v>746</v>
      </c>
      <c r="E785" s="81">
        <v>46161</v>
      </c>
      <c r="F785" s="91">
        <v>9</v>
      </c>
      <c r="G785" s="91" t="s">
        <v>55</v>
      </c>
      <c r="H785" s="108"/>
    </row>
    <row r="786" spans="1:8" x14ac:dyDescent="0.45">
      <c r="A786" s="40">
        <v>1708634033</v>
      </c>
      <c r="B786" s="40" t="s">
        <v>870</v>
      </c>
      <c r="C786" s="40" t="s">
        <v>153</v>
      </c>
      <c r="D786" s="80" t="s">
        <v>88</v>
      </c>
      <c r="E786" s="81">
        <v>46162</v>
      </c>
      <c r="F786" s="91">
        <v>12</v>
      </c>
      <c r="G786" s="91" t="s">
        <v>154</v>
      </c>
      <c r="H786" s="108">
        <v>233</v>
      </c>
    </row>
    <row r="787" spans="1:8" x14ac:dyDescent="0.45">
      <c r="A787" s="40">
        <v>1757151921</v>
      </c>
      <c r="B787" s="40" t="s">
        <v>871</v>
      </c>
      <c r="C787" s="40" t="s">
        <v>872</v>
      </c>
      <c r="D787" s="80" t="s">
        <v>746</v>
      </c>
      <c r="E787" s="81">
        <v>46162</v>
      </c>
      <c r="F787" s="91">
        <v>28</v>
      </c>
      <c r="G787" s="91" t="s">
        <v>99</v>
      </c>
      <c r="H787" s="108">
        <v>54188300</v>
      </c>
    </row>
    <row r="788" spans="1:8" x14ac:dyDescent="0.45">
      <c r="A788" s="40">
        <v>1003432422</v>
      </c>
      <c r="B788" s="40" t="s">
        <v>873</v>
      </c>
      <c r="C788" s="40" t="s">
        <v>874</v>
      </c>
      <c r="D788" s="80" t="s">
        <v>88</v>
      </c>
      <c r="E788" s="81">
        <v>46163</v>
      </c>
      <c r="F788" s="91">
        <v>20</v>
      </c>
      <c r="G788" s="161" t="s">
        <v>99</v>
      </c>
      <c r="H788" s="108">
        <v>39844810</v>
      </c>
    </row>
    <row r="789" spans="1:8" x14ac:dyDescent="0.45">
      <c r="A789" s="40">
        <v>1003432422</v>
      </c>
      <c r="B789" s="40" t="s">
        <v>873</v>
      </c>
      <c r="C789" s="40" t="s">
        <v>875</v>
      </c>
      <c r="D789" s="80" t="s">
        <v>746</v>
      </c>
      <c r="E789" s="81">
        <v>46163</v>
      </c>
      <c r="F789" s="91">
        <v>17</v>
      </c>
      <c r="G789" s="91" t="s">
        <v>99</v>
      </c>
      <c r="H789" s="108">
        <v>39844810</v>
      </c>
    </row>
    <row r="790" spans="1:8" x14ac:dyDescent="0.45">
      <c r="A790" s="40">
        <v>1718245012</v>
      </c>
      <c r="B790" s="40" t="s">
        <v>876</v>
      </c>
      <c r="C790" s="40" t="s">
        <v>877</v>
      </c>
      <c r="D790" s="80" t="s">
        <v>746</v>
      </c>
      <c r="E790" s="81">
        <v>46163</v>
      </c>
      <c r="F790" s="91">
        <v>20</v>
      </c>
      <c r="G790" s="91" t="s">
        <v>99</v>
      </c>
      <c r="H790" s="108">
        <v>51498962</v>
      </c>
    </row>
    <row r="791" spans="1:8" x14ac:dyDescent="0.45">
      <c r="A791" s="40"/>
      <c r="B791" s="40" t="s">
        <v>781</v>
      </c>
      <c r="C791" s="40" t="s">
        <v>877</v>
      </c>
      <c r="D791" s="80" t="s">
        <v>88</v>
      </c>
      <c r="E791" s="81">
        <v>46163</v>
      </c>
      <c r="F791" s="91">
        <v>20</v>
      </c>
      <c r="G791" s="91" t="s">
        <v>99</v>
      </c>
      <c r="H791" s="108">
        <v>50119970</v>
      </c>
    </row>
    <row r="792" spans="1:8" x14ac:dyDescent="0.45">
      <c r="A792" s="40">
        <v>1720226214</v>
      </c>
      <c r="B792" s="40" t="s">
        <v>878</v>
      </c>
      <c r="C792" s="40" t="s">
        <v>879</v>
      </c>
      <c r="D792" s="80" t="s">
        <v>88</v>
      </c>
      <c r="E792" s="81">
        <v>46163</v>
      </c>
      <c r="F792" s="91">
        <v>32</v>
      </c>
      <c r="G792" s="91" t="s">
        <v>99</v>
      </c>
      <c r="H792" s="108">
        <v>58060427</v>
      </c>
    </row>
    <row r="793" spans="1:8" x14ac:dyDescent="0.45">
      <c r="A793" s="40">
        <v>1724828932</v>
      </c>
      <c r="B793" s="40" t="s">
        <v>880</v>
      </c>
      <c r="C793" s="40" t="s">
        <v>484</v>
      </c>
      <c r="D793" s="80" t="s">
        <v>88</v>
      </c>
      <c r="E793" s="81">
        <v>46164</v>
      </c>
      <c r="F793" s="91">
        <v>15</v>
      </c>
      <c r="G793" s="91" t="s">
        <v>99</v>
      </c>
      <c r="H793" s="108">
        <v>55328396</v>
      </c>
    </row>
    <row r="794" spans="1:8" x14ac:dyDescent="0.45">
      <c r="A794" s="40">
        <v>1719051631</v>
      </c>
      <c r="B794" s="40" t="s">
        <v>881</v>
      </c>
      <c r="C794" s="40" t="s">
        <v>793</v>
      </c>
      <c r="D794" s="80" t="s">
        <v>88</v>
      </c>
      <c r="E794" s="81">
        <v>46164</v>
      </c>
      <c r="F794" s="91">
        <v>27</v>
      </c>
      <c r="G794" s="91" t="s">
        <v>99</v>
      </c>
      <c r="H794" s="108">
        <v>62358603</v>
      </c>
    </row>
    <row r="795" spans="1:8" x14ac:dyDescent="0.45">
      <c r="A795" s="40">
        <v>1717932964</v>
      </c>
      <c r="B795" s="40" t="s">
        <v>882</v>
      </c>
      <c r="C795" s="40" t="s">
        <v>125</v>
      </c>
      <c r="D795" s="80" t="s">
        <v>746</v>
      </c>
      <c r="E795" s="81">
        <v>46164</v>
      </c>
      <c r="F795" s="91">
        <v>21</v>
      </c>
      <c r="G795" s="91" t="s">
        <v>154</v>
      </c>
      <c r="H795" s="108">
        <v>235</v>
      </c>
    </row>
    <row r="796" spans="1:8" x14ac:dyDescent="0.45">
      <c r="A796" s="40">
        <v>1717177966</v>
      </c>
      <c r="B796" s="40" t="s">
        <v>158</v>
      </c>
      <c r="C796" s="40" t="s">
        <v>87</v>
      </c>
      <c r="D796" s="80" t="s">
        <v>88</v>
      </c>
      <c r="E796" s="81">
        <v>46164</v>
      </c>
      <c r="F796" s="91">
        <v>15</v>
      </c>
      <c r="G796" s="91" t="s">
        <v>99</v>
      </c>
      <c r="H796" s="108">
        <v>6247435</v>
      </c>
    </row>
    <row r="797" spans="1:8" x14ac:dyDescent="0.45">
      <c r="A797" s="40">
        <v>1717177966</v>
      </c>
      <c r="B797" s="40" t="s">
        <v>158</v>
      </c>
      <c r="C797" s="40" t="s">
        <v>864</v>
      </c>
      <c r="D797" s="80" t="s">
        <v>272</v>
      </c>
      <c r="E797" s="81">
        <v>46164</v>
      </c>
      <c r="F797" s="91">
        <v>10</v>
      </c>
      <c r="G797" s="91" t="s">
        <v>99</v>
      </c>
      <c r="H797" s="108">
        <v>62531468</v>
      </c>
    </row>
    <row r="798" spans="1:8" x14ac:dyDescent="0.45">
      <c r="A798" s="40">
        <v>1721946067</v>
      </c>
      <c r="B798" s="40" t="s">
        <v>74</v>
      </c>
      <c r="C798" s="40"/>
      <c r="D798" s="80"/>
      <c r="E798" s="81">
        <v>46165</v>
      </c>
      <c r="F798" s="91"/>
      <c r="G798" s="91"/>
      <c r="H798" s="108"/>
    </row>
    <row r="799" spans="1:8" x14ac:dyDescent="0.45">
      <c r="A799" s="40">
        <v>2300544950</v>
      </c>
      <c r="B799" s="40" t="s">
        <v>883</v>
      </c>
      <c r="C799" s="40" t="s">
        <v>884</v>
      </c>
      <c r="D799" s="80" t="s">
        <v>88</v>
      </c>
      <c r="E799" s="81">
        <v>46174</v>
      </c>
      <c r="F799" s="91">
        <v>15</v>
      </c>
      <c r="G799" s="91" t="s">
        <v>99</v>
      </c>
      <c r="H799" s="107">
        <v>179752701</v>
      </c>
    </row>
    <row r="800" spans="1:8" x14ac:dyDescent="0.45">
      <c r="A800" s="40">
        <v>1707063227</v>
      </c>
      <c r="B800" s="40" t="s">
        <v>77</v>
      </c>
      <c r="C800" s="40" t="s">
        <v>884</v>
      </c>
      <c r="D800" s="80" t="s">
        <v>746</v>
      </c>
      <c r="E800" s="81">
        <v>46174</v>
      </c>
      <c r="F800" s="91">
        <v>15</v>
      </c>
      <c r="G800" s="91"/>
      <c r="H800" s="107"/>
    </row>
    <row r="801" spans="1:8" x14ac:dyDescent="0.45">
      <c r="A801" s="40">
        <v>1716862840</v>
      </c>
      <c r="B801" s="40" t="s">
        <v>696</v>
      </c>
      <c r="C801" s="162" t="s">
        <v>102</v>
      </c>
      <c r="D801" s="80" t="s">
        <v>88</v>
      </c>
      <c r="E801" s="81">
        <v>46175</v>
      </c>
      <c r="F801" s="91">
        <v>17</v>
      </c>
      <c r="G801" s="91" t="s">
        <v>154</v>
      </c>
      <c r="H801" s="107">
        <v>242</v>
      </c>
    </row>
    <row r="802" spans="1:8" x14ac:dyDescent="0.45">
      <c r="A802" s="40">
        <v>1716862840</v>
      </c>
      <c r="B802" s="40" t="s">
        <v>696</v>
      </c>
      <c r="C802" s="40" t="s">
        <v>95</v>
      </c>
      <c r="D802" s="80" t="s">
        <v>746</v>
      </c>
      <c r="E802" s="81">
        <v>46175</v>
      </c>
      <c r="F802" s="91">
        <v>10</v>
      </c>
      <c r="G802" s="91" t="s">
        <v>154</v>
      </c>
      <c r="H802" s="107">
        <v>242</v>
      </c>
    </row>
    <row r="803" spans="1:8" x14ac:dyDescent="0.45">
      <c r="A803" s="40">
        <v>1726528696</v>
      </c>
      <c r="B803" s="40" t="s">
        <v>885</v>
      </c>
      <c r="C803" s="40" t="s">
        <v>886</v>
      </c>
      <c r="D803" s="80" t="s">
        <v>746</v>
      </c>
      <c r="E803" s="81">
        <v>46176</v>
      </c>
      <c r="F803" s="91">
        <v>25</v>
      </c>
      <c r="G803" s="91" t="s">
        <v>99</v>
      </c>
      <c r="H803" s="107">
        <v>35471586</v>
      </c>
    </row>
    <row r="804" spans="1:8" x14ac:dyDescent="0.45">
      <c r="A804" s="40"/>
      <c r="B804" s="40" t="s">
        <v>887</v>
      </c>
      <c r="C804" s="40" t="s">
        <v>87</v>
      </c>
      <c r="D804" s="80" t="s">
        <v>88</v>
      </c>
      <c r="E804" s="81">
        <v>46176</v>
      </c>
      <c r="F804" s="91">
        <v>15</v>
      </c>
      <c r="G804" s="91" t="s">
        <v>99</v>
      </c>
      <c r="H804" s="107">
        <v>54793240</v>
      </c>
    </row>
    <row r="805" spans="1:8" x14ac:dyDescent="0.45">
      <c r="A805" s="40">
        <v>1701127514</v>
      </c>
      <c r="B805" s="40" t="s">
        <v>888</v>
      </c>
      <c r="C805" s="40" t="s">
        <v>877</v>
      </c>
      <c r="D805" s="80" t="s">
        <v>746</v>
      </c>
      <c r="E805" s="81">
        <v>46176</v>
      </c>
      <c r="F805" s="91">
        <v>20</v>
      </c>
      <c r="G805" s="91" t="s">
        <v>96</v>
      </c>
      <c r="H805" s="107">
        <v>75344020900</v>
      </c>
    </row>
    <row r="806" spans="1:8" x14ac:dyDescent="0.45">
      <c r="A806" s="40">
        <v>2000054730</v>
      </c>
      <c r="B806" s="40" t="s">
        <v>889</v>
      </c>
      <c r="C806" s="40" t="s">
        <v>102</v>
      </c>
      <c r="D806" s="80" t="s">
        <v>88</v>
      </c>
      <c r="E806" s="81">
        <v>46177</v>
      </c>
      <c r="F806" s="91">
        <v>17</v>
      </c>
      <c r="G806" s="91" t="s">
        <v>154</v>
      </c>
      <c r="H806" s="107">
        <v>244</v>
      </c>
    </row>
    <row r="807" spans="1:8" x14ac:dyDescent="0.45">
      <c r="A807" s="40">
        <v>2000054730</v>
      </c>
      <c r="B807" s="40" t="s">
        <v>889</v>
      </c>
      <c r="C807" s="40" t="s">
        <v>890</v>
      </c>
      <c r="D807" s="80" t="s">
        <v>746</v>
      </c>
      <c r="E807" s="81">
        <v>46177</v>
      </c>
      <c r="F807" s="91">
        <v>61</v>
      </c>
      <c r="G807" s="91" t="s">
        <v>154</v>
      </c>
      <c r="H807" s="107">
        <v>244</v>
      </c>
    </row>
    <row r="808" spans="1:8" x14ac:dyDescent="0.45">
      <c r="A808" s="40">
        <v>1721555850</v>
      </c>
      <c r="B808" s="40" t="s">
        <v>891</v>
      </c>
      <c r="C808" s="40" t="s">
        <v>95</v>
      </c>
      <c r="D808" s="80" t="s">
        <v>88</v>
      </c>
      <c r="E808" s="81">
        <v>46177</v>
      </c>
      <c r="F808" s="91">
        <v>10</v>
      </c>
      <c r="G808" s="91" t="s">
        <v>79</v>
      </c>
      <c r="H808" s="107"/>
    </row>
    <row r="809" spans="1:8" x14ac:dyDescent="0.45">
      <c r="A809" s="40">
        <v>1721555850</v>
      </c>
      <c r="B809" s="40" t="s">
        <v>891</v>
      </c>
      <c r="C809" s="40" t="s">
        <v>532</v>
      </c>
      <c r="D809" s="80" t="s">
        <v>746</v>
      </c>
      <c r="E809" s="81">
        <v>46177</v>
      </c>
      <c r="F809" s="91">
        <v>10</v>
      </c>
      <c r="G809" s="91" t="s">
        <v>79</v>
      </c>
      <c r="H809" s="107"/>
    </row>
    <row r="810" spans="1:8" x14ac:dyDescent="0.45">
      <c r="A810" s="40"/>
      <c r="B810" s="40" t="s">
        <v>71</v>
      </c>
      <c r="C810" s="40" t="s">
        <v>102</v>
      </c>
      <c r="D810" s="80" t="s">
        <v>88</v>
      </c>
      <c r="E810" s="81">
        <v>46177</v>
      </c>
      <c r="F810" s="91">
        <v>12</v>
      </c>
      <c r="G810" s="91" t="s">
        <v>498</v>
      </c>
      <c r="H810" s="107"/>
    </row>
    <row r="811" spans="1:8" x14ac:dyDescent="0.45">
      <c r="A811" s="40"/>
      <c r="B811" s="40" t="s">
        <v>71</v>
      </c>
      <c r="C811" s="40" t="s">
        <v>95</v>
      </c>
      <c r="D811" s="80" t="s">
        <v>746</v>
      </c>
      <c r="E811" s="81">
        <v>46177</v>
      </c>
      <c r="F811" s="91">
        <v>10</v>
      </c>
      <c r="G811" s="91" t="s">
        <v>498</v>
      </c>
      <c r="H811" s="107"/>
    </row>
    <row r="812" spans="1:8" x14ac:dyDescent="0.45">
      <c r="A812" s="40">
        <v>1723007686</v>
      </c>
      <c r="B812" s="40" t="s">
        <v>892</v>
      </c>
      <c r="C812" s="40" t="s">
        <v>893</v>
      </c>
      <c r="D812" s="80" t="s">
        <v>88</v>
      </c>
      <c r="E812" s="81">
        <v>46178</v>
      </c>
      <c r="F812" s="91">
        <v>27</v>
      </c>
      <c r="G812" s="91" t="s">
        <v>154</v>
      </c>
      <c r="H812" s="107">
        <v>246</v>
      </c>
    </row>
    <row r="813" spans="1:8" x14ac:dyDescent="0.45">
      <c r="A813" s="40">
        <v>1709047482</v>
      </c>
      <c r="B813" s="40" t="s">
        <v>894</v>
      </c>
      <c r="C813" s="40" t="s">
        <v>104</v>
      </c>
      <c r="D813" s="80" t="s">
        <v>88</v>
      </c>
      <c r="E813" s="81">
        <v>46178</v>
      </c>
      <c r="F813" s="91">
        <v>12</v>
      </c>
      <c r="G813" s="91" t="s">
        <v>79</v>
      </c>
      <c r="H813" s="107"/>
    </row>
    <row r="814" spans="1:8" x14ac:dyDescent="0.45">
      <c r="A814" s="58">
        <v>1705687948</v>
      </c>
      <c r="B814" s="40" t="s">
        <v>895</v>
      </c>
      <c r="C814" s="40" t="s">
        <v>95</v>
      </c>
      <c r="D814" s="80" t="s">
        <v>88</v>
      </c>
      <c r="E814" s="81">
        <v>46178</v>
      </c>
      <c r="F814" s="91">
        <v>10</v>
      </c>
      <c r="G814" s="91" t="s">
        <v>79</v>
      </c>
      <c r="H814" s="107"/>
    </row>
    <row r="815" spans="1:8" x14ac:dyDescent="0.45">
      <c r="A815" s="40">
        <v>1717991879</v>
      </c>
      <c r="B815" s="40" t="s">
        <v>896</v>
      </c>
      <c r="C815" s="40" t="s">
        <v>87</v>
      </c>
      <c r="D815" s="40" t="s">
        <v>746</v>
      </c>
      <c r="E815" s="81">
        <v>46178</v>
      </c>
      <c r="F815" s="91">
        <v>15</v>
      </c>
      <c r="G815" s="44" t="s">
        <v>79</v>
      </c>
      <c r="H815" s="44"/>
    </row>
    <row r="816" spans="1:8" x14ac:dyDescent="0.45">
      <c r="A816" s="40">
        <v>1705996229</v>
      </c>
      <c r="B816" s="40" t="s">
        <v>897</v>
      </c>
      <c r="C816" s="44" t="s">
        <v>87</v>
      </c>
      <c r="D816" s="44"/>
      <c r="E816" s="81">
        <v>46178</v>
      </c>
      <c r="F816" s="163">
        <v>15</v>
      </c>
      <c r="G816" s="44" t="s">
        <v>79</v>
      </c>
      <c r="H816" s="44"/>
    </row>
    <row r="817" spans="1:8" x14ac:dyDescent="0.45">
      <c r="A817" s="58">
        <v>1600377980</v>
      </c>
      <c r="B817" s="40" t="s">
        <v>830</v>
      </c>
      <c r="C817" s="40" t="s">
        <v>90</v>
      </c>
      <c r="D817" s="40" t="s">
        <v>88</v>
      </c>
      <c r="E817" s="81">
        <v>46178</v>
      </c>
      <c r="F817" s="91">
        <v>5</v>
      </c>
      <c r="G817" s="91" t="s">
        <v>99</v>
      </c>
      <c r="H817" s="44">
        <v>63585602</v>
      </c>
    </row>
    <row r="818" spans="1:8" x14ac:dyDescent="0.45">
      <c r="A818" s="40">
        <v>1704180577</v>
      </c>
      <c r="B818" s="40" t="s">
        <v>898</v>
      </c>
      <c r="C818" s="40" t="s">
        <v>877</v>
      </c>
      <c r="D818" s="40" t="s">
        <v>746</v>
      </c>
      <c r="E818" s="81">
        <v>46178</v>
      </c>
      <c r="F818" s="91">
        <v>20</v>
      </c>
      <c r="G818" s="91" t="s">
        <v>99</v>
      </c>
      <c r="H818" s="44">
        <v>63101801</v>
      </c>
    </row>
    <row r="819" spans="1:8" x14ac:dyDescent="0.45">
      <c r="A819" s="40">
        <v>1350764880</v>
      </c>
      <c r="B819" s="40" t="s">
        <v>899</v>
      </c>
      <c r="C819" s="40" t="s">
        <v>877</v>
      </c>
      <c r="D819" s="40" t="s">
        <v>88</v>
      </c>
      <c r="E819" s="81">
        <v>46178</v>
      </c>
      <c r="F819" s="91">
        <v>20</v>
      </c>
      <c r="G819" s="91" t="s">
        <v>99</v>
      </c>
      <c r="H819" s="44"/>
    </row>
    <row r="820" spans="1:8" x14ac:dyDescent="0.45">
      <c r="A820" s="40">
        <v>1720921368</v>
      </c>
      <c r="B820" s="40" t="s">
        <v>900</v>
      </c>
      <c r="C820" s="40" t="s">
        <v>716</v>
      </c>
      <c r="D820" s="40" t="s">
        <v>88</v>
      </c>
      <c r="E820" s="81">
        <v>46178</v>
      </c>
      <c r="F820" s="91">
        <v>21</v>
      </c>
      <c r="G820" s="91" t="s">
        <v>99</v>
      </c>
      <c r="H820" s="44"/>
    </row>
    <row r="821" spans="1:8" x14ac:dyDescent="0.45">
      <c r="A821" s="40">
        <v>1715780837</v>
      </c>
      <c r="B821" s="40" t="s">
        <v>901</v>
      </c>
      <c r="C821" s="40" t="s">
        <v>902</v>
      </c>
      <c r="D821" s="40" t="s">
        <v>746</v>
      </c>
      <c r="E821" s="81">
        <v>46178</v>
      </c>
      <c r="F821" s="91">
        <v>28</v>
      </c>
      <c r="G821" s="91" t="s">
        <v>154</v>
      </c>
      <c r="H821" s="44">
        <v>247</v>
      </c>
    </row>
    <row r="822" spans="1:8" x14ac:dyDescent="0.45">
      <c r="A822" s="40">
        <v>1704180577</v>
      </c>
      <c r="B822" s="40" t="s">
        <v>903</v>
      </c>
      <c r="C822" s="40" t="s">
        <v>904</v>
      </c>
      <c r="D822" s="40" t="s">
        <v>746</v>
      </c>
      <c r="E822" s="81">
        <v>46178</v>
      </c>
      <c r="F822" s="91">
        <v>22</v>
      </c>
      <c r="G822" s="91" t="s">
        <v>79</v>
      </c>
      <c r="H822" s="44"/>
    </row>
    <row r="823" spans="1:8" x14ac:dyDescent="0.45">
      <c r="A823" s="40">
        <v>1708000698</v>
      </c>
      <c r="B823" s="40" t="s">
        <v>905</v>
      </c>
      <c r="C823" s="40" t="s">
        <v>453</v>
      </c>
      <c r="D823" s="40" t="s">
        <v>746</v>
      </c>
      <c r="E823" s="81">
        <v>46179</v>
      </c>
      <c r="F823" s="91">
        <v>21</v>
      </c>
      <c r="G823" s="91" t="s">
        <v>99</v>
      </c>
      <c r="H823" s="44">
        <v>27679137</v>
      </c>
    </row>
    <row r="824" spans="1:8" x14ac:dyDescent="0.45">
      <c r="A824" s="40">
        <v>1350764880</v>
      </c>
      <c r="B824" s="40" t="s">
        <v>906</v>
      </c>
      <c r="C824" s="40" t="s">
        <v>907</v>
      </c>
      <c r="D824" s="40" t="s">
        <v>746</v>
      </c>
      <c r="E824" s="81">
        <v>46179</v>
      </c>
      <c r="F824" s="91">
        <v>17</v>
      </c>
      <c r="G824" s="91" t="s">
        <v>99</v>
      </c>
      <c r="H824" s="44"/>
    </row>
    <row r="825" spans="1:8" x14ac:dyDescent="0.45">
      <c r="A825" s="40">
        <v>1315499424</v>
      </c>
      <c r="B825" s="40" t="s">
        <v>908</v>
      </c>
      <c r="C825" s="40" t="s">
        <v>449</v>
      </c>
      <c r="D825" s="40" t="s">
        <v>88</v>
      </c>
      <c r="E825" s="81">
        <v>46179</v>
      </c>
      <c r="F825" s="91">
        <v>32</v>
      </c>
      <c r="G825" s="44" t="s">
        <v>99</v>
      </c>
      <c r="H825" s="44"/>
    </row>
    <row r="826" spans="1:8" x14ac:dyDescent="0.45">
      <c r="A826" s="40">
        <v>1753633344</v>
      </c>
      <c r="B826" s="40" t="s">
        <v>909</v>
      </c>
      <c r="C826" s="44" t="s">
        <v>910</v>
      </c>
      <c r="D826" s="44" t="s">
        <v>911</v>
      </c>
      <c r="E826" s="81">
        <v>46179</v>
      </c>
      <c r="F826" s="163">
        <v>36</v>
      </c>
      <c r="G826" s="44" t="s">
        <v>912</v>
      </c>
      <c r="H826" s="44">
        <v>44428620</v>
      </c>
    </row>
    <row r="827" spans="1:8" x14ac:dyDescent="0.45">
      <c r="A827" s="40">
        <v>1713498507</v>
      </c>
      <c r="B827" s="40" t="s">
        <v>913</v>
      </c>
      <c r="C827" s="44" t="s">
        <v>914</v>
      </c>
      <c r="D827" s="44" t="s">
        <v>746</v>
      </c>
      <c r="E827" s="81">
        <v>46179</v>
      </c>
      <c r="F827" s="163">
        <v>26</v>
      </c>
      <c r="G827" s="44" t="s">
        <v>912</v>
      </c>
      <c r="H827" s="44">
        <v>44428620</v>
      </c>
    </row>
    <row r="828" spans="1:8" x14ac:dyDescent="0.45">
      <c r="A828" s="72">
        <v>800610388</v>
      </c>
      <c r="B828" s="72" t="s">
        <v>915</v>
      </c>
      <c r="C828" s="72" t="s">
        <v>455</v>
      </c>
      <c r="D828" s="72" t="s">
        <v>88</v>
      </c>
      <c r="E828" s="164">
        <v>46179</v>
      </c>
      <c r="F828" s="165">
        <v>10</v>
      </c>
      <c r="G828" s="73" t="s">
        <v>79</v>
      </c>
    </row>
    <row r="829" spans="1:8" x14ac:dyDescent="0.45">
      <c r="A829" s="72">
        <v>800610388</v>
      </c>
      <c r="B829" s="72" t="s">
        <v>916</v>
      </c>
      <c r="C829" s="72" t="s">
        <v>87</v>
      </c>
      <c r="D829" s="72" t="s">
        <v>746</v>
      </c>
      <c r="E829" s="164">
        <v>46179</v>
      </c>
      <c r="F829" s="165">
        <v>15</v>
      </c>
      <c r="G829" s="73" t="s">
        <v>79</v>
      </c>
    </row>
    <row r="830" spans="1:8" x14ac:dyDescent="0.45">
      <c r="B830" s="36" t="s">
        <v>751</v>
      </c>
      <c r="C830" s="36" t="s">
        <v>917</v>
      </c>
      <c r="D830" s="36" t="s">
        <v>858</v>
      </c>
      <c r="E830" s="164">
        <v>46180</v>
      </c>
      <c r="F830" s="166">
        <v>32</v>
      </c>
    </row>
    <row r="831" spans="1:8" x14ac:dyDescent="0.45">
      <c r="B831" s="36" t="s">
        <v>772</v>
      </c>
      <c r="C831" s="36" t="s">
        <v>160</v>
      </c>
      <c r="D831" s="36" t="s">
        <v>858</v>
      </c>
      <c r="E831" s="164">
        <v>46180</v>
      </c>
      <c r="F831" s="166">
        <v>15</v>
      </c>
      <c r="G831" s="36" t="s">
        <v>686</v>
      </c>
    </row>
    <row r="832" spans="1:8" x14ac:dyDescent="0.45">
      <c r="B832" s="36" t="s">
        <v>918</v>
      </c>
      <c r="C832" s="36" t="s">
        <v>368</v>
      </c>
      <c r="D832" s="36" t="s">
        <v>858</v>
      </c>
      <c r="E832" s="164">
        <v>46180</v>
      </c>
      <c r="F832" s="166">
        <v>20</v>
      </c>
      <c r="G832" s="36" t="s">
        <v>686</v>
      </c>
    </row>
    <row r="833" spans="1:8" x14ac:dyDescent="0.45">
      <c r="A833" s="36">
        <v>1721946067</v>
      </c>
      <c r="B833" s="36" t="s">
        <v>74</v>
      </c>
      <c r="C833" s="36" t="s">
        <v>919</v>
      </c>
      <c r="D833" s="36" t="s">
        <v>858</v>
      </c>
      <c r="E833" s="164">
        <v>46180</v>
      </c>
      <c r="F833" s="167">
        <f>15+6</f>
        <v>21</v>
      </c>
    </row>
    <row r="834" spans="1:8" x14ac:dyDescent="0.45">
      <c r="A834" s="36">
        <v>1721946067</v>
      </c>
      <c r="B834" s="36" t="s">
        <v>74</v>
      </c>
      <c r="C834" s="36" t="s">
        <v>920</v>
      </c>
      <c r="D834" s="36" t="s">
        <v>142</v>
      </c>
      <c r="E834" s="164">
        <v>46180</v>
      </c>
      <c r="F834" s="167">
        <f>10+4</f>
        <v>14</v>
      </c>
    </row>
    <row r="835" spans="1:8" x14ac:dyDescent="0.45">
      <c r="A835" s="36">
        <v>1719932079</v>
      </c>
      <c r="B835" s="36" t="s">
        <v>921</v>
      </c>
      <c r="C835" s="36" t="s">
        <v>922</v>
      </c>
      <c r="D835" s="36" t="s">
        <v>858</v>
      </c>
      <c r="E835" s="164">
        <v>46180</v>
      </c>
      <c r="F835" s="166">
        <v>34</v>
      </c>
      <c r="G835" s="36" t="s">
        <v>686</v>
      </c>
    </row>
    <row r="836" spans="1:8" x14ac:dyDescent="0.45">
      <c r="A836" s="36">
        <v>1716497159</v>
      </c>
      <c r="B836" s="36" t="s">
        <v>608</v>
      </c>
      <c r="C836" s="36" t="s">
        <v>359</v>
      </c>
      <c r="D836" s="36" t="s">
        <v>88</v>
      </c>
      <c r="E836" s="164">
        <v>46181</v>
      </c>
      <c r="F836" s="166" t="s">
        <v>923</v>
      </c>
      <c r="G836" s="36" t="s">
        <v>99</v>
      </c>
      <c r="H836" s="36">
        <v>139884603</v>
      </c>
    </row>
    <row r="837" spans="1:8" x14ac:dyDescent="0.45">
      <c r="A837" s="36">
        <v>1725899734</v>
      </c>
      <c r="B837" s="36" t="s">
        <v>924</v>
      </c>
      <c r="C837" s="36" t="s">
        <v>925</v>
      </c>
      <c r="D837" s="36" t="s">
        <v>746</v>
      </c>
      <c r="E837" s="164">
        <v>46181</v>
      </c>
      <c r="F837" s="166">
        <v>24</v>
      </c>
      <c r="G837" s="36" t="s">
        <v>99</v>
      </c>
      <c r="H837" s="36">
        <v>153866484</v>
      </c>
    </row>
    <row r="838" spans="1:8" x14ac:dyDescent="0.45">
      <c r="A838" s="36">
        <v>1317975173</v>
      </c>
      <c r="B838" s="36" t="s">
        <v>926</v>
      </c>
      <c r="C838" s="36" t="s">
        <v>927</v>
      </c>
      <c r="D838" s="36" t="s">
        <v>746</v>
      </c>
      <c r="E838" s="164">
        <v>46182</v>
      </c>
      <c r="F838" s="166">
        <v>15</v>
      </c>
      <c r="G838" s="36" t="s">
        <v>99</v>
      </c>
      <c r="H838" s="36">
        <v>20027294</v>
      </c>
    </row>
    <row r="839" spans="1:8" x14ac:dyDescent="0.45">
      <c r="A839" s="36">
        <v>60466193</v>
      </c>
      <c r="B839" s="36" t="s">
        <v>928</v>
      </c>
      <c r="C839" s="36" t="s">
        <v>484</v>
      </c>
      <c r="D839" s="36" t="s">
        <v>746</v>
      </c>
      <c r="E839" s="164">
        <v>46183</v>
      </c>
      <c r="F839" s="166">
        <v>15</v>
      </c>
      <c r="G839" s="36" t="s">
        <v>154</v>
      </c>
      <c r="H839" s="36">
        <v>249</v>
      </c>
    </row>
    <row r="840" spans="1:8" x14ac:dyDescent="0.45">
      <c r="A840" s="36">
        <v>502138340</v>
      </c>
      <c r="B840" s="36" t="s">
        <v>929</v>
      </c>
      <c r="C840" s="36" t="s">
        <v>95</v>
      </c>
      <c r="D840" s="36" t="s">
        <v>88</v>
      </c>
      <c r="E840" s="164">
        <v>46183</v>
      </c>
      <c r="F840" s="166">
        <v>10</v>
      </c>
      <c r="G840" s="36" t="s">
        <v>99</v>
      </c>
      <c r="H840" s="36">
        <v>34102316</v>
      </c>
    </row>
    <row r="841" spans="1:8" x14ac:dyDescent="0.45">
      <c r="A841" s="36">
        <v>502138340</v>
      </c>
      <c r="B841" s="36" t="s">
        <v>929</v>
      </c>
      <c r="C841" s="36" t="s">
        <v>930</v>
      </c>
      <c r="D841" s="36" t="s">
        <v>88</v>
      </c>
      <c r="E841" s="164">
        <v>46183</v>
      </c>
      <c r="F841" s="166">
        <v>4.5</v>
      </c>
      <c r="G841" s="36" t="s">
        <v>99</v>
      </c>
      <c r="H841" s="36">
        <v>34102316</v>
      </c>
    </row>
    <row r="842" spans="1:8" x14ac:dyDescent="0.45">
      <c r="A842" s="36">
        <v>930394861</v>
      </c>
      <c r="B842" s="36" t="s">
        <v>697</v>
      </c>
      <c r="C842" s="36" t="s">
        <v>87</v>
      </c>
      <c r="D842" s="36" t="s">
        <v>88</v>
      </c>
      <c r="E842" s="164">
        <v>46183</v>
      </c>
      <c r="F842" s="166">
        <v>15</v>
      </c>
      <c r="G842" s="36" t="s">
        <v>99</v>
      </c>
      <c r="H842" s="36">
        <v>619835576</v>
      </c>
    </row>
    <row r="843" spans="1:8" x14ac:dyDescent="0.45">
      <c r="A843" s="36">
        <v>930394861</v>
      </c>
      <c r="B843" s="36" t="s">
        <v>697</v>
      </c>
      <c r="C843" s="36" t="s">
        <v>104</v>
      </c>
      <c r="D843" s="36" t="s">
        <v>746</v>
      </c>
      <c r="E843" s="164">
        <v>46183</v>
      </c>
      <c r="F843" s="166">
        <v>12</v>
      </c>
      <c r="G843" s="36" t="s">
        <v>99</v>
      </c>
      <c r="H843" s="36">
        <v>619835576</v>
      </c>
    </row>
    <row r="844" spans="1:8" x14ac:dyDescent="0.45">
      <c r="A844" s="36">
        <v>1714348651</v>
      </c>
      <c r="B844" s="36" t="s">
        <v>931</v>
      </c>
      <c r="C844" s="36" t="s">
        <v>877</v>
      </c>
      <c r="D844" s="36" t="s">
        <v>88</v>
      </c>
      <c r="E844" s="164">
        <v>46184</v>
      </c>
      <c r="F844" s="166">
        <v>20</v>
      </c>
      <c r="G844" s="36" t="s">
        <v>99</v>
      </c>
      <c r="H844" s="36">
        <v>56625601</v>
      </c>
    </row>
    <row r="845" spans="1:8" x14ac:dyDescent="0.45">
      <c r="A845" s="36">
        <v>1801336106</v>
      </c>
      <c r="B845" s="36" t="s">
        <v>932</v>
      </c>
      <c r="C845" s="36" t="s">
        <v>877</v>
      </c>
      <c r="D845" s="36" t="s">
        <v>88</v>
      </c>
      <c r="E845" s="164">
        <v>46184</v>
      </c>
      <c r="F845" s="166">
        <v>20</v>
      </c>
      <c r="G845" s="36" t="s">
        <v>96</v>
      </c>
      <c r="H845" s="36">
        <v>703165020900</v>
      </c>
    </row>
    <row r="846" spans="1:8" x14ac:dyDescent="0.45">
      <c r="A846" s="36">
        <v>1712750023</v>
      </c>
      <c r="B846" s="36" t="s">
        <v>933</v>
      </c>
      <c r="C846" s="36" t="s">
        <v>934</v>
      </c>
      <c r="D846" s="36" t="s">
        <v>746</v>
      </c>
      <c r="E846" s="164">
        <v>46184</v>
      </c>
      <c r="F846" s="166">
        <v>44</v>
      </c>
      <c r="G846" s="36" t="s">
        <v>96</v>
      </c>
      <c r="H846" s="36">
        <v>22100</v>
      </c>
    </row>
    <row r="847" spans="1:8" x14ac:dyDescent="0.45">
      <c r="A847" s="36">
        <v>1722909361</v>
      </c>
      <c r="B847" s="36" t="s">
        <v>935</v>
      </c>
      <c r="C847" s="36" t="s">
        <v>936</v>
      </c>
      <c r="D847" s="36" t="s">
        <v>88</v>
      </c>
      <c r="E847" s="164">
        <v>46184</v>
      </c>
      <c r="F847" s="166">
        <v>35</v>
      </c>
      <c r="G847" s="36" t="s">
        <v>96</v>
      </c>
      <c r="H847" s="36">
        <v>22100</v>
      </c>
    </row>
    <row r="848" spans="1:8" x14ac:dyDescent="0.45">
      <c r="A848" s="36">
        <v>1712750023</v>
      </c>
      <c r="B848" s="36" t="s">
        <v>933</v>
      </c>
      <c r="C848" s="36" t="s">
        <v>937</v>
      </c>
      <c r="D848" s="36" t="s">
        <v>88</v>
      </c>
      <c r="E848" s="164">
        <v>46184</v>
      </c>
      <c r="F848" s="166">
        <v>9</v>
      </c>
      <c r="G848" s="36" t="s">
        <v>96</v>
      </c>
      <c r="H848" s="36">
        <v>22202</v>
      </c>
    </row>
    <row r="849" spans="1:8" x14ac:dyDescent="0.45">
      <c r="A849" s="36">
        <v>1717932964</v>
      </c>
      <c r="B849" s="36" t="s">
        <v>882</v>
      </c>
      <c r="C849" s="36" t="s">
        <v>87</v>
      </c>
      <c r="D849" s="36" t="s">
        <v>746</v>
      </c>
      <c r="E849" s="164">
        <v>46184</v>
      </c>
      <c r="F849" s="166">
        <v>15</v>
      </c>
      <c r="G849" s="36" t="s">
        <v>938</v>
      </c>
      <c r="H849" s="36">
        <v>33753007</v>
      </c>
    </row>
    <row r="850" spans="1:8" x14ac:dyDescent="0.45">
      <c r="A850" s="36">
        <v>1717151136</v>
      </c>
      <c r="B850" s="36" t="s">
        <v>939</v>
      </c>
      <c r="C850" s="36" t="s">
        <v>940</v>
      </c>
      <c r="D850" s="36" t="s">
        <v>88</v>
      </c>
      <c r="E850" s="164">
        <v>46185</v>
      </c>
      <c r="F850" s="166">
        <v>23</v>
      </c>
      <c r="G850" s="36" t="s">
        <v>99</v>
      </c>
      <c r="H850" s="36">
        <v>57769154</v>
      </c>
    </row>
    <row r="851" spans="1:8" x14ac:dyDescent="0.45">
      <c r="A851" s="36">
        <v>1756301618</v>
      </c>
      <c r="B851" s="36" t="s">
        <v>941</v>
      </c>
      <c r="C851" s="36" t="s">
        <v>942</v>
      </c>
      <c r="D851" s="36" t="s">
        <v>746</v>
      </c>
      <c r="E851" s="164">
        <v>46185</v>
      </c>
      <c r="F851" s="166">
        <v>38</v>
      </c>
      <c r="G851" s="36" t="s">
        <v>99</v>
      </c>
      <c r="H851" s="36">
        <v>57769154</v>
      </c>
    </row>
    <row r="852" spans="1:8" x14ac:dyDescent="0.45">
      <c r="A852" s="36">
        <v>1723424790</v>
      </c>
      <c r="B852" s="36" t="s">
        <v>439</v>
      </c>
      <c r="C852" s="36" t="s">
        <v>484</v>
      </c>
      <c r="D852" s="36" t="s">
        <v>746</v>
      </c>
      <c r="E852" s="164">
        <v>46186</v>
      </c>
      <c r="F852" s="166">
        <v>15</v>
      </c>
      <c r="G852" s="36" t="s">
        <v>713</v>
      </c>
      <c r="H852" s="36">
        <v>20120588</v>
      </c>
    </row>
    <row r="853" spans="1:8" x14ac:dyDescent="0.45">
      <c r="A853" s="36">
        <v>1723424790</v>
      </c>
      <c r="B853" s="36" t="s">
        <v>439</v>
      </c>
      <c r="C853" s="36" t="s">
        <v>943</v>
      </c>
      <c r="D853" s="36" t="s">
        <v>746</v>
      </c>
      <c r="E853" s="164">
        <v>46186</v>
      </c>
      <c r="F853" s="166">
        <v>15</v>
      </c>
      <c r="G853" s="36" t="s">
        <v>713</v>
      </c>
      <c r="H853" s="36">
        <v>20120588</v>
      </c>
    </row>
    <row r="854" spans="1:8" x14ac:dyDescent="0.45">
      <c r="A854" s="36">
        <v>1756301618</v>
      </c>
      <c r="B854" s="36" t="s">
        <v>941</v>
      </c>
      <c r="C854" s="36" t="s">
        <v>944</v>
      </c>
      <c r="D854" s="36" t="s">
        <v>88</v>
      </c>
      <c r="E854" s="164">
        <v>46185</v>
      </c>
      <c r="F854" s="166">
        <v>2</v>
      </c>
      <c r="G854" s="36" t="s">
        <v>99</v>
      </c>
      <c r="H854" s="36">
        <v>28993021</v>
      </c>
    </row>
    <row r="855" spans="1:8" x14ac:dyDescent="0.45">
      <c r="A855" s="36">
        <v>1718093238</v>
      </c>
      <c r="B855" s="36" t="s">
        <v>486</v>
      </c>
      <c r="C855" s="36" t="s">
        <v>95</v>
      </c>
      <c r="D855" s="36" t="s">
        <v>746</v>
      </c>
      <c r="E855" s="164">
        <v>46186</v>
      </c>
      <c r="F855" s="166">
        <v>10</v>
      </c>
      <c r="G855" s="36" t="s">
        <v>713</v>
      </c>
      <c r="H855" s="36">
        <v>32373519</v>
      </c>
    </row>
    <row r="856" spans="1:8" x14ac:dyDescent="0.45">
      <c r="A856" s="36">
        <v>1725206369</v>
      </c>
      <c r="B856" s="36" t="s">
        <v>945</v>
      </c>
      <c r="C856" s="36" t="s">
        <v>95</v>
      </c>
      <c r="D856" s="36" t="s">
        <v>746</v>
      </c>
      <c r="E856" s="164">
        <v>46186</v>
      </c>
      <c r="F856" s="166">
        <v>20</v>
      </c>
      <c r="G856" s="36" t="s">
        <v>133</v>
      </c>
    </row>
    <row r="857" spans="1:8" x14ac:dyDescent="0.45">
      <c r="A857" s="36">
        <v>1725206369</v>
      </c>
      <c r="B857" s="36" t="s">
        <v>945</v>
      </c>
      <c r="C857" s="36" t="s">
        <v>946</v>
      </c>
      <c r="D857" s="36" t="s">
        <v>947</v>
      </c>
      <c r="E857" s="164">
        <v>46186</v>
      </c>
      <c r="F857" s="166">
        <v>20</v>
      </c>
      <c r="G857" s="36" t="s">
        <v>133</v>
      </c>
    </row>
    <row r="858" spans="1:8" x14ac:dyDescent="0.45">
      <c r="A858" s="36">
        <v>1725206369</v>
      </c>
      <c r="B858" s="36" t="s">
        <v>945</v>
      </c>
      <c r="C858" s="36" t="s">
        <v>948</v>
      </c>
      <c r="D858" s="36" t="s">
        <v>947</v>
      </c>
      <c r="E858" s="164">
        <v>46186</v>
      </c>
      <c r="F858" s="166">
        <v>2</v>
      </c>
      <c r="G858" s="36" t="s">
        <v>133</v>
      </c>
    </row>
    <row r="859" spans="1:8" x14ac:dyDescent="0.45">
      <c r="B859" s="36" t="s">
        <v>949</v>
      </c>
      <c r="C859" s="36" t="s">
        <v>87</v>
      </c>
      <c r="D859" s="36" t="s">
        <v>947</v>
      </c>
      <c r="E859" s="164">
        <v>46186</v>
      </c>
      <c r="F859" s="166">
        <v>15</v>
      </c>
    </row>
    <row r="860" spans="1:8" x14ac:dyDescent="0.45">
      <c r="A860" s="36">
        <v>1752842184</v>
      </c>
      <c r="B860" s="36" t="s">
        <v>950</v>
      </c>
      <c r="C860" s="36" t="s">
        <v>484</v>
      </c>
      <c r="D860" s="36" t="s">
        <v>746</v>
      </c>
      <c r="E860" s="164">
        <v>46186</v>
      </c>
      <c r="F860" s="166">
        <v>17</v>
      </c>
      <c r="G860" s="36" t="s">
        <v>713</v>
      </c>
    </row>
    <row r="861" spans="1:8" x14ac:dyDescent="0.45">
      <c r="A861" s="36">
        <v>1751554377</v>
      </c>
      <c r="B861" s="36" t="s">
        <v>951</v>
      </c>
      <c r="C861" s="36" t="s">
        <v>484</v>
      </c>
      <c r="D861" s="36" t="s">
        <v>947</v>
      </c>
      <c r="E861" s="164">
        <v>46187</v>
      </c>
      <c r="F861" s="166">
        <v>15</v>
      </c>
      <c r="G861" s="36" t="s">
        <v>89</v>
      </c>
      <c r="H861" s="36">
        <v>68078569</v>
      </c>
    </row>
    <row r="862" spans="1:8" x14ac:dyDescent="0.45">
      <c r="A862" s="36">
        <v>1718764119</v>
      </c>
      <c r="B862" s="36" t="s">
        <v>645</v>
      </c>
      <c r="C862" s="36" t="s">
        <v>95</v>
      </c>
      <c r="D862" s="36" t="s">
        <v>947</v>
      </c>
      <c r="E862" s="164">
        <v>46187</v>
      </c>
      <c r="F862" s="166">
        <v>10</v>
      </c>
      <c r="G862" s="36" t="s">
        <v>89</v>
      </c>
      <c r="H862" s="36">
        <v>82543465</v>
      </c>
    </row>
    <row r="863" spans="1:8" x14ac:dyDescent="0.45">
      <c r="A863" s="36">
        <v>1718764119</v>
      </c>
      <c r="B863" s="36" t="s">
        <v>645</v>
      </c>
      <c r="C863" s="36" t="s">
        <v>104</v>
      </c>
      <c r="D863" s="36" t="s">
        <v>947</v>
      </c>
      <c r="E863" s="164">
        <v>46187</v>
      </c>
      <c r="F863" s="166">
        <v>12</v>
      </c>
      <c r="G863" s="36" t="s">
        <v>89</v>
      </c>
      <c r="H863" s="36">
        <v>82543465</v>
      </c>
    </row>
    <row r="864" spans="1:8" x14ac:dyDescent="0.45">
      <c r="A864" s="36">
        <v>1718764119</v>
      </c>
      <c r="B864" s="36" t="s">
        <v>645</v>
      </c>
      <c r="C864" s="36" t="s">
        <v>95</v>
      </c>
      <c r="D864" s="36" t="s">
        <v>746</v>
      </c>
      <c r="E864" s="164">
        <v>46187</v>
      </c>
      <c r="F864" s="166">
        <v>10</v>
      </c>
      <c r="G864" s="36" t="s">
        <v>89</v>
      </c>
      <c r="H864" s="36">
        <v>82543465</v>
      </c>
    </row>
    <row r="865" spans="1:8" x14ac:dyDescent="0.45">
      <c r="A865" s="36">
        <v>1718764119</v>
      </c>
      <c r="B865" s="36" t="s">
        <v>645</v>
      </c>
      <c r="C865" s="36" t="s">
        <v>952</v>
      </c>
      <c r="D865" s="36" t="s">
        <v>746</v>
      </c>
      <c r="E865" s="164">
        <v>46187</v>
      </c>
      <c r="F865" s="166">
        <v>4</v>
      </c>
      <c r="G865" s="36" t="s">
        <v>89</v>
      </c>
      <c r="H865" s="36">
        <v>82543465</v>
      </c>
    </row>
    <row r="866" spans="1:8" x14ac:dyDescent="0.45">
      <c r="A866" s="36">
        <v>1718764119</v>
      </c>
      <c r="B866" s="36" t="s">
        <v>645</v>
      </c>
      <c r="C866" s="36" t="s">
        <v>104</v>
      </c>
      <c r="D866" s="36" t="s">
        <v>746</v>
      </c>
      <c r="E866" s="164">
        <v>46187</v>
      </c>
      <c r="F866" s="166">
        <v>12</v>
      </c>
      <c r="G866" s="36" t="s">
        <v>89</v>
      </c>
      <c r="H866" s="36">
        <v>82543465</v>
      </c>
    </row>
    <row r="867" spans="1:8" x14ac:dyDescent="0.45">
      <c r="A867" s="36">
        <v>2000054730</v>
      </c>
      <c r="B867" s="36" t="s">
        <v>953</v>
      </c>
      <c r="C867" s="36" t="s">
        <v>104</v>
      </c>
      <c r="D867" s="36" t="s">
        <v>947</v>
      </c>
      <c r="E867" s="164">
        <v>46187</v>
      </c>
      <c r="F867" s="166">
        <v>12</v>
      </c>
      <c r="G867" s="36" t="s">
        <v>79</v>
      </c>
    </row>
    <row r="868" spans="1:8" x14ac:dyDescent="0.45">
      <c r="A868" s="36">
        <v>2000054730</v>
      </c>
      <c r="B868" s="36" t="s">
        <v>953</v>
      </c>
      <c r="C868" s="36" t="s">
        <v>104</v>
      </c>
      <c r="D868" s="36" t="s">
        <v>746</v>
      </c>
      <c r="E868" s="164">
        <v>46187</v>
      </c>
      <c r="F868" s="166">
        <v>12</v>
      </c>
      <c r="G868" s="36" t="s">
        <v>79</v>
      </c>
    </row>
    <row r="869" spans="1:8" x14ac:dyDescent="0.45">
      <c r="A869" s="36">
        <v>1724355944</v>
      </c>
      <c r="B869" s="36" t="s">
        <v>954</v>
      </c>
      <c r="C869" s="36" t="s">
        <v>87</v>
      </c>
      <c r="D869" s="36" t="s">
        <v>88</v>
      </c>
      <c r="E869" s="164">
        <v>46189</v>
      </c>
      <c r="F869" s="166">
        <v>15</v>
      </c>
      <c r="G869" s="36" t="s">
        <v>154</v>
      </c>
      <c r="H869" s="36">
        <v>254</v>
      </c>
    </row>
    <row r="870" spans="1:8" x14ac:dyDescent="0.45">
      <c r="E870" s="164">
        <v>46190</v>
      </c>
      <c r="F870" s="166"/>
    </row>
    <row r="871" spans="1:8" x14ac:dyDescent="0.45">
      <c r="A871" s="36">
        <v>1714735311</v>
      </c>
      <c r="B871" s="36" t="s">
        <v>955</v>
      </c>
      <c r="C871" s="36" t="s">
        <v>956</v>
      </c>
      <c r="D871" s="36" t="s">
        <v>88</v>
      </c>
      <c r="E871" s="164">
        <v>46191</v>
      </c>
      <c r="F871" s="166">
        <v>20</v>
      </c>
      <c r="G871" s="36" t="s">
        <v>99</v>
      </c>
      <c r="H871" s="36">
        <v>55319757</v>
      </c>
    </row>
    <row r="872" spans="1:8" x14ac:dyDescent="0.45">
      <c r="A872" s="36">
        <v>1724076037</v>
      </c>
      <c r="B872" s="36" t="s">
        <v>957</v>
      </c>
      <c r="C872" s="36" t="s">
        <v>958</v>
      </c>
      <c r="D872" s="36" t="s">
        <v>746</v>
      </c>
      <c r="E872" s="164">
        <v>46191</v>
      </c>
      <c r="F872" s="166">
        <v>10</v>
      </c>
      <c r="G872" s="36" t="s">
        <v>154</v>
      </c>
      <c r="H872" s="36">
        <v>256</v>
      </c>
    </row>
    <row r="873" spans="1:8" x14ac:dyDescent="0.45">
      <c r="A873" s="36">
        <v>401388814</v>
      </c>
      <c r="B873" s="36" t="s">
        <v>734</v>
      </c>
      <c r="C873" s="36" t="s">
        <v>716</v>
      </c>
      <c r="D873" s="36" t="s">
        <v>88</v>
      </c>
      <c r="E873" s="164">
        <v>46191</v>
      </c>
      <c r="F873" s="166">
        <v>22</v>
      </c>
      <c r="G873" s="36" t="s">
        <v>99</v>
      </c>
      <c r="H873" s="36">
        <v>25006807</v>
      </c>
    </row>
    <row r="874" spans="1:8" x14ac:dyDescent="0.45">
      <c r="B874" s="36" t="s">
        <v>959</v>
      </c>
      <c r="C874" s="36" t="s">
        <v>960</v>
      </c>
      <c r="D874" s="36" t="s">
        <v>746</v>
      </c>
      <c r="E874" s="164">
        <v>46191</v>
      </c>
      <c r="F874" s="166">
        <v>29</v>
      </c>
      <c r="G874" s="36" t="s">
        <v>96</v>
      </c>
      <c r="H874" s="36">
        <v>231676</v>
      </c>
    </row>
    <row r="875" spans="1:8" x14ac:dyDescent="0.45">
      <c r="B875" s="36" t="s">
        <v>961</v>
      </c>
      <c r="C875" s="36" t="s">
        <v>463</v>
      </c>
      <c r="D875" s="36" t="s">
        <v>88</v>
      </c>
      <c r="E875" s="164">
        <v>46192</v>
      </c>
      <c r="F875" s="166">
        <v>22</v>
      </c>
      <c r="G875" s="36" t="s">
        <v>99</v>
      </c>
      <c r="H875" s="36">
        <v>53513224</v>
      </c>
    </row>
    <row r="876" spans="1:8" x14ac:dyDescent="0.45">
      <c r="A876" s="36">
        <v>1716954423</v>
      </c>
      <c r="B876" s="36" t="s">
        <v>710</v>
      </c>
      <c r="C876" s="36" t="s">
        <v>87</v>
      </c>
      <c r="D876" s="36" t="s">
        <v>746</v>
      </c>
      <c r="E876" s="164">
        <v>46192</v>
      </c>
      <c r="F876" s="166">
        <v>15</v>
      </c>
      <c r="G876" s="36" t="s">
        <v>99</v>
      </c>
      <c r="H876" s="36">
        <v>53096627</v>
      </c>
    </row>
    <row r="877" spans="1:8" x14ac:dyDescent="0.45">
      <c r="B877" s="36" t="s">
        <v>962</v>
      </c>
      <c r="C877" s="36" t="s">
        <v>87</v>
      </c>
      <c r="D877" s="36" t="s">
        <v>88</v>
      </c>
      <c r="E877" s="164">
        <v>46192</v>
      </c>
      <c r="F877" s="166">
        <v>15</v>
      </c>
      <c r="G877" s="36" t="s">
        <v>154</v>
      </c>
      <c r="H877" s="36">
        <v>259</v>
      </c>
    </row>
    <row r="878" spans="1:8" x14ac:dyDescent="0.45">
      <c r="B878" s="36" t="s">
        <v>963</v>
      </c>
      <c r="C878" s="36" t="s">
        <v>104</v>
      </c>
      <c r="D878" s="36" t="s">
        <v>88</v>
      </c>
      <c r="E878" s="164">
        <v>46192</v>
      </c>
      <c r="F878" s="166">
        <v>12</v>
      </c>
      <c r="G878" s="36" t="s">
        <v>154</v>
      </c>
      <c r="H878" s="36">
        <v>258</v>
      </c>
    </row>
    <row r="879" spans="1:8" x14ac:dyDescent="0.45">
      <c r="B879" s="36" t="s">
        <v>963</v>
      </c>
      <c r="C879" s="36" t="s">
        <v>964</v>
      </c>
      <c r="D879" s="36" t="s">
        <v>746</v>
      </c>
      <c r="E879" s="164">
        <v>46192</v>
      </c>
      <c r="F879" s="166">
        <v>10</v>
      </c>
      <c r="G879" s="36" t="s">
        <v>154</v>
      </c>
      <c r="H879" s="36">
        <v>258</v>
      </c>
    </row>
    <row r="880" spans="1:8" x14ac:dyDescent="0.45">
      <c r="A880" s="74">
        <v>1750095802</v>
      </c>
      <c r="B880" s="74" t="s">
        <v>965</v>
      </c>
      <c r="E880" s="164">
        <v>46192</v>
      </c>
      <c r="F880" s="166"/>
    </row>
    <row r="881" spans="1:8" x14ac:dyDescent="0.45">
      <c r="A881" s="36">
        <v>1707779961</v>
      </c>
      <c r="B881" s="36" t="s">
        <v>966</v>
      </c>
      <c r="C881" s="36" t="s">
        <v>34</v>
      </c>
      <c r="D881" s="36" t="s">
        <v>88</v>
      </c>
      <c r="E881" s="164">
        <v>46193</v>
      </c>
      <c r="F881" s="166">
        <v>12</v>
      </c>
      <c r="G881" s="36" t="s">
        <v>133</v>
      </c>
    </row>
    <row r="882" spans="1:8" x14ac:dyDescent="0.45">
      <c r="A882" s="36">
        <v>1707779961</v>
      </c>
      <c r="B882" s="36" t="s">
        <v>966</v>
      </c>
      <c r="C882" s="36" t="s">
        <v>70</v>
      </c>
      <c r="D882" s="36" t="s">
        <v>746</v>
      </c>
      <c r="E882" s="164">
        <v>46193</v>
      </c>
      <c r="F882" s="166">
        <v>15</v>
      </c>
      <c r="G882" s="36" t="s">
        <v>133</v>
      </c>
    </row>
    <row r="883" spans="1:8" x14ac:dyDescent="0.45">
      <c r="B883" s="36" t="s">
        <v>71</v>
      </c>
      <c r="C883" s="36" t="s">
        <v>270</v>
      </c>
      <c r="D883" s="36" t="s">
        <v>746</v>
      </c>
      <c r="E883" s="164">
        <v>46193</v>
      </c>
      <c r="F883" s="166"/>
    </row>
    <row r="884" spans="1:8" x14ac:dyDescent="0.45">
      <c r="A884" s="36">
        <v>1709047482</v>
      </c>
      <c r="B884" s="36" t="s">
        <v>967</v>
      </c>
      <c r="C884" s="36" t="s">
        <v>368</v>
      </c>
      <c r="D884" s="36" t="s">
        <v>88</v>
      </c>
      <c r="E884" s="164">
        <v>46193</v>
      </c>
      <c r="F884" s="166">
        <v>20</v>
      </c>
      <c r="G884" s="36" t="s">
        <v>55</v>
      </c>
    </row>
    <row r="885" spans="1:8" x14ac:dyDescent="0.45">
      <c r="B885" s="36" t="s">
        <v>968</v>
      </c>
      <c r="C885" s="36" t="s">
        <v>270</v>
      </c>
      <c r="D885" s="36" t="s">
        <v>947</v>
      </c>
      <c r="E885" s="164">
        <v>46193</v>
      </c>
      <c r="F885" s="166">
        <v>10</v>
      </c>
      <c r="G885" s="36" t="s">
        <v>89</v>
      </c>
    </row>
    <row r="886" spans="1:8" x14ac:dyDescent="0.45">
      <c r="A886" s="36">
        <v>1719118695</v>
      </c>
      <c r="B886" s="36" t="s">
        <v>347</v>
      </c>
      <c r="C886" s="36" t="s">
        <v>969</v>
      </c>
      <c r="D886" s="36" t="s">
        <v>947</v>
      </c>
      <c r="E886" s="164">
        <v>46193</v>
      </c>
      <c r="F886" s="166">
        <v>18</v>
      </c>
      <c r="G886" s="36" t="s">
        <v>58</v>
      </c>
    </row>
    <row r="887" spans="1:8" x14ac:dyDescent="0.45">
      <c r="A887" s="36">
        <v>1715072128</v>
      </c>
      <c r="B887" s="36" t="s">
        <v>970</v>
      </c>
      <c r="C887" s="36" t="s">
        <v>70</v>
      </c>
      <c r="D887" s="36" t="s">
        <v>746</v>
      </c>
      <c r="E887" s="164">
        <v>46193</v>
      </c>
      <c r="F887" s="166">
        <v>15</v>
      </c>
      <c r="G887" s="36" t="s">
        <v>58</v>
      </c>
    </row>
    <row r="888" spans="1:8" x14ac:dyDescent="0.45">
      <c r="B888" s="36" t="s">
        <v>971</v>
      </c>
      <c r="C888" s="36" t="s">
        <v>972</v>
      </c>
      <c r="D888" s="36" t="s">
        <v>746</v>
      </c>
      <c r="E888" s="164">
        <v>46194</v>
      </c>
      <c r="F888" s="166">
        <v>4</v>
      </c>
      <c r="G888" s="36" t="s">
        <v>55</v>
      </c>
    </row>
    <row r="889" spans="1:8" x14ac:dyDescent="0.45">
      <c r="A889" s="36">
        <v>1721946067</v>
      </c>
      <c r="B889" s="36" t="s">
        <v>74</v>
      </c>
      <c r="C889" s="36" t="s">
        <v>973</v>
      </c>
      <c r="D889" s="36" t="s">
        <v>947</v>
      </c>
      <c r="E889" s="168">
        <v>46194</v>
      </c>
      <c r="F889" s="166">
        <f>15+6+1</f>
        <v>22</v>
      </c>
    </row>
    <row r="890" spans="1:8" x14ac:dyDescent="0.45">
      <c r="A890" s="36">
        <v>1721946067</v>
      </c>
      <c r="B890" s="36" t="s">
        <v>74</v>
      </c>
      <c r="C890" s="36" t="s">
        <v>974</v>
      </c>
      <c r="D890" s="36" t="s">
        <v>746</v>
      </c>
      <c r="E890" s="168">
        <v>46194</v>
      </c>
      <c r="F890" s="166">
        <v>19</v>
      </c>
    </row>
    <row r="891" spans="1:8" x14ac:dyDescent="0.45">
      <c r="A891" s="36">
        <v>1716971575</v>
      </c>
      <c r="B891" s="36" t="s">
        <v>975</v>
      </c>
      <c r="C891" s="36" t="s">
        <v>270</v>
      </c>
      <c r="D891" s="36" t="s">
        <v>947</v>
      </c>
      <c r="E891" s="164">
        <v>46194</v>
      </c>
      <c r="F891" s="166">
        <v>10</v>
      </c>
      <c r="G891" s="36" t="s">
        <v>133</v>
      </c>
    </row>
    <row r="892" spans="1:8" x14ac:dyDescent="0.45">
      <c r="A892" s="36">
        <v>1716971575</v>
      </c>
      <c r="B892" s="36" t="s">
        <v>975</v>
      </c>
      <c r="C892" s="36" t="s">
        <v>259</v>
      </c>
      <c r="D892" s="36" t="s">
        <v>746</v>
      </c>
      <c r="E892" s="164">
        <v>46194</v>
      </c>
      <c r="F892" s="166">
        <v>12</v>
      </c>
      <c r="G892" s="36" t="s">
        <v>133</v>
      </c>
    </row>
    <row r="893" spans="1:8" x14ac:dyDescent="0.45">
      <c r="A893" s="36">
        <v>601166193</v>
      </c>
      <c r="B893" s="36" t="s">
        <v>928</v>
      </c>
      <c r="C893" s="36" t="s">
        <v>359</v>
      </c>
      <c r="D893" s="36" t="s">
        <v>88</v>
      </c>
      <c r="E893" s="164">
        <v>46195</v>
      </c>
      <c r="F893" s="166">
        <v>5</v>
      </c>
      <c r="G893" s="36" t="s">
        <v>79</v>
      </c>
    </row>
    <row r="894" spans="1:8" x14ac:dyDescent="0.45">
      <c r="B894" s="36" t="s">
        <v>267</v>
      </c>
      <c r="C894" s="36" t="s">
        <v>877</v>
      </c>
      <c r="D894" s="36" t="s">
        <v>88</v>
      </c>
      <c r="E894" s="164">
        <v>46195</v>
      </c>
      <c r="F894" s="166">
        <v>20</v>
      </c>
      <c r="G894" s="36" t="s">
        <v>99</v>
      </c>
      <c r="H894" s="36">
        <v>158668611</v>
      </c>
    </row>
    <row r="895" spans="1:8" x14ac:dyDescent="0.45">
      <c r="B895" s="36" t="s">
        <v>751</v>
      </c>
      <c r="C895" s="36" t="s">
        <v>484</v>
      </c>
      <c r="D895" s="36" t="s">
        <v>746</v>
      </c>
      <c r="E895" s="164">
        <v>46196</v>
      </c>
      <c r="F895" s="166">
        <v>15</v>
      </c>
      <c r="G895" s="36" t="s">
        <v>99</v>
      </c>
      <c r="H895" s="36">
        <v>31985399</v>
      </c>
    </row>
    <row r="896" spans="1:8" x14ac:dyDescent="0.45">
      <c r="A896" s="36">
        <v>1721675153</v>
      </c>
      <c r="B896" s="36" t="s">
        <v>426</v>
      </c>
      <c r="C896" s="36" t="s">
        <v>976</v>
      </c>
      <c r="D896" s="36" t="s">
        <v>746</v>
      </c>
      <c r="E896" s="164">
        <v>46196</v>
      </c>
      <c r="F896" s="166">
        <v>46</v>
      </c>
      <c r="G896" s="36" t="s">
        <v>96</v>
      </c>
      <c r="H896" s="36">
        <v>58450198</v>
      </c>
    </row>
    <row r="897" spans="1:8" x14ac:dyDescent="0.45">
      <c r="A897" s="36">
        <v>1712991023</v>
      </c>
      <c r="B897" s="36" t="s">
        <v>977</v>
      </c>
      <c r="C897" s="36" t="s">
        <v>463</v>
      </c>
      <c r="D897" s="36" t="s">
        <v>88</v>
      </c>
      <c r="E897" s="164">
        <v>46197</v>
      </c>
      <c r="F897" s="166">
        <v>22</v>
      </c>
      <c r="G897" s="36" t="s">
        <v>79</v>
      </c>
    </row>
    <row r="898" spans="1:8" x14ac:dyDescent="0.45">
      <c r="A898" s="36">
        <v>1719320655</v>
      </c>
      <c r="B898" s="36" t="s">
        <v>978</v>
      </c>
      <c r="C898" s="36" t="s">
        <v>770</v>
      </c>
      <c r="D898" s="36" t="s">
        <v>746</v>
      </c>
      <c r="E898" s="164">
        <v>46197</v>
      </c>
      <c r="F898" s="166">
        <v>24</v>
      </c>
      <c r="G898" s="36" t="s">
        <v>99</v>
      </c>
      <c r="H898" s="36">
        <v>51822789</v>
      </c>
    </row>
    <row r="899" spans="1:8" x14ac:dyDescent="0.45">
      <c r="A899" s="36">
        <v>1721555850</v>
      </c>
      <c r="B899" s="36" t="s">
        <v>891</v>
      </c>
      <c r="C899" s="36" t="s">
        <v>979</v>
      </c>
      <c r="D899" s="36" t="s">
        <v>88</v>
      </c>
      <c r="E899" s="164">
        <v>46198</v>
      </c>
      <c r="F899" s="166">
        <v>32</v>
      </c>
      <c r="G899" s="36" t="s">
        <v>79</v>
      </c>
    </row>
    <row r="900" spans="1:8" x14ac:dyDescent="0.45">
      <c r="A900" s="36">
        <v>1714650379</v>
      </c>
      <c r="B900" s="36" t="s">
        <v>637</v>
      </c>
      <c r="C900" s="36" t="s">
        <v>980</v>
      </c>
      <c r="D900" s="36" t="s">
        <v>88</v>
      </c>
      <c r="E900" s="164">
        <v>46198</v>
      </c>
      <c r="F900" s="166">
        <v>33</v>
      </c>
      <c r="G900" s="36" t="s">
        <v>99</v>
      </c>
      <c r="H900" s="36">
        <v>26093718</v>
      </c>
    </row>
    <row r="901" spans="1:8" x14ac:dyDescent="0.45">
      <c r="A901" s="36">
        <v>1726893504</v>
      </c>
      <c r="B901" s="36" t="s">
        <v>981</v>
      </c>
      <c r="C901" s="36" t="s">
        <v>87</v>
      </c>
      <c r="D901" s="36" t="s">
        <v>746</v>
      </c>
      <c r="E901" s="164">
        <v>46198</v>
      </c>
      <c r="F901" s="166">
        <v>15</v>
      </c>
      <c r="G901" s="36" t="s">
        <v>154</v>
      </c>
      <c r="H901" s="36">
        <v>266</v>
      </c>
    </row>
    <row r="902" spans="1:8" x14ac:dyDescent="0.45">
      <c r="A902" s="36">
        <v>179952289</v>
      </c>
      <c r="B902" s="36" t="s">
        <v>982</v>
      </c>
      <c r="C902" s="36" t="s">
        <v>327</v>
      </c>
      <c r="D902" s="36" t="s">
        <v>88</v>
      </c>
      <c r="E902" s="164">
        <v>46198</v>
      </c>
      <c r="F902" s="166">
        <v>23</v>
      </c>
      <c r="G902" s="36" t="s">
        <v>154</v>
      </c>
      <c r="H902" s="36">
        <v>267</v>
      </c>
    </row>
    <row r="903" spans="1:8" x14ac:dyDescent="0.45">
      <c r="A903" s="36">
        <v>179952289</v>
      </c>
      <c r="B903" s="36" t="s">
        <v>982</v>
      </c>
      <c r="C903" s="36" t="s">
        <v>300</v>
      </c>
      <c r="D903" s="36" t="s">
        <v>746</v>
      </c>
      <c r="E903" s="164">
        <v>46198</v>
      </c>
      <c r="F903" s="166">
        <v>10</v>
      </c>
      <c r="G903" s="36" t="s">
        <v>154</v>
      </c>
      <c r="H903" s="36">
        <v>267</v>
      </c>
    </row>
    <row r="904" spans="1:8" x14ac:dyDescent="0.45">
      <c r="A904" s="36">
        <v>1707963227</v>
      </c>
      <c r="B904" s="36" t="s">
        <v>77</v>
      </c>
      <c r="C904" s="36" t="s">
        <v>698</v>
      </c>
      <c r="D904" s="36" t="s">
        <v>746</v>
      </c>
      <c r="E904" s="164">
        <v>46198</v>
      </c>
      <c r="F904" s="166">
        <v>20</v>
      </c>
    </row>
    <row r="905" spans="1:8" x14ac:dyDescent="0.45">
      <c r="A905" s="36">
        <v>930394861</v>
      </c>
      <c r="B905" s="36" t="s">
        <v>983</v>
      </c>
      <c r="C905" s="36" t="s">
        <v>455</v>
      </c>
      <c r="D905" s="36" t="s">
        <v>88</v>
      </c>
      <c r="E905" s="164">
        <v>46198</v>
      </c>
      <c r="F905" s="166">
        <v>10</v>
      </c>
      <c r="G905" s="36" t="s">
        <v>99</v>
      </c>
      <c r="H905" s="36">
        <v>49990438</v>
      </c>
    </row>
    <row r="906" spans="1:8" x14ac:dyDescent="0.45">
      <c r="A906" s="36">
        <v>1753278652</v>
      </c>
      <c r="B906" s="36" t="s">
        <v>984</v>
      </c>
      <c r="C906" s="36" t="s">
        <v>359</v>
      </c>
      <c r="D906" s="36" t="s">
        <v>88</v>
      </c>
      <c r="E906" s="164">
        <v>46199</v>
      </c>
      <c r="F906" s="166">
        <v>5</v>
      </c>
      <c r="G906" s="36" t="s">
        <v>99</v>
      </c>
      <c r="H906" s="36">
        <v>13737640</v>
      </c>
    </row>
    <row r="907" spans="1:8" x14ac:dyDescent="0.45">
      <c r="A907" s="36">
        <v>1716270929</v>
      </c>
      <c r="B907" s="36" t="s">
        <v>985</v>
      </c>
      <c r="C907" s="36" t="s">
        <v>716</v>
      </c>
      <c r="D907" s="36" t="s">
        <v>746</v>
      </c>
      <c r="E907" s="164">
        <v>46199</v>
      </c>
      <c r="F907" s="166">
        <v>21</v>
      </c>
      <c r="G907" s="36" t="s">
        <v>154</v>
      </c>
      <c r="H907" s="36">
        <v>269</v>
      </c>
    </row>
    <row r="908" spans="1:8" x14ac:dyDescent="0.45">
      <c r="A908" s="36">
        <v>1716270929</v>
      </c>
      <c r="B908" s="36" t="s">
        <v>985</v>
      </c>
      <c r="C908" s="36" t="s">
        <v>87</v>
      </c>
      <c r="D908" s="36" t="s">
        <v>88</v>
      </c>
      <c r="E908" s="164">
        <v>46199</v>
      </c>
      <c r="F908" s="166">
        <v>15</v>
      </c>
      <c r="G908" s="36" t="s">
        <v>154</v>
      </c>
      <c r="H908" s="36">
        <v>269</v>
      </c>
    </row>
    <row r="909" spans="1:8" x14ac:dyDescent="0.45">
      <c r="B909" s="36" t="s">
        <v>986</v>
      </c>
      <c r="C909" s="36" t="s">
        <v>709</v>
      </c>
      <c r="D909" s="36" t="s">
        <v>746</v>
      </c>
      <c r="E909" s="164">
        <v>46199</v>
      </c>
      <c r="F909" s="166">
        <v>10</v>
      </c>
      <c r="G909" s="36" t="s">
        <v>99</v>
      </c>
      <c r="H909" s="36">
        <v>19471465</v>
      </c>
    </row>
    <row r="910" spans="1:8" x14ac:dyDescent="0.45">
      <c r="A910" s="36">
        <v>1713498507</v>
      </c>
      <c r="B910" s="36" t="s">
        <v>987</v>
      </c>
      <c r="C910" s="36" t="s">
        <v>104</v>
      </c>
      <c r="D910" s="36" t="s">
        <v>88</v>
      </c>
      <c r="E910" s="164">
        <v>46199</v>
      </c>
      <c r="F910" s="166">
        <v>12</v>
      </c>
      <c r="G910" s="36" t="s">
        <v>99</v>
      </c>
      <c r="H910" s="36">
        <v>41836118</v>
      </c>
    </row>
    <row r="911" spans="1:8" x14ac:dyDescent="0.45">
      <c r="A911" s="36">
        <v>1713498507</v>
      </c>
      <c r="B911" s="36" t="s">
        <v>987</v>
      </c>
      <c r="C911" s="36" t="s">
        <v>698</v>
      </c>
      <c r="D911" s="36" t="s">
        <v>746</v>
      </c>
      <c r="E911" s="164">
        <v>46199</v>
      </c>
      <c r="F911" s="166">
        <v>20</v>
      </c>
      <c r="G911" s="36" t="s">
        <v>99</v>
      </c>
      <c r="H911" s="36">
        <v>41836118</v>
      </c>
    </row>
    <row r="912" spans="1:8" x14ac:dyDescent="0.45">
      <c r="A912" s="36">
        <v>1720921368</v>
      </c>
      <c r="B912" s="36" t="s">
        <v>988</v>
      </c>
      <c r="C912" s="36" t="s">
        <v>87</v>
      </c>
      <c r="D912" s="36" t="s">
        <v>88</v>
      </c>
      <c r="E912" s="164">
        <v>46199</v>
      </c>
      <c r="F912" s="166">
        <v>15</v>
      </c>
      <c r="G912" s="36" t="s">
        <v>99</v>
      </c>
      <c r="H912" s="36">
        <v>47128240</v>
      </c>
    </row>
    <row r="913" spans="1:8" x14ac:dyDescent="0.45">
      <c r="A913" s="36">
        <v>1751817857</v>
      </c>
      <c r="B913" s="36" t="s">
        <v>989</v>
      </c>
      <c r="C913" s="36" t="s">
        <v>990</v>
      </c>
      <c r="D913" s="36" t="s">
        <v>746</v>
      </c>
      <c r="E913" s="164">
        <v>46199</v>
      </c>
      <c r="F913" s="166">
        <v>15</v>
      </c>
      <c r="G913" s="36" t="s">
        <v>99</v>
      </c>
      <c r="H913" s="36">
        <v>51347957</v>
      </c>
    </row>
    <row r="914" spans="1:8" x14ac:dyDescent="0.45">
      <c r="A914" s="36">
        <v>1707733745</v>
      </c>
      <c r="B914" s="36" t="s">
        <v>991</v>
      </c>
      <c r="C914" s="36" t="s">
        <v>992</v>
      </c>
      <c r="D914" s="36" t="s">
        <v>746</v>
      </c>
      <c r="E914" s="164">
        <v>46200</v>
      </c>
      <c r="F914" s="166">
        <v>16</v>
      </c>
      <c r="G914" s="36" t="s">
        <v>89</v>
      </c>
    </row>
    <row r="915" spans="1:8" x14ac:dyDescent="0.45">
      <c r="A915" s="36">
        <v>1705676912001</v>
      </c>
      <c r="B915" s="36" t="s">
        <v>993</v>
      </c>
      <c r="C915" s="36" t="s">
        <v>994</v>
      </c>
      <c r="D915" s="36" t="s">
        <v>88</v>
      </c>
      <c r="E915" s="164">
        <v>46200</v>
      </c>
      <c r="F915" s="166">
        <v>20</v>
      </c>
      <c r="G915" s="36" t="s">
        <v>89</v>
      </c>
    </row>
    <row r="916" spans="1:8" x14ac:dyDescent="0.45">
      <c r="A916" s="36">
        <v>1714735311</v>
      </c>
      <c r="B916" s="36" t="s">
        <v>995</v>
      </c>
      <c r="C916" s="36" t="s">
        <v>580</v>
      </c>
      <c r="D916" s="36" t="s">
        <v>746</v>
      </c>
      <c r="E916" s="164">
        <v>46200</v>
      </c>
      <c r="F916" s="166">
        <v>4</v>
      </c>
      <c r="G916" s="36" t="s">
        <v>89</v>
      </c>
    </row>
    <row r="917" spans="1:8" x14ac:dyDescent="0.45">
      <c r="B917" s="36" t="s">
        <v>996</v>
      </c>
      <c r="C917" s="36" t="s">
        <v>997</v>
      </c>
      <c r="D917" s="36" t="s">
        <v>746</v>
      </c>
      <c r="E917" s="164">
        <v>46200</v>
      </c>
      <c r="F917" s="166">
        <v>15</v>
      </c>
      <c r="G917" s="36" t="s">
        <v>89</v>
      </c>
    </row>
    <row r="918" spans="1:8" x14ac:dyDescent="0.45">
      <c r="A918" s="36">
        <v>1713498507</v>
      </c>
      <c r="B918" s="36" t="s">
        <v>998</v>
      </c>
      <c r="C918" s="36" t="s">
        <v>999</v>
      </c>
      <c r="D918" s="36" t="s">
        <v>88</v>
      </c>
      <c r="E918" s="164">
        <v>46200</v>
      </c>
      <c r="F918" s="166">
        <v>23</v>
      </c>
      <c r="G918" s="36" t="s">
        <v>89</v>
      </c>
    </row>
    <row r="919" spans="1:8" x14ac:dyDescent="0.45">
      <c r="A919" s="36">
        <v>1713498507</v>
      </c>
      <c r="B919" s="36" t="s">
        <v>1000</v>
      </c>
      <c r="C919" s="36" t="s">
        <v>1001</v>
      </c>
      <c r="D919" s="36" t="s">
        <v>746</v>
      </c>
      <c r="E919" s="164">
        <v>46200</v>
      </c>
      <c r="F919" s="166">
        <f>10+4+15+20</f>
        <v>49</v>
      </c>
      <c r="G919" s="36" t="s">
        <v>89</v>
      </c>
    </row>
    <row r="920" spans="1:8" x14ac:dyDescent="0.45">
      <c r="A920" s="36">
        <v>1720226214</v>
      </c>
      <c r="B920" s="36" t="s">
        <v>772</v>
      </c>
      <c r="C920" s="36" t="s">
        <v>969</v>
      </c>
      <c r="D920" s="36" t="s">
        <v>88</v>
      </c>
      <c r="E920" s="164">
        <v>46200</v>
      </c>
      <c r="F920" s="166">
        <f>15+6</f>
        <v>21</v>
      </c>
      <c r="G920" s="36" t="s">
        <v>58</v>
      </c>
    </row>
    <row r="921" spans="1:8" x14ac:dyDescent="0.45">
      <c r="A921" s="36">
        <v>1720226214</v>
      </c>
      <c r="B921" s="36" t="s">
        <v>772</v>
      </c>
      <c r="C921" s="36" t="s">
        <v>139</v>
      </c>
      <c r="D921" s="36" t="s">
        <v>746</v>
      </c>
      <c r="E921" s="164">
        <v>46200</v>
      </c>
      <c r="F921" s="166">
        <v>17</v>
      </c>
      <c r="G921" s="36" t="s">
        <v>58</v>
      </c>
    </row>
    <row r="922" spans="1:8" x14ac:dyDescent="0.45">
      <c r="A922" s="36">
        <v>1709047482</v>
      </c>
      <c r="B922" s="36" t="s">
        <v>894</v>
      </c>
      <c r="C922" s="36" t="s">
        <v>104</v>
      </c>
      <c r="D922" s="36" t="s">
        <v>88</v>
      </c>
      <c r="E922" s="164">
        <v>46201</v>
      </c>
      <c r="F922" s="166">
        <v>12</v>
      </c>
      <c r="G922" s="36" t="s">
        <v>89</v>
      </c>
      <c r="H922" s="36">
        <v>65078099</v>
      </c>
    </row>
    <row r="923" spans="1:8" x14ac:dyDescent="0.45">
      <c r="A923" s="36">
        <v>1709047482</v>
      </c>
      <c r="B923" s="36" t="s">
        <v>894</v>
      </c>
      <c r="C923" s="36" t="s">
        <v>95</v>
      </c>
      <c r="D923" s="36" t="s">
        <v>746</v>
      </c>
      <c r="E923" s="164">
        <v>46201</v>
      </c>
      <c r="F923" s="166">
        <v>10</v>
      </c>
      <c r="G923" s="36" t="s">
        <v>89</v>
      </c>
      <c r="H923" s="36">
        <v>65078099</v>
      </c>
    </row>
    <row r="924" spans="1:8" x14ac:dyDescent="0.45">
      <c r="B924" s="36" t="s">
        <v>74</v>
      </c>
      <c r="C924" s="36" t="s">
        <v>1002</v>
      </c>
      <c r="E924" s="164">
        <v>46201</v>
      </c>
      <c r="F924" s="166"/>
    </row>
    <row r="925" spans="1:8" x14ac:dyDescent="0.45">
      <c r="A925" s="36">
        <v>1750946731</v>
      </c>
      <c r="B925" s="36" t="s">
        <v>1003</v>
      </c>
      <c r="C925" s="36" t="s">
        <v>160</v>
      </c>
      <c r="D925" s="36" t="s">
        <v>88</v>
      </c>
      <c r="E925" s="164">
        <v>46201</v>
      </c>
      <c r="F925" s="166">
        <v>15</v>
      </c>
      <c r="G925" s="36" t="s">
        <v>89</v>
      </c>
      <c r="H925" s="36">
        <v>76467803</v>
      </c>
    </row>
    <row r="926" spans="1:8" x14ac:dyDescent="0.45">
      <c r="A926" s="36">
        <v>1713500245</v>
      </c>
      <c r="B926" s="36" t="s">
        <v>1004</v>
      </c>
      <c r="C926" s="36" t="s">
        <v>87</v>
      </c>
      <c r="D926" s="36" t="s">
        <v>88</v>
      </c>
      <c r="E926" s="164">
        <v>46202</v>
      </c>
      <c r="F926" s="166">
        <v>15</v>
      </c>
      <c r="G926" s="36" t="s">
        <v>79</v>
      </c>
    </row>
    <row r="927" spans="1:8" x14ac:dyDescent="0.45">
      <c r="A927" s="36">
        <v>1718740796</v>
      </c>
      <c r="B927" s="36" t="s">
        <v>778</v>
      </c>
      <c r="C927" s="36" t="s">
        <v>1005</v>
      </c>
      <c r="D927" s="36" t="s">
        <v>88</v>
      </c>
      <c r="E927" s="164">
        <v>46202</v>
      </c>
      <c r="F927" s="166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3"/>
  <sheetViews>
    <sheetView tabSelected="1" workbookViewId="0">
      <selection activeCell="F20" sqref="F20"/>
    </sheetView>
  </sheetViews>
  <sheetFormatPr baseColWidth="10" defaultRowHeight="14.4" x14ac:dyDescent="0.3"/>
  <sheetData>
    <row r="2" spans="3:4" x14ac:dyDescent="0.3">
      <c r="C2" t="s">
        <v>1588</v>
      </c>
      <c r="D2" t="s">
        <v>1589</v>
      </c>
    </row>
    <row r="3" spans="3:4" x14ac:dyDescent="0.3">
      <c r="C3" t="s">
        <v>1590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"/>
  <sheetViews>
    <sheetView topLeftCell="A100" workbookViewId="0">
      <selection activeCell="D2" sqref="D2"/>
    </sheetView>
  </sheetViews>
  <sheetFormatPr baseColWidth="10" defaultColWidth="12" defaultRowHeight="14.4" x14ac:dyDescent="0.3"/>
  <cols>
    <col min="1" max="1" width="10.5546875" style="169" bestFit="1" customWidth="1"/>
    <col min="2" max="2" width="16.44140625" style="169" bestFit="1" customWidth="1"/>
    <col min="3" max="3" width="12" style="260"/>
    <col min="4" max="5" width="12" style="169"/>
    <col min="6" max="6" width="12" style="260"/>
    <col min="7" max="16384" width="12" style="169"/>
  </cols>
  <sheetData>
    <row r="1" spans="1:6" ht="16.2" thickBot="1" x14ac:dyDescent="0.35">
      <c r="A1" s="248" t="s">
        <v>46</v>
      </c>
      <c r="B1" s="248" t="s">
        <v>1591</v>
      </c>
      <c r="C1" s="249" t="s">
        <v>1592</v>
      </c>
      <c r="D1" s="248" t="s">
        <v>1593</v>
      </c>
      <c r="E1" s="248" t="s">
        <v>1594</v>
      </c>
      <c r="F1" s="249" t="s">
        <v>1595</v>
      </c>
    </row>
    <row r="2" spans="1:6" x14ac:dyDescent="0.3">
      <c r="A2" s="300">
        <v>46011</v>
      </c>
      <c r="B2" s="302" t="s">
        <v>1596</v>
      </c>
      <c r="C2" s="250">
        <v>0.13</v>
      </c>
      <c r="D2" s="251" t="s">
        <v>1597</v>
      </c>
      <c r="E2" s="251">
        <v>0</v>
      </c>
      <c r="F2" s="252">
        <f t="shared" ref="F2:F65" si="0">C2*E2</f>
        <v>0</v>
      </c>
    </row>
    <row r="3" spans="1:6" ht="15" thickBot="1" x14ac:dyDescent="0.35">
      <c r="A3" s="301"/>
      <c r="B3" s="303"/>
      <c r="C3" s="253">
        <v>149.87</v>
      </c>
      <c r="D3" s="254" t="s">
        <v>1598</v>
      </c>
      <c r="E3" s="254">
        <v>0</v>
      </c>
      <c r="F3" s="255">
        <f t="shared" si="0"/>
        <v>0</v>
      </c>
    </row>
    <row r="4" spans="1:6" x14ac:dyDescent="0.3">
      <c r="A4" s="300">
        <v>46011</v>
      </c>
      <c r="B4" s="302" t="s">
        <v>1599</v>
      </c>
      <c r="C4" s="250">
        <v>0.13</v>
      </c>
      <c r="D4" s="251" t="s">
        <v>1597</v>
      </c>
      <c r="E4" s="251">
        <v>0</v>
      </c>
      <c r="F4" s="252">
        <f t="shared" si="0"/>
        <v>0</v>
      </c>
    </row>
    <row r="5" spans="1:6" ht="15" thickBot="1" x14ac:dyDescent="0.35">
      <c r="A5" s="301"/>
      <c r="B5" s="303"/>
      <c r="C5" s="253">
        <v>1.87</v>
      </c>
      <c r="D5" s="254" t="s">
        <v>1598</v>
      </c>
      <c r="E5" s="254">
        <v>0</v>
      </c>
      <c r="F5" s="255">
        <f t="shared" si="0"/>
        <v>0</v>
      </c>
    </row>
    <row r="6" spans="1:6" x14ac:dyDescent="0.3">
      <c r="A6" s="300">
        <v>46018</v>
      </c>
      <c r="B6" s="302" t="s">
        <v>1600</v>
      </c>
      <c r="C6" s="250">
        <v>0</v>
      </c>
      <c r="D6" s="251" t="s">
        <v>1597</v>
      </c>
      <c r="E6" s="251">
        <v>0</v>
      </c>
      <c r="F6" s="252">
        <f t="shared" si="0"/>
        <v>0</v>
      </c>
    </row>
    <row r="7" spans="1:6" ht="15" thickBot="1" x14ac:dyDescent="0.35">
      <c r="A7" s="301"/>
      <c r="B7" s="303"/>
      <c r="C7" s="253">
        <v>162</v>
      </c>
      <c r="D7" s="254" t="s">
        <v>1598</v>
      </c>
      <c r="E7" s="254">
        <v>0</v>
      </c>
      <c r="F7" s="255">
        <f t="shared" si="0"/>
        <v>0</v>
      </c>
    </row>
    <row r="8" spans="1:6" ht="16.2" thickBot="1" x14ac:dyDescent="0.35">
      <c r="A8" s="297" t="s">
        <v>1372</v>
      </c>
      <c r="B8" s="298"/>
      <c r="C8" s="298"/>
      <c r="D8" s="298"/>
      <c r="E8" s="298"/>
      <c r="F8" s="299"/>
    </row>
    <row r="9" spans="1:6" x14ac:dyDescent="0.3">
      <c r="A9" s="293">
        <v>46023</v>
      </c>
      <c r="B9" s="295" t="s">
        <v>1601</v>
      </c>
      <c r="C9" s="250">
        <v>0</v>
      </c>
      <c r="D9" s="251" t="s">
        <v>1597</v>
      </c>
      <c r="E9" s="251">
        <v>0</v>
      </c>
      <c r="F9" s="252">
        <f t="shared" si="0"/>
        <v>0</v>
      </c>
    </row>
    <row r="10" spans="1:6" ht="15" thickBot="1" x14ac:dyDescent="0.35">
      <c r="A10" s="294"/>
      <c r="B10" s="296"/>
      <c r="C10" s="253">
        <v>40</v>
      </c>
      <c r="D10" s="254" t="s">
        <v>1598</v>
      </c>
      <c r="E10" s="254">
        <v>0</v>
      </c>
      <c r="F10" s="255">
        <f t="shared" si="0"/>
        <v>0</v>
      </c>
    </row>
    <row r="11" spans="1:6" x14ac:dyDescent="0.3">
      <c r="A11" s="293">
        <v>46022</v>
      </c>
      <c r="B11" s="295" t="s">
        <v>1602</v>
      </c>
      <c r="C11" s="250">
        <v>0</v>
      </c>
      <c r="D11" s="251" t="s">
        <v>1597</v>
      </c>
      <c r="E11" s="251">
        <v>0</v>
      </c>
      <c r="F11" s="252">
        <f t="shared" si="0"/>
        <v>0</v>
      </c>
    </row>
    <row r="12" spans="1:6" ht="15" thickBot="1" x14ac:dyDescent="0.35">
      <c r="A12" s="294"/>
      <c r="B12" s="296"/>
      <c r="C12" s="253">
        <v>256</v>
      </c>
      <c r="D12" s="254" t="s">
        <v>1598</v>
      </c>
      <c r="E12" s="254">
        <v>0</v>
      </c>
      <c r="F12" s="255">
        <f t="shared" si="0"/>
        <v>0</v>
      </c>
    </row>
    <row r="13" spans="1:6" x14ac:dyDescent="0.3">
      <c r="A13" s="293">
        <v>46023</v>
      </c>
      <c r="B13" s="295" t="s">
        <v>1603</v>
      </c>
      <c r="C13" s="250">
        <v>0</v>
      </c>
      <c r="D13" s="251" t="s">
        <v>1597</v>
      </c>
      <c r="E13" s="251">
        <v>0</v>
      </c>
      <c r="F13" s="252">
        <f t="shared" si="0"/>
        <v>0</v>
      </c>
    </row>
    <row r="14" spans="1:6" ht="15" thickBot="1" x14ac:dyDescent="0.35">
      <c r="A14" s="294"/>
      <c r="B14" s="296"/>
      <c r="C14" s="253">
        <v>31</v>
      </c>
      <c r="D14" s="254" t="s">
        <v>1598</v>
      </c>
      <c r="E14" s="254">
        <v>0</v>
      </c>
      <c r="F14" s="255">
        <f t="shared" si="0"/>
        <v>0</v>
      </c>
    </row>
    <row r="15" spans="1:6" x14ac:dyDescent="0.3">
      <c r="A15" s="293">
        <v>46023</v>
      </c>
      <c r="B15" s="295" t="s">
        <v>1604</v>
      </c>
      <c r="C15" s="250">
        <v>0</v>
      </c>
      <c r="D15" s="251" t="s">
        <v>1597</v>
      </c>
      <c r="E15" s="251">
        <v>0</v>
      </c>
      <c r="F15" s="252">
        <f t="shared" si="0"/>
        <v>0</v>
      </c>
    </row>
    <row r="16" spans="1:6" ht="15" thickBot="1" x14ac:dyDescent="0.35">
      <c r="A16" s="294"/>
      <c r="B16" s="296"/>
      <c r="C16" s="253">
        <v>43</v>
      </c>
      <c r="D16" s="254" t="s">
        <v>1598</v>
      </c>
      <c r="E16" s="254">
        <v>0</v>
      </c>
      <c r="F16" s="255">
        <f t="shared" si="0"/>
        <v>0</v>
      </c>
    </row>
    <row r="17" spans="1:6" x14ac:dyDescent="0.3">
      <c r="A17" s="293">
        <v>46032</v>
      </c>
      <c r="B17" s="295" t="s">
        <v>1605</v>
      </c>
      <c r="C17" s="250">
        <v>0</v>
      </c>
      <c r="D17" s="251" t="s">
        <v>1597</v>
      </c>
      <c r="E17" s="251">
        <v>0</v>
      </c>
      <c r="F17" s="252">
        <f t="shared" si="0"/>
        <v>0</v>
      </c>
    </row>
    <row r="18" spans="1:6" ht="15" thickBot="1" x14ac:dyDescent="0.35">
      <c r="A18" s="294"/>
      <c r="B18" s="296"/>
      <c r="C18" s="253">
        <v>115</v>
      </c>
      <c r="D18" s="254" t="s">
        <v>1598</v>
      </c>
      <c r="E18" s="254">
        <v>0</v>
      </c>
      <c r="F18" s="255">
        <f t="shared" si="0"/>
        <v>0</v>
      </c>
    </row>
    <row r="19" spans="1:6" x14ac:dyDescent="0.3">
      <c r="A19" s="293">
        <v>46032</v>
      </c>
      <c r="B19" s="295" t="s">
        <v>1606</v>
      </c>
      <c r="C19" s="250">
        <v>0</v>
      </c>
      <c r="D19" s="251" t="s">
        <v>1597</v>
      </c>
      <c r="E19" s="251">
        <v>0</v>
      </c>
      <c r="F19" s="252">
        <f t="shared" si="0"/>
        <v>0</v>
      </c>
    </row>
    <row r="20" spans="1:6" ht="15" thickBot="1" x14ac:dyDescent="0.35">
      <c r="A20" s="294"/>
      <c r="B20" s="296"/>
      <c r="C20" s="253">
        <v>180</v>
      </c>
      <c r="D20" s="254" t="s">
        <v>1598</v>
      </c>
      <c r="E20" s="254">
        <v>0</v>
      </c>
      <c r="F20" s="255">
        <f t="shared" si="0"/>
        <v>0</v>
      </c>
    </row>
    <row r="21" spans="1:6" x14ac:dyDescent="0.3">
      <c r="A21" s="293">
        <v>46039</v>
      </c>
      <c r="B21" s="295" t="s">
        <v>1607</v>
      </c>
      <c r="C21" s="250">
        <v>0</v>
      </c>
      <c r="D21" s="251" t="s">
        <v>1597</v>
      </c>
      <c r="E21" s="251">
        <v>0</v>
      </c>
      <c r="F21" s="252">
        <f t="shared" si="0"/>
        <v>0</v>
      </c>
    </row>
    <row r="22" spans="1:6" ht="15" thickBot="1" x14ac:dyDescent="0.35">
      <c r="A22" s="294"/>
      <c r="B22" s="296"/>
      <c r="C22" s="253">
        <v>25</v>
      </c>
      <c r="D22" s="254" t="s">
        <v>1598</v>
      </c>
      <c r="E22" s="254">
        <v>0</v>
      </c>
      <c r="F22" s="255">
        <f t="shared" si="0"/>
        <v>0</v>
      </c>
    </row>
    <row r="23" spans="1:6" x14ac:dyDescent="0.3">
      <c r="A23" s="293">
        <v>46039</v>
      </c>
      <c r="B23" s="295" t="s">
        <v>1608</v>
      </c>
      <c r="C23" s="250">
        <v>0</v>
      </c>
      <c r="D23" s="251" t="s">
        <v>1597</v>
      </c>
      <c r="E23" s="251">
        <v>0</v>
      </c>
      <c r="F23" s="252">
        <f t="shared" si="0"/>
        <v>0</v>
      </c>
    </row>
    <row r="24" spans="1:6" ht="15" thickBot="1" x14ac:dyDescent="0.35">
      <c r="A24" s="294"/>
      <c r="B24" s="296"/>
      <c r="C24" s="253">
        <v>50</v>
      </c>
      <c r="D24" s="254" t="s">
        <v>1598</v>
      </c>
      <c r="E24" s="254">
        <v>0</v>
      </c>
      <c r="F24" s="255">
        <f t="shared" si="0"/>
        <v>0</v>
      </c>
    </row>
    <row r="25" spans="1:6" x14ac:dyDescent="0.3">
      <c r="A25" s="293">
        <v>46039</v>
      </c>
      <c r="B25" s="295" t="s">
        <v>1609</v>
      </c>
      <c r="C25" s="250">
        <v>0</v>
      </c>
      <c r="D25" s="251" t="s">
        <v>1597</v>
      </c>
      <c r="E25" s="251">
        <v>0</v>
      </c>
      <c r="F25" s="252">
        <f t="shared" si="0"/>
        <v>0</v>
      </c>
    </row>
    <row r="26" spans="1:6" ht="15" thickBot="1" x14ac:dyDescent="0.35">
      <c r="A26" s="294"/>
      <c r="B26" s="296"/>
      <c r="C26" s="253">
        <v>32</v>
      </c>
      <c r="D26" s="254" t="s">
        <v>1598</v>
      </c>
      <c r="E26" s="254">
        <v>0</v>
      </c>
      <c r="F26" s="255">
        <f t="shared" si="0"/>
        <v>0</v>
      </c>
    </row>
    <row r="27" spans="1:6" x14ac:dyDescent="0.3">
      <c r="A27" s="293">
        <v>46046</v>
      </c>
      <c r="B27" s="295" t="s">
        <v>1610</v>
      </c>
      <c r="C27" s="250">
        <v>0</v>
      </c>
      <c r="D27" s="251" t="s">
        <v>1597</v>
      </c>
      <c r="E27" s="251">
        <v>0</v>
      </c>
      <c r="F27" s="252">
        <f t="shared" si="0"/>
        <v>0</v>
      </c>
    </row>
    <row r="28" spans="1:6" ht="15" thickBot="1" x14ac:dyDescent="0.35">
      <c r="A28" s="294"/>
      <c r="B28" s="296"/>
      <c r="C28" s="253">
        <v>73</v>
      </c>
      <c r="D28" s="254" t="s">
        <v>1598</v>
      </c>
      <c r="E28" s="254">
        <v>0</v>
      </c>
      <c r="F28" s="255">
        <f t="shared" si="0"/>
        <v>0</v>
      </c>
    </row>
    <row r="29" spans="1:6" x14ac:dyDescent="0.3">
      <c r="A29" s="293">
        <v>46046</v>
      </c>
      <c r="B29" s="295" t="s">
        <v>1611</v>
      </c>
      <c r="C29" s="250">
        <v>0</v>
      </c>
      <c r="D29" s="251" t="s">
        <v>1597</v>
      </c>
      <c r="E29" s="251">
        <v>0</v>
      </c>
      <c r="F29" s="252">
        <f t="shared" si="0"/>
        <v>0</v>
      </c>
    </row>
    <row r="30" spans="1:6" ht="15" thickBot="1" x14ac:dyDescent="0.35">
      <c r="A30" s="294"/>
      <c r="B30" s="296"/>
      <c r="C30" s="253">
        <v>27</v>
      </c>
      <c r="D30" s="254" t="s">
        <v>1598</v>
      </c>
      <c r="E30" s="254">
        <v>0</v>
      </c>
      <c r="F30" s="255">
        <f t="shared" si="0"/>
        <v>0</v>
      </c>
    </row>
    <row r="31" spans="1:6" x14ac:dyDescent="0.3">
      <c r="A31" s="293">
        <v>46046</v>
      </c>
      <c r="B31" s="295" t="s">
        <v>1612</v>
      </c>
      <c r="C31" s="250">
        <v>0</v>
      </c>
      <c r="D31" s="251" t="s">
        <v>1597</v>
      </c>
      <c r="E31" s="251">
        <v>0</v>
      </c>
      <c r="F31" s="252">
        <f t="shared" si="0"/>
        <v>0</v>
      </c>
    </row>
    <row r="32" spans="1:6" ht="15" thickBot="1" x14ac:dyDescent="0.35">
      <c r="A32" s="294"/>
      <c r="B32" s="296"/>
      <c r="C32" s="253">
        <v>25</v>
      </c>
      <c r="D32" s="254" t="s">
        <v>1598</v>
      </c>
      <c r="E32" s="254">
        <v>0</v>
      </c>
      <c r="F32" s="255">
        <f t="shared" si="0"/>
        <v>0</v>
      </c>
    </row>
    <row r="33" spans="1:6" x14ac:dyDescent="0.3">
      <c r="A33" s="293">
        <v>46060</v>
      </c>
      <c r="B33" s="295" t="s">
        <v>1613</v>
      </c>
      <c r="C33" s="250">
        <v>0</v>
      </c>
      <c r="D33" s="251" t="s">
        <v>1597</v>
      </c>
      <c r="E33" s="251">
        <v>0</v>
      </c>
      <c r="F33" s="252">
        <f t="shared" si="0"/>
        <v>0</v>
      </c>
    </row>
    <row r="34" spans="1:6" ht="15" thickBot="1" x14ac:dyDescent="0.35">
      <c r="A34" s="294"/>
      <c r="B34" s="296"/>
      <c r="C34" s="253">
        <v>119</v>
      </c>
      <c r="D34" s="254" t="s">
        <v>1598</v>
      </c>
      <c r="E34" s="254">
        <v>0</v>
      </c>
      <c r="F34" s="255">
        <f t="shared" si="0"/>
        <v>0</v>
      </c>
    </row>
    <row r="35" spans="1:6" x14ac:dyDescent="0.3">
      <c r="A35" s="293">
        <v>46060</v>
      </c>
      <c r="B35" s="295" t="s">
        <v>1614</v>
      </c>
      <c r="C35" s="250">
        <v>0</v>
      </c>
      <c r="D35" s="251" t="s">
        <v>1597</v>
      </c>
      <c r="E35" s="251">
        <v>0</v>
      </c>
      <c r="F35" s="252">
        <f t="shared" si="0"/>
        <v>0</v>
      </c>
    </row>
    <row r="36" spans="1:6" ht="15" thickBot="1" x14ac:dyDescent="0.35">
      <c r="A36" s="294"/>
      <c r="B36" s="296"/>
      <c r="C36" s="253">
        <v>50</v>
      </c>
      <c r="D36" s="254" t="s">
        <v>1598</v>
      </c>
      <c r="E36" s="254">
        <v>0</v>
      </c>
      <c r="F36" s="255">
        <f t="shared" si="0"/>
        <v>0</v>
      </c>
    </row>
    <row r="37" spans="1:6" x14ac:dyDescent="0.3">
      <c r="A37" s="293">
        <v>46062</v>
      </c>
      <c r="B37" s="295" t="s">
        <v>1615</v>
      </c>
      <c r="C37" s="250">
        <v>0</v>
      </c>
      <c r="D37" s="251" t="s">
        <v>1597</v>
      </c>
      <c r="E37" s="251">
        <v>0</v>
      </c>
      <c r="F37" s="252">
        <f t="shared" si="0"/>
        <v>0</v>
      </c>
    </row>
    <row r="38" spans="1:6" ht="15" thickBot="1" x14ac:dyDescent="0.35">
      <c r="A38" s="294"/>
      <c r="B38" s="296"/>
      <c r="C38" s="253">
        <v>47.03</v>
      </c>
      <c r="D38" s="254" t="s">
        <v>1598</v>
      </c>
      <c r="E38" s="254">
        <v>0.02</v>
      </c>
      <c r="F38" s="255">
        <f t="shared" si="0"/>
        <v>0.94059999999999999</v>
      </c>
    </row>
    <row r="39" spans="1:6" x14ac:dyDescent="0.3">
      <c r="A39" s="293">
        <v>46067</v>
      </c>
      <c r="B39" s="295" t="s">
        <v>1616</v>
      </c>
      <c r="C39" s="250">
        <v>0</v>
      </c>
      <c r="D39" s="251" t="s">
        <v>1597</v>
      </c>
      <c r="E39" s="251">
        <v>0</v>
      </c>
      <c r="F39" s="252">
        <f t="shared" si="0"/>
        <v>0</v>
      </c>
    </row>
    <row r="40" spans="1:6" ht="15" thickBot="1" x14ac:dyDescent="0.35">
      <c r="A40" s="294"/>
      <c r="B40" s="296"/>
      <c r="C40" s="253">
        <v>136</v>
      </c>
      <c r="D40" s="254" t="s">
        <v>1598</v>
      </c>
      <c r="E40" s="254">
        <v>0</v>
      </c>
      <c r="F40" s="255">
        <f t="shared" si="0"/>
        <v>0</v>
      </c>
    </row>
    <row r="41" spans="1:6" x14ac:dyDescent="0.3">
      <c r="A41" s="293">
        <v>46067</v>
      </c>
      <c r="B41" s="295" t="s">
        <v>1617</v>
      </c>
      <c r="C41" s="250">
        <v>0</v>
      </c>
      <c r="D41" s="251" t="s">
        <v>1597</v>
      </c>
      <c r="E41" s="251">
        <v>0</v>
      </c>
      <c r="F41" s="252">
        <f t="shared" si="0"/>
        <v>0</v>
      </c>
    </row>
    <row r="42" spans="1:6" ht="15" thickBot="1" x14ac:dyDescent="0.35">
      <c r="A42" s="294"/>
      <c r="B42" s="296"/>
      <c r="C42" s="253">
        <v>58</v>
      </c>
      <c r="D42" s="254" t="s">
        <v>1598</v>
      </c>
      <c r="E42" s="254">
        <v>0</v>
      </c>
      <c r="F42" s="255">
        <f t="shared" si="0"/>
        <v>0</v>
      </c>
    </row>
    <row r="43" spans="1:6" x14ac:dyDescent="0.3">
      <c r="A43" s="293">
        <v>46074</v>
      </c>
      <c r="B43" s="295" t="s">
        <v>1618</v>
      </c>
      <c r="C43" s="250">
        <v>0</v>
      </c>
      <c r="D43" s="251" t="s">
        <v>1597</v>
      </c>
      <c r="E43" s="251">
        <v>0</v>
      </c>
      <c r="F43" s="252">
        <f t="shared" si="0"/>
        <v>0</v>
      </c>
    </row>
    <row r="44" spans="1:6" ht="15" thickBot="1" x14ac:dyDescent="0.35">
      <c r="A44" s="294"/>
      <c r="B44" s="296"/>
      <c r="C44" s="253">
        <v>16</v>
      </c>
      <c r="D44" s="254" t="s">
        <v>1598</v>
      </c>
      <c r="E44" s="254">
        <v>0</v>
      </c>
      <c r="F44" s="255">
        <f t="shared" si="0"/>
        <v>0</v>
      </c>
    </row>
    <row r="45" spans="1:6" x14ac:dyDescent="0.3">
      <c r="A45" s="293">
        <v>46074</v>
      </c>
      <c r="B45" s="295" t="s">
        <v>1619</v>
      </c>
      <c r="C45" s="250">
        <v>0</v>
      </c>
      <c r="D45" s="251" t="s">
        <v>1597</v>
      </c>
      <c r="E45" s="251">
        <v>0</v>
      </c>
      <c r="F45" s="252">
        <f t="shared" si="0"/>
        <v>0</v>
      </c>
    </row>
    <row r="46" spans="1:6" ht="15" thickBot="1" x14ac:dyDescent="0.35">
      <c r="A46" s="294"/>
      <c r="B46" s="296"/>
      <c r="C46" s="253">
        <v>60</v>
      </c>
      <c r="D46" s="254" t="s">
        <v>1598</v>
      </c>
      <c r="E46" s="254">
        <v>0</v>
      </c>
      <c r="F46" s="255">
        <f t="shared" si="0"/>
        <v>0</v>
      </c>
    </row>
    <row r="47" spans="1:6" x14ac:dyDescent="0.3">
      <c r="A47" s="293">
        <v>46081</v>
      </c>
      <c r="B47" s="295" t="s">
        <v>1620</v>
      </c>
      <c r="C47" s="250">
        <v>0</v>
      </c>
      <c r="D47" s="251" t="s">
        <v>1597</v>
      </c>
      <c r="E47" s="251">
        <v>0</v>
      </c>
      <c r="F47" s="252">
        <f t="shared" si="0"/>
        <v>0</v>
      </c>
    </row>
    <row r="48" spans="1:6" ht="15" thickBot="1" x14ac:dyDescent="0.35">
      <c r="A48" s="294"/>
      <c r="B48" s="296"/>
      <c r="C48" s="253">
        <v>2</v>
      </c>
      <c r="D48" s="254" t="s">
        <v>1598</v>
      </c>
      <c r="E48" s="254">
        <v>0</v>
      </c>
      <c r="F48" s="255">
        <f t="shared" si="0"/>
        <v>0</v>
      </c>
    </row>
    <row r="49" spans="1:6" x14ac:dyDescent="0.3">
      <c r="A49" s="293">
        <v>46081</v>
      </c>
      <c r="B49" s="295" t="s">
        <v>1621</v>
      </c>
      <c r="C49" s="250">
        <v>0</v>
      </c>
      <c r="D49" s="251" t="s">
        <v>1597</v>
      </c>
      <c r="E49" s="251">
        <v>0</v>
      </c>
      <c r="F49" s="252">
        <f t="shared" si="0"/>
        <v>0</v>
      </c>
    </row>
    <row r="50" spans="1:6" ht="15" thickBot="1" x14ac:dyDescent="0.35">
      <c r="A50" s="294"/>
      <c r="B50" s="296"/>
      <c r="C50" s="253">
        <v>140</v>
      </c>
      <c r="D50" s="254" t="s">
        <v>1598</v>
      </c>
      <c r="E50" s="254">
        <v>0</v>
      </c>
      <c r="F50" s="255">
        <f t="shared" si="0"/>
        <v>0</v>
      </c>
    </row>
    <row r="51" spans="1:6" x14ac:dyDescent="0.3">
      <c r="A51" s="293">
        <v>46081</v>
      </c>
      <c r="B51" s="295" t="s">
        <v>1622</v>
      </c>
      <c r="C51" s="250">
        <v>0</v>
      </c>
      <c r="D51" s="251" t="s">
        <v>1597</v>
      </c>
      <c r="E51" s="251">
        <v>0</v>
      </c>
      <c r="F51" s="252">
        <f t="shared" si="0"/>
        <v>0</v>
      </c>
    </row>
    <row r="52" spans="1:6" ht="15" thickBot="1" x14ac:dyDescent="0.35">
      <c r="A52" s="294"/>
      <c r="B52" s="296"/>
      <c r="C52" s="253">
        <v>38</v>
      </c>
      <c r="D52" s="254" t="s">
        <v>1598</v>
      </c>
      <c r="E52" s="254">
        <v>0</v>
      </c>
      <c r="F52" s="255">
        <f t="shared" si="0"/>
        <v>0</v>
      </c>
    </row>
    <row r="53" spans="1:6" x14ac:dyDescent="0.3">
      <c r="A53" s="293">
        <v>46088</v>
      </c>
      <c r="B53" s="295" t="s">
        <v>1623</v>
      </c>
      <c r="C53" s="250">
        <v>0</v>
      </c>
      <c r="D53" s="251" t="s">
        <v>1597</v>
      </c>
      <c r="E53" s="251">
        <v>0</v>
      </c>
      <c r="F53" s="252">
        <f t="shared" si="0"/>
        <v>0</v>
      </c>
    </row>
    <row r="54" spans="1:6" ht="15" thickBot="1" x14ac:dyDescent="0.35">
      <c r="A54" s="294"/>
      <c r="B54" s="296"/>
      <c r="C54" s="253">
        <v>43</v>
      </c>
      <c r="D54" s="254" t="s">
        <v>1598</v>
      </c>
      <c r="E54" s="254">
        <v>0</v>
      </c>
      <c r="F54" s="255">
        <f t="shared" si="0"/>
        <v>0</v>
      </c>
    </row>
    <row r="55" spans="1:6" x14ac:dyDescent="0.3">
      <c r="A55" s="293">
        <v>46088</v>
      </c>
      <c r="B55" s="295" t="s">
        <v>1624</v>
      </c>
      <c r="C55" s="250">
        <v>0</v>
      </c>
      <c r="D55" s="251" t="s">
        <v>1597</v>
      </c>
      <c r="E55" s="251">
        <v>0</v>
      </c>
      <c r="F55" s="252">
        <f t="shared" si="0"/>
        <v>0</v>
      </c>
    </row>
    <row r="56" spans="1:6" ht="15" thickBot="1" x14ac:dyDescent="0.35">
      <c r="A56" s="294"/>
      <c r="B56" s="296"/>
      <c r="C56" s="253">
        <v>22</v>
      </c>
      <c r="D56" s="254" t="s">
        <v>1598</v>
      </c>
      <c r="E56" s="254">
        <v>0</v>
      </c>
      <c r="F56" s="255">
        <f t="shared" si="0"/>
        <v>0</v>
      </c>
    </row>
    <row r="57" spans="1:6" x14ac:dyDescent="0.3">
      <c r="A57" s="293">
        <v>46088</v>
      </c>
      <c r="B57" s="295" t="s">
        <v>1625</v>
      </c>
      <c r="C57" s="250">
        <v>0</v>
      </c>
      <c r="D57" s="251" t="s">
        <v>1597</v>
      </c>
      <c r="E57" s="251">
        <v>0</v>
      </c>
      <c r="F57" s="252">
        <f t="shared" si="0"/>
        <v>0</v>
      </c>
    </row>
    <row r="58" spans="1:6" ht="15" thickBot="1" x14ac:dyDescent="0.35">
      <c r="A58" s="294"/>
      <c r="B58" s="296"/>
      <c r="C58" s="253">
        <v>22</v>
      </c>
      <c r="D58" s="254" t="s">
        <v>1598</v>
      </c>
      <c r="E58" s="254">
        <v>0</v>
      </c>
      <c r="F58" s="255">
        <f t="shared" si="0"/>
        <v>0</v>
      </c>
    </row>
    <row r="59" spans="1:6" x14ac:dyDescent="0.3">
      <c r="A59" s="293">
        <v>46095</v>
      </c>
      <c r="B59" s="295" t="s">
        <v>1626</v>
      </c>
      <c r="C59" s="250">
        <v>0</v>
      </c>
      <c r="D59" s="251" t="s">
        <v>1597</v>
      </c>
      <c r="E59" s="251">
        <v>0</v>
      </c>
      <c r="F59" s="252">
        <f t="shared" si="0"/>
        <v>0</v>
      </c>
    </row>
    <row r="60" spans="1:6" ht="15" thickBot="1" x14ac:dyDescent="0.35">
      <c r="A60" s="294"/>
      <c r="B60" s="296"/>
      <c r="C60" s="253">
        <v>220</v>
      </c>
      <c r="D60" s="254" t="s">
        <v>1598</v>
      </c>
      <c r="E60" s="254">
        <v>0</v>
      </c>
      <c r="F60" s="255">
        <f t="shared" si="0"/>
        <v>0</v>
      </c>
    </row>
    <row r="61" spans="1:6" x14ac:dyDescent="0.3">
      <c r="A61" s="256">
        <v>46102</v>
      </c>
      <c r="B61" s="257" t="s">
        <v>1627</v>
      </c>
      <c r="C61" s="250">
        <v>0</v>
      </c>
      <c r="D61" s="251" t="s">
        <v>1597</v>
      </c>
      <c r="E61" s="251">
        <v>0</v>
      </c>
      <c r="F61" s="252">
        <f t="shared" si="0"/>
        <v>0</v>
      </c>
    </row>
    <row r="62" spans="1:6" ht="15" thickBot="1" x14ac:dyDescent="0.35">
      <c r="A62" s="258"/>
      <c r="B62" s="259"/>
      <c r="C62" s="253">
        <v>18</v>
      </c>
      <c r="D62" s="254" t="s">
        <v>1598</v>
      </c>
      <c r="E62" s="254">
        <v>0</v>
      </c>
      <c r="F62" s="255">
        <f t="shared" si="0"/>
        <v>0</v>
      </c>
    </row>
    <row r="63" spans="1:6" x14ac:dyDescent="0.3">
      <c r="A63" s="293">
        <v>46102</v>
      </c>
      <c r="B63" s="295" t="s">
        <v>1628</v>
      </c>
      <c r="C63" s="250">
        <v>0</v>
      </c>
      <c r="D63" s="251" t="s">
        <v>1597</v>
      </c>
      <c r="E63" s="251">
        <v>0</v>
      </c>
      <c r="F63" s="252">
        <f t="shared" si="0"/>
        <v>0</v>
      </c>
    </row>
    <row r="64" spans="1:6" ht="15" thickBot="1" x14ac:dyDescent="0.35">
      <c r="A64" s="294"/>
      <c r="B64" s="296"/>
      <c r="C64" s="253">
        <v>42</v>
      </c>
      <c r="D64" s="254" t="s">
        <v>1598</v>
      </c>
      <c r="E64" s="254">
        <v>0</v>
      </c>
      <c r="F64" s="255">
        <f t="shared" si="0"/>
        <v>0</v>
      </c>
    </row>
    <row r="65" spans="1:6" x14ac:dyDescent="0.3">
      <c r="A65" s="293">
        <v>46109</v>
      </c>
      <c r="B65" s="295" t="s">
        <v>1629</v>
      </c>
      <c r="C65" s="250"/>
      <c r="D65" s="251" t="s">
        <v>1597</v>
      </c>
      <c r="E65" s="251">
        <v>0</v>
      </c>
      <c r="F65" s="252">
        <f t="shared" si="0"/>
        <v>0</v>
      </c>
    </row>
    <row r="66" spans="1:6" ht="15" thickBot="1" x14ac:dyDescent="0.35">
      <c r="A66" s="294"/>
      <c r="B66" s="296"/>
      <c r="C66" s="253"/>
      <c r="D66" s="254" t="s">
        <v>1598</v>
      </c>
      <c r="E66" s="254">
        <v>0</v>
      </c>
      <c r="F66" s="255">
        <f t="shared" ref="F66:F129" si="1">C66*E66</f>
        <v>0</v>
      </c>
    </row>
    <row r="67" spans="1:6" x14ac:dyDescent="0.3">
      <c r="A67" s="256">
        <v>46113</v>
      </c>
      <c r="B67" s="257" t="s">
        <v>1630</v>
      </c>
      <c r="C67" s="250">
        <v>0</v>
      </c>
      <c r="D67" s="251" t="s">
        <v>1597</v>
      </c>
      <c r="E67" s="251">
        <v>0</v>
      </c>
      <c r="F67" s="252">
        <f t="shared" si="1"/>
        <v>0</v>
      </c>
    </row>
    <row r="68" spans="1:6" ht="15" thickBot="1" x14ac:dyDescent="0.35">
      <c r="A68" s="258"/>
      <c r="B68" s="259"/>
      <c r="C68" s="253">
        <v>20</v>
      </c>
      <c r="D68" s="254" t="s">
        <v>1598</v>
      </c>
      <c r="E68" s="254">
        <v>0</v>
      </c>
      <c r="F68" s="255">
        <f t="shared" si="1"/>
        <v>0</v>
      </c>
    </row>
    <row r="69" spans="1:6" x14ac:dyDescent="0.3">
      <c r="A69" s="293">
        <v>46113</v>
      </c>
      <c r="B69" s="295" t="s">
        <v>1631</v>
      </c>
      <c r="C69" s="250">
        <v>0</v>
      </c>
      <c r="D69" s="251" t="s">
        <v>1597</v>
      </c>
      <c r="E69" s="251">
        <v>0</v>
      </c>
      <c r="F69" s="252">
        <f t="shared" si="1"/>
        <v>0</v>
      </c>
    </row>
    <row r="70" spans="1:6" ht="15" thickBot="1" x14ac:dyDescent="0.35">
      <c r="A70" s="294"/>
      <c r="B70" s="296"/>
      <c r="C70" s="253">
        <v>28</v>
      </c>
      <c r="D70" s="254" t="s">
        <v>1598</v>
      </c>
      <c r="E70" s="254">
        <v>0</v>
      </c>
      <c r="F70" s="255">
        <f t="shared" si="1"/>
        <v>0</v>
      </c>
    </row>
    <row r="71" spans="1:6" x14ac:dyDescent="0.3">
      <c r="A71" s="293">
        <v>46116</v>
      </c>
      <c r="B71" s="295" t="s">
        <v>1632</v>
      </c>
      <c r="C71" s="250">
        <v>0</v>
      </c>
      <c r="D71" s="251" t="s">
        <v>1597</v>
      </c>
      <c r="E71" s="251">
        <v>0</v>
      </c>
      <c r="F71" s="252">
        <f t="shared" si="1"/>
        <v>0</v>
      </c>
    </row>
    <row r="72" spans="1:6" ht="15" thickBot="1" x14ac:dyDescent="0.35">
      <c r="A72" s="294"/>
      <c r="B72" s="296"/>
      <c r="C72" s="253">
        <v>12</v>
      </c>
      <c r="D72" s="254" t="s">
        <v>1598</v>
      </c>
      <c r="E72" s="254">
        <v>0</v>
      </c>
      <c r="F72" s="255">
        <f t="shared" si="1"/>
        <v>0</v>
      </c>
    </row>
    <row r="73" spans="1:6" x14ac:dyDescent="0.3">
      <c r="A73" s="293">
        <v>46123</v>
      </c>
      <c r="B73" s="295" t="s">
        <v>1633</v>
      </c>
      <c r="C73" s="250">
        <v>0</v>
      </c>
      <c r="D73" s="251" t="s">
        <v>1597</v>
      </c>
      <c r="E73" s="251">
        <v>0</v>
      </c>
      <c r="F73" s="252">
        <f t="shared" si="1"/>
        <v>0</v>
      </c>
    </row>
    <row r="74" spans="1:6" ht="15" thickBot="1" x14ac:dyDescent="0.35">
      <c r="A74" s="294"/>
      <c r="B74" s="296"/>
      <c r="C74" s="253">
        <v>18</v>
      </c>
      <c r="D74" s="254" t="s">
        <v>1598</v>
      </c>
      <c r="E74" s="254">
        <v>0</v>
      </c>
      <c r="F74" s="255">
        <f t="shared" si="1"/>
        <v>0</v>
      </c>
    </row>
    <row r="75" spans="1:6" x14ac:dyDescent="0.3">
      <c r="A75" s="293">
        <v>46130</v>
      </c>
      <c r="B75" s="295" t="s">
        <v>1634</v>
      </c>
      <c r="C75" s="250">
        <v>0</v>
      </c>
      <c r="D75" s="251" t="s">
        <v>1597</v>
      </c>
      <c r="E75" s="251">
        <v>0</v>
      </c>
      <c r="F75" s="252">
        <f t="shared" si="1"/>
        <v>0</v>
      </c>
    </row>
    <row r="76" spans="1:6" ht="15" thickBot="1" x14ac:dyDescent="0.35">
      <c r="A76" s="294"/>
      <c r="B76" s="296"/>
      <c r="C76" s="253">
        <v>40</v>
      </c>
      <c r="D76" s="254" t="s">
        <v>1598</v>
      </c>
      <c r="E76" s="254">
        <v>0</v>
      </c>
      <c r="F76" s="255">
        <f t="shared" si="1"/>
        <v>0</v>
      </c>
    </row>
    <row r="77" spans="1:6" x14ac:dyDescent="0.3">
      <c r="A77" s="293">
        <v>46130</v>
      </c>
      <c r="B77" s="295" t="s">
        <v>1635</v>
      </c>
      <c r="C77" s="250">
        <v>0</v>
      </c>
      <c r="D77" s="251" t="s">
        <v>1597</v>
      </c>
      <c r="E77" s="251">
        <v>0</v>
      </c>
      <c r="F77" s="252">
        <f t="shared" si="1"/>
        <v>0</v>
      </c>
    </row>
    <row r="78" spans="1:6" ht="15" thickBot="1" x14ac:dyDescent="0.35">
      <c r="A78" s="294"/>
      <c r="B78" s="296"/>
      <c r="C78" s="253">
        <v>37</v>
      </c>
      <c r="D78" s="254" t="s">
        <v>1598</v>
      </c>
      <c r="E78" s="254">
        <v>0</v>
      </c>
      <c r="F78" s="255">
        <f t="shared" si="1"/>
        <v>0</v>
      </c>
    </row>
    <row r="79" spans="1:6" x14ac:dyDescent="0.3">
      <c r="A79" s="293">
        <v>46137</v>
      </c>
      <c r="B79" s="295" t="s">
        <v>1636</v>
      </c>
      <c r="C79" s="250">
        <v>0</v>
      </c>
      <c r="D79" s="251" t="s">
        <v>1597</v>
      </c>
      <c r="E79" s="251">
        <v>0</v>
      </c>
      <c r="F79" s="252">
        <f t="shared" si="1"/>
        <v>0</v>
      </c>
    </row>
    <row r="80" spans="1:6" ht="15" thickBot="1" x14ac:dyDescent="0.35">
      <c r="A80" s="294"/>
      <c r="B80" s="296"/>
      <c r="C80" s="253">
        <v>87</v>
      </c>
      <c r="D80" s="254" t="s">
        <v>1598</v>
      </c>
      <c r="E80" s="254">
        <v>0</v>
      </c>
      <c r="F80" s="255">
        <f t="shared" si="1"/>
        <v>0</v>
      </c>
    </row>
    <row r="81" spans="1:6" x14ac:dyDescent="0.3">
      <c r="A81" s="293">
        <v>46137</v>
      </c>
      <c r="B81" s="295" t="s">
        <v>1637</v>
      </c>
      <c r="C81" s="250">
        <v>0</v>
      </c>
      <c r="D81" s="251" t="s">
        <v>1597</v>
      </c>
      <c r="E81" s="251">
        <v>0</v>
      </c>
      <c r="F81" s="252">
        <f t="shared" si="1"/>
        <v>0</v>
      </c>
    </row>
    <row r="82" spans="1:6" ht="15" thickBot="1" x14ac:dyDescent="0.35">
      <c r="A82" s="294"/>
      <c r="B82" s="296"/>
      <c r="C82" s="253">
        <v>52</v>
      </c>
      <c r="D82" s="254" t="s">
        <v>1598</v>
      </c>
      <c r="E82" s="254">
        <v>0</v>
      </c>
      <c r="F82" s="255">
        <f t="shared" si="1"/>
        <v>0</v>
      </c>
    </row>
    <row r="83" spans="1:6" x14ac:dyDescent="0.3">
      <c r="A83" s="293">
        <v>46143</v>
      </c>
      <c r="B83" s="295" t="s">
        <v>1638</v>
      </c>
      <c r="C83" s="250">
        <v>0</v>
      </c>
      <c r="D83" s="251" t="s">
        <v>1597</v>
      </c>
      <c r="E83" s="251">
        <v>0</v>
      </c>
      <c r="F83" s="252">
        <f t="shared" si="1"/>
        <v>0</v>
      </c>
    </row>
    <row r="84" spans="1:6" ht="15" thickBot="1" x14ac:dyDescent="0.35">
      <c r="A84" s="294"/>
      <c r="B84" s="296"/>
      <c r="C84" s="253">
        <v>0</v>
      </c>
      <c r="D84" s="254" t="s">
        <v>1598</v>
      </c>
      <c r="E84" s="254">
        <v>0</v>
      </c>
      <c r="F84" s="255">
        <f t="shared" si="1"/>
        <v>0</v>
      </c>
    </row>
    <row r="85" spans="1:6" x14ac:dyDescent="0.3">
      <c r="A85" s="293">
        <v>46143</v>
      </c>
      <c r="B85" s="295" t="s">
        <v>1639</v>
      </c>
      <c r="C85" s="250">
        <v>0</v>
      </c>
      <c r="D85" s="251" t="s">
        <v>1597</v>
      </c>
      <c r="E85" s="251">
        <v>0</v>
      </c>
      <c r="F85" s="252">
        <f t="shared" si="1"/>
        <v>0</v>
      </c>
    </row>
    <row r="86" spans="1:6" ht="15" thickBot="1" x14ac:dyDescent="0.35">
      <c r="A86" s="294"/>
      <c r="B86" s="296"/>
      <c r="C86" s="253">
        <v>0</v>
      </c>
      <c r="D86" s="254" t="s">
        <v>1598</v>
      </c>
      <c r="E86" s="254">
        <v>0</v>
      </c>
      <c r="F86" s="255">
        <f t="shared" si="1"/>
        <v>0</v>
      </c>
    </row>
    <row r="87" spans="1:6" x14ac:dyDescent="0.3">
      <c r="A87" s="293">
        <v>46149</v>
      </c>
      <c r="B87" s="295" t="s">
        <v>1640</v>
      </c>
      <c r="C87" s="250">
        <v>0</v>
      </c>
      <c r="D87" s="251" t="s">
        <v>1597</v>
      </c>
      <c r="E87" s="251">
        <v>0</v>
      </c>
      <c r="F87" s="252">
        <f t="shared" si="1"/>
        <v>0</v>
      </c>
    </row>
    <row r="88" spans="1:6" ht="15" thickBot="1" x14ac:dyDescent="0.35">
      <c r="A88" s="294"/>
      <c r="B88" s="296"/>
      <c r="C88" s="253">
        <v>15</v>
      </c>
      <c r="D88" s="254" t="s">
        <v>1598</v>
      </c>
      <c r="E88" s="254">
        <v>0</v>
      </c>
      <c r="F88" s="255">
        <f t="shared" si="1"/>
        <v>0</v>
      </c>
    </row>
    <row r="89" spans="1:6" x14ac:dyDescent="0.3">
      <c r="A89" s="293">
        <v>46149</v>
      </c>
      <c r="B89" s="295" t="s">
        <v>1641</v>
      </c>
      <c r="C89" s="250">
        <v>0</v>
      </c>
      <c r="D89" s="251" t="s">
        <v>1597</v>
      </c>
      <c r="E89" s="251">
        <v>0</v>
      </c>
      <c r="F89" s="252">
        <f t="shared" si="1"/>
        <v>0</v>
      </c>
    </row>
    <row r="90" spans="1:6" ht="15" thickBot="1" x14ac:dyDescent="0.35">
      <c r="A90" s="294"/>
      <c r="B90" s="296"/>
      <c r="C90" s="253">
        <v>90</v>
      </c>
      <c r="D90" s="254" t="s">
        <v>1598</v>
      </c>
      <c r="E90" s="254">
        <v>0</v>
      </c>
      <c r="F90" s="255">
        <f t="shared" si="1"/>
        <v>0</v>
      </c>
    </row>
    <row r="91" spans="1:6" x14ac:dyDescent="0.3">
      <c r="A91" s="293">
        <v>46151</v>
      </c>
      <c r="B91" s="295" t="s">
        <v>1642</v>
      </c>
      <c r="C91" s="250">
        <v>0</v>
      </c>
      <c r="D91" s="251" t="s">
        <v>1597</v>
      </c>
      <c r="E91" s="251">
        <v>0</v>
      </c>
      <c r="F91" s="252">
        <f t="shared" si="1"/>
        <v>0</v>
      </c>
    </row>
    <row r="92" spans="1:6" ht="15" thickBot="1" x14ac:dyDescent="0.35">
      <c r="A92" s="294"/>
      <c r="B92" s="296"/>
      <c r="C92" s="253">
        <v>211</v>
      </c>
      <c r="D92" s="254" t="s">
        <v>1598</v>
      </c>
      <c r="E92" s="254">
        <v>0</v>
      </c>
      <c r="F92" s="255">
        <f t="shared" si="1"/>
        <v>0</v>
      </c>
    </row>
    <row r="93" spans="1:6" x14ac:dyDescent="0.3">
      <c r="A93" s="293">
        <v>46158</v>
      </c>
      <c r="B93" s="295" t="s">
        <v>1643</v>
      </c>
      <c r="C93" s="250">
        <v>0</v>
      </c>
      <c r="D93" s="251" t="s">
        <v>1597</v>
      </c>
      <c r="E93" s="251">
        <v>0</v>
      </c>
      <c r="F93" s="252">
        <f t="shared" si="1"/>
        <v>0</v>
      </c>
    </row>
    <row r="94" spans="1:6" ht="15" thickBot="1" x14ac:dyDescent="0.35">
      <c r="A94" s="294"/>
      <c r="B94" s="296"/>
      <c r="C94" s="253">
        <v>25</v>
      </c>
      <c r="D94" s="254" t="s">
        <v>1598</v>
      </c>
      <c r="E94" s="254">
        <v>0</v>
      </c>
      <c r="F94" s="255">
        <f t="shared" si="1"/>
        <v>0</v>
      </c>
    </row>
    <row r="95" spans="1:6" x14ac:dyDescent="0.3">
      <c r="A95" s="293">
        <v>46158</v>
      </c>
      <c r="B95" s="295" t="s">
        <v>1644</v>
      </c>
      <c r="C95" s="250">
        <v>0</v>
      </c>
      <c r="D95" s="251" t="s">
        <v>1597</v>
      </c>
      <c r="E95" s="251">
        <v>0</v>
      </c>
      <c r="F95" s="252">
        <f t="shared" si="1"/>
        <v>0</v>
      </c>
    </row>
    <row r="96" spans="1:6" ht="15" thickBot="1" x14ac:dyDescent="0.35">
      <c r="A96" s="294"/>
      <c r="B96" s="296"/>
      <c r="C96" s="253">
        <v>32</v>
      </c>
      <c r="D96" s="254" t="s">
        <v>1598</v>
      </c>
      <c r="E96" s="254">
        <v>0</v>
      </c>
      <c r="F96" s="255">
        <f t="shared" si="1"/>
        <v>0</v>
      </c>
    </row>
    <row r="97" spans="1:6" x14ac:dyDescent="0.3">
      <c r="A97" s="293">
        <v>46165</v>
      </c>
      <c r="B97" s="295" t="s">
        <v>1645</v>
      </c>
      <c r="C97" s="250"/>
      <c r="D97" s="251" t="s">
        <v>1597</v>
      </c>
      <c r="E97" s="251">
        <v>0</v>
      </c>
      <c r="F97" s="252">
        <f t="shared" si="1"/>
        <v>0</v>
      </c>
    </row>
    <row r="98" spans="1:6" ht="15" thickBot="1" x14ac:dyDescent="0.35">
      <c r="A98" s="294"/>
      <c r="B98" s="296"/>
      <c r="C98" s="253">
        <v>117</v>
      </c>
      <c r="D98" s="254" t="s">
        <v>1598</v>
      </c>
      <c r="E98" s="254">
        <v>0</v>
      </c>
      <c r="F98" s="255">
        <f t="shared" si="1"/>
        <v>0</v>
      </c>
    </row>
    <row r="99" spans="1:6" x14ac:dyDescent="0.3">
      <c r="A99" s="293">
        <v>46172</v>
      </c>
      <c r="B99" s="295" t="s">
        <v>1646</v>
      </c>
      <c r="C99" s="250"/>
      <c r="D99" s="251" t="s">
        <v>1597</v>
      </c>
      <c r="E99" s="251">
        <v>0</v>
      </c>
      <c r="F99" s="252">
        <f t="shared" si="1"/>
        <v>0</v>
      </c>
    </row>
    <row r="100" spans="1:6" ht="15" thickBot="1" x14ac:dyDescent="0.35">
      <c r="A100" s="294"/>
      <c r="B100" s="296"/>
      <c r="C100" s="253">
        <v>12</v>
      </c>
      <c r="D100" s="254" t="s">
        <v>1598</v>
      </c>
      <c r="E100" s="254">
        <v>0</v>
      </c>
      <c r="F100" s="255">
        <f t="shared" si="1"/>
        <v>0</v>
      </c>
    </row>
    <row r="101" spans="1:6" x14ac:dyDescent="0.3">
      <c r="A101" s="293">
        <v>46172</v>
      </c>
      <c r="B101" s="295" t="s">
        <v>1647</v>
      </c>
      <c r="C101" s="250"/>
      <c r="D101" s="251" t="s">
        <v>1597</v>
      </c>
      <c r="E101" s="251">
        <v>0</v>
      </c>
      <c r="F101" s="252">
        <f t="shared" si="1"/>
        <v>0</v>
      </c>
    </row>
    <row r="102" spans="1:6" ht="15" thickBot="1" x14ac:dyDescent="0.35">
      <c r="A102" s="294"/>
      <c r="B102" s="296"/>
      <c r="C102" s="253">
        <v>21</v>
      </c>
      <c r="D102" s="254" t="s">
        <v>1598</v>
      </c>
      <c r="E102" s="254">
        <v>0</v>
      </c>
      <c r="F102" s="255">
        <f t="shared" si="1"/>
        <v>0</v>
      </c>
    </row>
    <row r="103" spans="1:6" x14ac:dyDescent="0.3">
      <c r="A103" s="293">
        <v>46174</v>
      </c>
      <c r="B103" s="295" t="s">
        <v>1648</v>
      </c>
      <c r="C103" s="250"/>
      <c r="D103" s="251" t="s">
        <v>1597</v>
      </c>
      <c r="E103" s="251">
        <v>0</v>
      </c>
      <c r="F103" s="252">
        <f t="shared" si="1"/>
        <v>0</v>
      </c>
    </row>
    <row r="104" spans="1:6" ht="15" thickBot="1" x14ac:dyDescent="0.35">
      <c r="A104" s="294"/>
      <c r="B104" s="296"/>
      <c r="C104" s="253">
        <v>10</v>
      </c>
      <c r="D104" s="254" t="s">
        <v>1598</v>
      </c>
      <c r="E104" s="254">
        <v>0</v>
      </c>
      <c r="F104" s="255">
        <f t="shared" si="1"/>
        <v>0</v>
      </c>
    </row>
    <row r="105" spans="1:6" x14ac:dyDescent="0.3">
      <c r="A105" s="293">
        <v>46174</v>
      </c>
      <c r="B105" s="295" t="s">
        <v>1649</v>
      </c>
      <c r="C105" s="250"/>
      <c r="D105" s="251" t="s">
        <v>1597</v>
      </c>
      <c r="E105" s="251">
        <v>0</v>
      </c>
      <c r="F105" s="252">
        <f t="shared" si="1"/>
        <v>0</v>
      </c>
    </row>
    <row r="106" spans="1:6" ht="15" thickBot="1" x14ac:dyDescent="0.35">
      <c r="A106" s="294"/>
      <c r="B106" s="296"/>
      <c r="C106" s="253">
        <v>33</v>
      </c>
      <c r="D106" s="254" t="s">
        <v>1598</v>
      </c>
      <c r="E106" s="254">
        <v>0</v>
      </c>
      <c r="F106" s="255">
        <f t="shared" si="1"/>
        <v>0</v>
      </c>
    </row>
    <row r="107" spans="1:6" x14ac:dyDescent="0.3">
      <c r="A107" s="293">
        <v>46179</v>
      </c>
      <c r="B107" s="295" t="s">
        <v>1650</v>
      </c>
      <c r="C107" s="250"/>
      <c r="D107" s="251" t="s">
        <v>1597</v>
      </c>
      <c r="E107" s="251">
        <v>0</v>
      </c>
      <c r="F107" s="252">
        <f t="shared" si="1"/>
        <v>0</v>
      </c>
    </row>
    <row r="108" spans="1:6" ht="15" thickBot="1" x14ac:dyDescent="0.35">
      <c r="A108" s="294"/>
      <c r="B108" s="296"/>
      <c r="C108" s="253">
        <v>105</v>
      </c>
      <c r="D108" s="254" t="s">
        <v>1598</v>
      </c>
      <c r="E108" s="254">
        <v>0</v>
      </c>
      <c r="F108" s="255">
        <f t="shared" si="1"/>
        <v>0</v>
      </c>
    </row>
    <row r="109" spans="1:6" x14ac:dyDescent="0.3">
      <c r="A109" s="293">
        <v>46179</v>
      </c>
      <c r="B109" s="295" t="s">
        <v>1651</v>
      </c>
      <c r="C109" s="250"/>
      <c r="D109" s="251" t="s">
        <v>1597</v>
      </c>
      <c r="E109" s="251">
        <v>0</v>
      </c>
      <c r="F109" s="252">
        <f t="shared" si="1"/>
        <v>0</v>
      </c>
    </row>
    <row r="110" spans="1:6" ht="15" thickBot="1" x14ac:dyDescent="0.35">
      <c r="A110" s="294"/>
      <c r="B110" s="296"/>
      <c r="C110" s="253">
        <v>57</v>
      </c>
      <c r="D110" s="254" t="s">
        <v>1598</v>
      </c>
      <c r="E110" s="254">
        <v>0</v>
      </c>
      <c r="F110" s="255">
        <f t="shared" si="1"/>
        <v>0</v>
      </c>
    </row>
    <row r="111" spans="1:6" x14ac:dyDescent="0.3">
      <c r="A111" s="293">
        <v>46187</v>
      </c>
      <c r="B111" s="295" t="s">
        <v>1652</v>
      </c>
      <c r="C111" s="250"/>
      <c r="D111" s="251" t="s">
        <v>1597</v>
      </c>
      <c r="E111" s="251">
        <v>0</v>
      </c>
      <c r="F111" s="252">
        <f t="shared" si="1"/>
        <v>0</v>
      </c>
    </row>
    <row r="112" spans="1:6" ht="15" thickBot="1" x14ac:dyDescent="0.35">
      <c r="A112" s="294"/>
      <c r="B112" s="296"/>
      <c r="C112" s="253">
        <v>15</v>
      </c>
      <c r="D112" s="254" t="s">
        <v>1598</v>
      </c>
      <c r="E112" s="254">
        <v>0</v>
      </c>
      <c r="F112" s="255">
        <f t="shared" si="1"/>
        <v>0</v>
      </c>
    </row>
    <row r="113" spans="1:6" x14ac:dyDescent="0.3">
      <c r="A113" s="293">
        <v>46193</v>
      </c>
      <c r="B113" s="295" t="s">
        <v>1653</v>
      </c>
      <c r="C113" s="250"/>
      <c r="D113" s="251" t="s">
        <v>1597</v>
      </c>
      <c r="E113" s="251">
        <v>0</v>
      </c>
      <c r="F113" s="252">
        <f t="shared" si="1"/>
        <v>0</v>
      </c>
    </row>
    <row r="114" spans="1:6" ht="15" thickBot="1" x14ac:dyDescent="0.35">
      <c r="A114" s="294"/>
      <c r="B114" s="296"/>
      <c r="C114" s="253">
        <v>57</v>
      </c>
      <c r="D114" s="254" t="s">
        <v>1598</v>
      </c>
      <c r="E114" s="254">
        <v>0</v>
      </c>
      <c r="F114" s="255">
        <f t="shared" si="1"/>
        <v>0</v>
      </c>
    </row>
    <row r="115" spans="1:6" x14ac:dyDescent="0.3">
      <c r="A115" s="293"/>
      <c r="B115" s="295"/>
      <c r="C115" s="250"/>
      <c r="D115" s="251" t="s">
        <v>1597</v>
      </c>
      <c r="E115" s="251">
        <v>0</v>
      </c>
      <c r="F115" s="252">
        <f t="shared" si="1"/>
        <v>0</v>
      </c>
    </row>
    <row r="116" spans="1:6" ht="15" thickBot="1" x14ac:dyDescent="0.35">
      <c r="A116" s="294"/>
      <c r="B116" s="296"/>
      <c r="C116" s="253"/>
      <c r="D116" s="254" t="s">
        <v>1598</v>
      </c>
      <c r="E116" s="254">
        <v>0</v>
      </c>
      <c r="F116" s="255">
        <f t="shared" si="1"/>
        <v>0</v>
      </c>
    </row>
    <row r="117" spans="1:6" x14ac:dyDescent="0.3">
      <c r="A117" s="293"/>
      <c r="B117" s="295"/>
      <c r="C117" s="250"/>
      <c r="D117" s="251" t="s">
        <v>1597</v>
      </c>
      <c r="E117" s="251">
        <v>0</v>
      </c>
      <c r="F117" s="252">
        <f t="shared" si="1"/>
        <v>0</v>
      </c>
    </row>
    <row r="118" spans="1:6" ht="15" thickBot="1" x14ac:dyDescent="0.35">
      <c r="A118" s="294"/>
      <c r="B118" s="296"/>
      <c r="C118" s="253"/>
      <c r="D118" s="254" t="s">
        <v>1598</v>
      </c>
      <c r="E118" s="254">
        <v>0</v>
      </c>
      <c r="F118" s="255">
        <f t="shared" si="1"/>
        <v>0</v>
      </c>
    </row>
    <row r="119" spans="1:6" x14ac:dyDescent="0.3">
      <c r="A119" s="293"/>
      <c r="B119" s="295"/>
      <c r="C119" s="250"/>
      <c r="D119" s="251" t="s">
        <v>1597</v>
      </c>
      <c r="E119" s="251">
        <v>0</v>
      </c>
      <c r="F119" s="252">
        <f t="shared" si="1"/>
        <v>0</v>
      </c>
    </row>
    <row r="120" spans="1:6" ht="15" thickBot="1" x14ac:dyDescent="0.35">
      <c r="A120" s="294"/>
      <c r="B120" s="296"/>
      <c r="C120" s="253"/>
      <c r="D120" s="254" t="s">
        <v>1598</v>
      </c>
      <c r="E120" s="254">
        <v>0</v>
      </c>
      <c r="F120" s="255">
        <f t="shared" si="1"/>
        <v>0</v>
      </c>
    </row>
    <row r="121" spans="1:6" x14ac:dyDescent="0.3">
      <c r="A121" s="293"/>
      <c r="B121" s="295"/>
      <c r="C121" s="250"/>
      <c r="D121" s="251" t="s">
        <v>1597</v>
      </c>
      <c r="E121" s="251">
        <v>0</v>
      </c>
      <c r="F121" s="252">
        <f t="shared" si="1"/>
        <v>0</v>
      </c>
    </row>
    <row r="122" spans="1:6" ht="15" thickBot="1" x14ac:dyDescent="0.35">
      <c r="A122" s="294"/>
      <c r="B122" s="296"/>
      <c r="C122" s="253"/>
      <c r="D122" s="254" t="s">
        <v>1598</v>
      </c>
      <c r="E122" s="254">
        <v>0</v>
      </c>
      <c r="F122" s="255">
        <f t="shared" si="1"/>
        <v>0</v>
      </c>
    </row>
    <row r="123" spans="1:6" x14ac:dyDescent="0.3">
      <c r="A123" s="293"/>
      <c r="B123" s="295"/>
      <c r="C123" s="250"/>
      <c r="D123" s="251" t="s">
        <v>1597</v>
      </c>
      <c r="E123" s="251">
        <v>0</v>
      </c>
      <c r="F123" s="252">
        <f t="shared" si="1"/>
        <v>0</v>
      </c>
    </row>
    <row r="124" spans="1:6" ht="15" thickBot="1" x14ac:dyDescent="0.35">
      <c r="A124" s="294"/>
      <c r="B124" s="296"/>
      <c r="C124" s="253"/>
      <c r="D124" s="254" t="s">
        <v>1598</v>
      </c>
      <c r="E124" s="254">
        <v>0</v>
      </c>
      <c r="F124" s="255">
        <f t="shared" si="1"/>
        <v>0</v>
      </c>
    </row>
    <row r="125" spans="1:6" x14ac:dyDescent="0.3">
      <c r="A125" s="293"/>
      <c r="B125" s="295"/>
      <c r="C125" s="250"/>
      <c r="D125" s="251" t="s">
        <v>1597</v>
      </c>
      <c r="E125" s="251">
        <v>0</v>
      </c>
      <c r="F125" s="252">
        <f t="shared" si="1"/>
        <v>0</v>
      </c>
    </row>
    <row r="126" spans="1:6" ht="15" thickBot="1" x14ac:dyDescent="0.35">
      <c r="A126" s="294"/>
      <c r="B126" s="296"/>
      <c r="C126" s="253"/>
      <c r="D126" s="254" t="s">
        <v>1598</v>
      </c>
      <c r="E126" s="254">
        <v>0</v>
      </c>
      <c r="F126" s="255">
        <f t="shared" si="1"/>
        <v>0</v>
      </c>
    </row>
    <row r="127" spans="1:6" x14ac:dyDescent="0.3">
      <c r="A127" s="293"/>
      <c r="B127" s="295"/>
      <c r="C127" s="250"/>
      <c r="D127" s="251" t="s">
        <v>1597</v>
      </c>
      <c r="E127" s="251">
        <v>0</v>
      </c>
      <c r="F127" s="252">
        <f t="shared" si="1"/>
        <v>0</v>
      </c>
    </row>
    <row r="128" spans="1:6" ht="15" thickBot="1" x14ac:dyDescent="0.35">
      <c r="A128" s="294"/>
      <c r="B128" s="296"/>
      <c r="C128" s="253"/>
      <c r="D128" s="254" t="s">
        <v>1598</v>
      </c>
      <c r="E128" s="254">
        <v>0</v>
      </c>
      <c r="F128" s="255">
        <f t="shared" si="1"/>
        <v>0</v>
      </c>
    </row>
    <row r="129" spans="1:6" x14ac:dyDescent="0.3">
      <c r="A129" s="293"/>
      <c r="B129" s="295"/>
      <c r="C129" s="250"/>
      <c r="D129" s="251" t="s">
        <v>1597</v>
      </c>
      <c r="E129" s="251">
        <v>0</v>
      </c>
      <c r="F129" s="252">
        <f t="shared" si="1"/>
        <v>0</v>
      </c>
    </row>
    <row r="130" spans="1:6" ht="15" thickBot="1" x14ac:dyDescent="0.35">
      <c r="A130" s="294"/>
      <c r="B130" s="296"/>
      <c r="C130" s="253"/>
      <c r="D130" s="254" t="s">
        <v>1598</v>
      </c>
      <c r="E130" s="254">
        <v>0</v>
      </c>
      <c r="F130" s="255">
        <f t="shared" ref="F130:F158" si="2">C130*E130</f>
        <v>0</v>
      </c>
    </row>
    <row r="131" spans="1:6" x14ac:dyDescent="0.3">
      <c r="A131" s="293"/>
      <c r="B131" s="295"/>
      <c r="C131" s="250"/>
      <c r="D131" s="251" t="s">
        <v>1597</v>
      </c>
      <c r="E131" s="251">
        <v>0</v>
      </c>
      <c r="F131" s="252">
        <f t="shared" si="2"/>
        <v>0</v>
      </c>
    </row>
    <row r="132" spans="1:6" ht="15" thickBot="1" x14ac:dyDescent="0.35">
      <c r="A132" s="294"/>
      <c r="B132" s="296"/>
      <c r="C132" s="253"/>
      <c r="D132" s="254" t="s">
        <v>1598</v>
      </c>
      <c r="E132" s="254">
        <v>0</v>
      </c>
      <c r="F132" s="255">
        <f t="shared" si="2"/>
        <v>0</v>
      </c>
    </row>
    <row r="133" spans="1:6" x14ac:dyDescent="0.3">
      <c r="A133" s="293"/>
      <c r="B133" s="295"/>
      <c r="C133" s="250"/>
      <c r="D133" s="251" t="s">
        <v>1597</v>
      </c>
      <c r="E133" s="251">
        <v>0</v>
      </c>
      <c r="F133" s="252">
        <f t="shared" si="2"/>
        <v>0</v>
      </c>
    </row>
    <row r="134" spans="1:6" ht="15" thickBot="1" x14ac:dyDescent="0.35">
      <c r="A134" s="294"/>
      <c r="B134" s="296"/>
      <c r="C134" s="253"/>
      <c r="D134" s="254" t="s">
        <v>1598</v>
      </c>
      <c r="E134" s="254">
        <v>0</v>
      </c>
      <c r="F134" s="255">
        <f t="shared" si="2"/>
        <v>0</v>
      </c>
    </row>
    <row r="135" spans="1:6" x14ac:dyDescent="0.3">
      <c r="A135" s="293"/>
      <c r="B135" s="295"/>
      <c r="C135" s="250"/>
      <c r="D135" s="251" t="s">
        <v>1597</v>
      </c>
      <c r="E135" s="251">
        <v>0</v>
      </c>
      <c r="F135" s="252">
        <f t="shared" si="2"/>
        <v>0</v>
      </c>
    </row>
    <row r="136" spans="1:6" ht="15" thickBot="1" x14ac:dyDescent="0.35">
      <c r="A136" s="294"/>
      <c r="B136" s="296"/>
      <c r="C136" s="253"/>
      <c r="D136" s="254" t="s">
        <v>1598</v>
      </c>
      <c r="E136" s="254">
        <v>0</v>
      </c>
      <c r="F136" s="255">
        <f t="shared" si="2"/>
        <v>0</v>
      </c>
    </row>
    <row r="137" spans="1:6" x14ac:dyDescent="0.3">
      <c r="A137" s="293"/>
      <c r="B137" s="295"/>
      <c r="C137" s="250"/>
      <c r="D137" s="251" t="s">
        <v>1597</v>
      </c>
      <c r="E137" s="251">
        <v>0</v>
      </c>
      <c r="F137" s="252">
        <f t="shared" si="2"/>
        <v>0</v>
      </c>
    </row>
    <row r="138" spans="1:6" ht="15" thickBot="1" x14ac:dyDescent="0.35">
      <c r="A138" s="294"/>
      <c r="B138" s="296"/>
      <c r="C138" s="253"/>
      <c r="D138" s="254" t="s">
        <v>1598</v>
      </c>
      <c r="E138" s="254">
        <v>0</v>
      </c>
      <c r="F138" s="255">
        <f t="shared" si="2"/>
        <v>0</v>
      </c>
    </row>
    <row r="139" spans="1:6" x14ac:dyDescent="0.3">
      <c r="A139" s="293"/>
      <c r="B139" s="295"/>
      <c r="C139" s="250"/>
      <c r="D139" s="251" t="s">
        <v>1597</v>
      </c>
      <c r="E139" s="251">
        <v>0</v>
      </c>
      <c r="F139" s="252">
        <f t="shared" si="2"/>
        <v>0</v>
      </c>
    </row>
    <row r="140" spans="1:6" ht="15" thickBot="1" x14ac:dyDescent="0.35">
      <c r="A140" s="294"/>
      <c r="B140" s="296"/>
      <c r="C140" s="253"/>
      <c r="D140" s="254" t="s">
        <v>1598</v>
      </c>
      <c r="E140" s="254">
        <v>0</v>
      </c>
      <c r="F140" s="255">
        <f t="shared" si="2"/>
        <v>0</v>
      </c>
    </row>
    <row r="141" spans="1:6" x14ac:dyDescent="0.3">
      <c r="A141" s="293"/>
      <c r="B141" s="295"/>
      <c r="C141" s="250"/>
      <c r="D141" s="251" t="s">
        <v>1597</v>
      </c>
      <c r="E141" s="251">
        <v>0</v>
      </c>
      <c r="F141" s="252">
        <f t="shared" si="2"/>
        <v>0</v>
      </c>
    </row>
    <row r="142" spans="1:6" ht="15" thickBot="1" x14ac:dyDescent="0.35">
      <c r="A142" s="294"/>
      <c r="B142" s="296"/>
      <c r="C142" s="253"/>
      <c r="D142" s="254" t="s">
        <v>1598</v>
      </c>
      <c r="E142" s="254">
        <v>0</v>
      </c>
      <c r="F142" s="255">
        <f t="shared" si="2"/>
        <v>0</v>
      </c>
    </row>
    <row r="143" spans="1:6" x14ac:dyDescent="0.3">
      <c r="A143" s="293"/>
      <c r="B143" s="295"/>
      <c r="C143" s="250"/>
      <c r="D143" s="251" t="s">
        <v>1597</v>
      </c>
      <c r="E143" s="251">
        <v>0</v>
      </c>
      <c r="F143" s="252">
        <f t="shared" si="2"/>
        <v>0</v>
      </c>
    </row>
    <row r="144" spans="1:6" ht="15" thickBot="1" x14ac:dyDescent="0.35">
      <c r="A144" s="294"/>
      <c r="B144" s="296"/>
      <c r="C144" s="253"/>
      <c r="D144" s="254" t="s">
        <v>1598</v>
      </c>
      <c r="E144" s="254">
        <v>0</v>
      </c>
      <c r="F144" s="255">
        <f t="shared" si="2"/>
        <v>0</v>
      </c>
    </row>
    <row r="145" spans="1:6" x14ac:dyDescent="0.3">
      <c r="A145" s="293"/>
      <c r="B145" s="295"/>
      <c r="C145" s="250"/>
      <c r="D145" s="251" t="s">
        <v>1597</v>
      </c>
      <c r="E145" s="251">
        <v>0</v>
      </c>
      <c r="F145" s="252">
        <f t="shared" si="2"/>
        <v>0</v>
      </c>
    </row>
    <row r="146" spans="1:6" ht="15" thickBot="1" x14ac:dyDescent="0.35">
      <c r="A146" s="294"/>
      <c r="B146" s="296"/>
      <c r="C146" s="253"/>
      <c r="D146" s="254" t="s">
        <v>1598</v>
      </c>
      <c r="E146" s="254">
        <v>0</v>
      </c>
      <c r="F146" s="255">
        <f t="shared" si="2"/>
        <v>0</v>
      </c>
    </row>
    <row r="147" spans="1:6" x14ac:dyDescent="0.3">
      <c r="A147" s="293"/>
      <c r="B147" s="295"/>
      <c r="C147" s="250"/>
      <c r="D147" s="251" t="s">
        <v>1597</v>
      </c>
      <c r="E147" s="251">
        <v>0</v>
      </c>
      <c r="F147" s="252">
        <f t="shared" si="2"/>
        <v>0</v>
      </c>
    </row>
    <row r="148" spans="1:6" ht="15" thickBot="1" x14ac:dyDescent="0.35">
      <c r="A148" s="294"/>
      <c r="B148" s="296"/>
      <c r="C148" s="253"/>
      <c r="D148" s="254" t="s">
        <v>1598</v>
      </c>
      <c r="E148" s="254">
        <v>0</v>
      </c>
      <c r="F148" s="255">
        <f t="shared" si="2"/>
        <v>0</v>
      </c>
    </row>
    <row r="149" spans="1:6" x14ac:dyDescent="0.3">
      <c r="A149" s="293"/>
      <c r="B149" s="295"/>
      <c r="C149" s="250"/>
      <c r="D149" s="251" t="s">
        <v>1597</v>
      </c>
      <c r="E149" s="251">
        <v>0</v>
      </c>
      <c r="F149" s="252">
        <f t="shared" si="2"/>
        <v>0</v>
      </c>
    </row>
    <row r="150" spans="1:6" ht="15" thickBot="1" x14ac:dyDescent="0.35">
      <c r="A150" s="294"/>
      <c r="B150" s="296"/>
      <c r="C150" s="253"/>
      <c r="D150" s="254" t="s">
        <v>1598</v>
      </c>
      <c r="E150" s="254">
        <v>0</v>
      </c>
      <c r="F150" s="255">
        <f t="shared" si="2"/>
        <v>0</v>
      </c>
    </row>
    <row r="151" spans="1:6" x14ac:dyDescent="0.3">
      <c r="A151" s="293"/>
      <c r="B151" s="295"/>
      <c r="C151" s="250"/>
      <c r="D151" s="251" t="s">
        <v>1597</v>
      </c>
      <c r="E151" s="251">
        <v>0</v>
      </c>
      <c r="F151" s="252">
        <f t="shared" si="2"/>
        <v>0</v>
      </c>
    </row>
    <row r="152" spans="1:6" ht="15" thickBot="1" x14ac:dyDescent="0.35">
      <c r="A152" s="294"/>
      <c r="B152" s="296"/>
      <c r="C152" s="253"/>
      <c r="D152" s="254" t="s">
        <v>1598</v>
      </c>
      <c r="E152" s="254">
        <v>0</v>
      </c>
      <c r="F152" s="255">
        <f t="shared" si="2"/>
        <v>0</v>
      </c>
    </row>
    <row r="153" spans="1:6" x14ac:dyDescent="0.3">
      <c r="A153" s="293"/>
      <c r="B153" s="295"/>
      <c r="C153" s="250"/>
      <c r="D153" s="251" t="s">
        <v>1597</v>
      </c>
      <c r="E153" s="251">
        <v>0</v>
      </c>
      <c r="F153" s="252">
        <f t="shared" si="2"/>
        <v>0</v>
      </c>
    </row>
    <row r="154" spans="1:6" ht="15" thickBot="1" x14ac:dyDescent="0.35">
      <c r="A154" s="294"/>
      <c r="B154" s="296"/>
      <c r="C154" s="253"/>
      <c r="D154" s="254" t="s">
        <v>1598</v>
      </c>
      <c r="E154" s="254">
        <v>0</v>
      </c>
      <c r="F154" s="255">
        <f t="shared" si="2"/>
        <v>0</v>
      </c>
    </row>
    <row r="155" spans="1:6" x14ac:dyDescent="0.3">
      <c r="A155" s="293"/>
      <c r="B155" s="295"/>
      <c r="C155" s="250"/>
      <c r="D155" s="251" t="s">
        <v>1597</v>
      </c>
      <c r="E155" s="251">
        <v>0</v>
      </c>
      <c r="F155" s="252">
        <f t="shared" si="2"/>
        <v>0</v>
      </c>
    </row>
    <row r="156" spans="1:6" ht="15" thickBot="1" x14ac:dyDescent="0.35">
      <c r="A156" s="294"/>
      <c r="B156" s="296"/>
      <c r="C156" s="253"/>
      <c r="D156" s="254" t="s">
        <v>1598</v>
      </c>
      <c r="E156" s="254">
        <v>0</v>
      </c>
      <c r="F156" s="255">
        <f t="shared" si="2"/>
        <v>0</v>
      </c>
    </row>
    <row r="157" spans="1:6" x14ac:dyDescent="0.3">
      <c r="A157" s="293"/>
      <c r="B157" s="295"/>
      <c r="C157" s="250"/>
      <c r="D157" s="251" t="s">
        <v>1597</v>
      </c>
      <c r="E157" s="251">
        <v>0</v>
      </c>
      <c r="F157" s="252">
        <f t="shared" si="2"/>
        <v>0</v>
      </c>
    </row>
    <row r="158" spans="1:6" ht="15" thickBot="1" x14ac:dyDescent="0.35">
      <c r="A158" s="294"/>
      <c r="B158" s="296"/>
      <c r="C158" s="253"/>
      <c r="D158" s="254" t="s">
        <v>1598</v>
      </c>
      <c r="E158" s="254">
        <v>0</v>
      </c>
      <c r="F158" s="255">
        <f t="shared" si="2"/>
        <v>0</v>
      </c>
    </row>
  </sheetData>
  <mergeCells count="153">
    <mergeCell ref="A2:A3"/>
    <mergeCell ref="B2:B3"/>
    <mergeCell ref="A4:A5"/>
    <mergeCell ref="B4:B5"/>
    <mergeCell ref="A6:A7"/>
    <mergeCell ref="B6:B7"/>
    <mergeCell ref="A15:A16"/>
    <mergeCell ref="B15:B16"/>
    <mergeCell ref="A17:A18"/>
    <mergeCell ref="B17:B18"/>
    <mergeCell ref="A19:A20"/>
    <mergeCell ref="B19:B20"/>
    <mergeCell ref="A8:F8"/>
    <mergeCell ref="A9:A10"/>
    <mergeCell ref="B9:B10"/>
    <mergeCell ref="A11:A12"/>
    <mergeCell ref="B11:B12"/>
    <mergeCell ref="A13:A14"/>
    <mergeCell ref="B13:B14"/>
    <mergeCell ref="A27:A28"/>
    <mergeCell ref="B27:B28"/>
    <mergeCell ref="A29:A30"/>
    <mergeCell ref="B29:B30"/>
    <mergeCell ref="A31:A32"/>
    <mergeCell ref="B31:B32"/>
    <mergeCell ref="A21:A22"/>
    <mergeCell ref="B21:B22"/>
    <mergeCell ref="A23:A24"/>
    <mergeCell ref="B23:B24"/>
    <mergeCell ref="A25:A26"/>
    <mergeCell ref="B25:B26"/>
    <mergeCell ref="A39:A40"/>
    <mergeCell ref="B39:B40"/>
    <mergeCell ref="A41:A42"/>
    <mergeCell ref="B41:B42"/>
    <mergeCell ref="A43:A44"/>
    <mergeCell ref="B43:B44"/>
    <mergeCell ref="A33:A34"/>
    <mergeCell ref="B33:B34"/>
    <mergeCell ref="A35:A36"/>
    <mergeCell ref="B35:B36"/>
    <mergeCell ref="A37:A38"/>
    <mergeCell ref="B37:B38"/>
    <mergeCell ref="A51:A52"/>
    <mergeCell ref="B51:B52"/>
    <mergeCell ref="A53:A54"/>
    <mergeCell ref="B53:B54"/>
    <mergeCell ref="A55:A56"/>
    <mergeCell ref="B55:B56"/>
    <mergeCell ref="A45:A46"/>
    <mergeCell ref="B45:B46"/>
    <mergeCell ref="A47:A48"/>
    <mergeCell ref="B47:B48"/>
    <mergeCell ref="A49:A50"/>
    <mergeCell ref="B49:B50"/>
    <mergeCell ref="A65:A66"/>
    <mergeCell ref="B65:B66"/>
    <mergeCell ref="A69:A70"/>
    <mergeCell ref="B69:B70"/>
    <mergeCell ref="A71:A72"/>
    <mergeCell ref="B71:B72"/>
    <mergeCell ref="A57:A58"/>
    <mergeCell ref="B57:B58"/>
    <mergeCell ref="A59:A60"/>
    <mergeCell ref="B59:B60"/>
    <mergeCell ref="A63:A64"/>
    <mergeCell ref="B63:B64"/>
    <mergeCell ref="A79:A80"/>
    <mergeCell ref="B79:B80"/>
    <mergeCell ref="A81:A82"/>
    <mergeCell ref="B81:B82"/>
    <mergeCell ref="A83:A84"/>
    <mergeCell ref="B83:B84"/>
    <mergeCell ref="A73:A74"/>
    <mergeCell ref="B73:B74"/>
    <mergeCell ref="A75:A76"/>
    <mergeCell ref="B75:B76"/>
    <mergeCell ref="A77:A78"/>
    <mergeCell ref="B77:B78"/>
    <mergeCell ref="A91:A92"/>
    <mergeCell ref="B91:B92"/>
    <mergeCell ref="A93:A94"/>
    <mergeCell ref="B93:B94"/>
    <mergeCell ref="A95:A96"/>
    <mergeCell ref="B95:B96"/>
    <mergeCell ref="A85:A86"/>
    <mergeCell ref="B85:B86"/>
    <mergeCell ref="A87:A88"/>
    <mergeCell ref="B87:B88"/>
    <mergeCell ref="A89:A90"/>
    <mergeCell ref="B89:B90"/>
    <mergeCell ref="A103:A104"/>
    <mergeCell ref="B103:B104"/>
    <mergeCell ref="A105:A106"/>
    <mergeCell ref="B105:B106"/>
    <mergeCell ref="A107:A108"/>
    <mergeCell ref="B107:B108"/>
    <mergeCell ref="A97:A98"/>
    <mergeCell ref="B97:B98"/>
    <mergeCell ref="A99:A100"/>
    <mergeCell ref="B99:B100"/>
    <mergeCell ref="A101:A102"/>
    <mergeCell ref="B101:B102"/>
    <mergeCell ref="A115:A116"/>
    <mergeCell ref="B115:B116"/>
    <mergeCell ref="A117:A118"/>
    <mergeCell ref="B117:B118"/>
    <mergeCell ref="A119:A120"/>
    <mergeCell ref="B119:B120"/>
    <mergeCell ref="A109:A110"/>
    <mergeCell ref="B109:B110"/>
    <mergeCell ref="A111:A112"/>
    <mergeCell ref="B111:B112"/>
    <mergeCell ref="A113:A114"/>
    <mergeCell ref="B113:B114"/>
    <mergeCell ref="A127:A128"/>
    <mergeCell ref="B127:B128"/>
    <mergeCell ref="A129:A130"/>
    <mergeCell ref="B129:B130"/>
    <mergeCell ref="A131:A132"/>
    <mergeCell ref="B131:B132"/>
    <mergeCell ref="A121:A122"/>
    <mergeCell ref="B121:B122"/>
    <mergeCell ref="A123:A124"/>
    <mergeCell ref="B123:B124"/>
    <mergeCell ref="A125:A126"/>
    <mergeCell ref="B125:B126"/>
    <mergeCell ref="A139:A140"/>
    <mergeCell ref="B139:B140"/>
    <mergeCell ref="A141:A142"/>
    <mergeCell ref="B141:B142"/>
    <mergeCell ref="A143:A144"/>
    <mergeCell ref="B143:B144"/>
    <mergeCell ref="A133:A134"/>
    <mergeCell ref="B133:B134"/>
    <mergeCell ref="A135:A136"/>
    <mergeCell ref="B135:B136"/>
    <mergeCell ref="A137:A138"/>
    <mergeCell ref="B137:B138"/>
    <mergeCell ref="A157:A158"/>
    <mergeCell ref="B157:B158"/>
    <mergeCell ref="A151:A152"/>
    <mergeCell ref="B151:B152"/>
    <mergeCell ref="A153:A154"/>
    <mergeCell ref="B153:B154"/>
    <mergeCell ref="A155:A156"/>
    <mergeCell ref="B155:B156"/>
    <mergeCell ref="A145:A146"/>
    <mergeCell ref="B145:B146"/>
    <mergeCell ref="A147:A148"/>
    <mergeCell ref="B147:B148"/>
    <mergeCell ref="A149:A150"/>
    <mergeCell ref="B149:B1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 Productos</vt:lpstr>
      <vt:lpstr>2. Servicios</vt:lpstr>
      <vt:lpstr>3. Clientes</vt:lpstr>
      <vt:lpstr>4. Gastos</vt:lpstr>
      <vt:lpstr>5. Citas y Ventas</vt:lpstr>
      <vt:lpstr>Hoja1</vt:lpstr>
      <vt:lpstr>retenciones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Elizabeth Pardo Chasillacta</cp:lastModifiedBy>
  <dcterms:created xsi:type="dcterms:W3CDTF">2026-06-25T00:51:29Z</dcterms:created>
  <dcterms:modified xsi:type="dcterms:W3CDTF">2026-07-02T13:18:59Z</dcterms:modified>
</cp:coreProperties>
</file>