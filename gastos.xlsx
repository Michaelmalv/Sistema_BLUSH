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AC0DC49-F7B1-471A-A8A6-86F5D36C517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Ingresos" sheetId="1" r:id="rId1"/>
    <sheet name="Gastos" sheetId="2" r:id="rId2"/>
    <sheet name="Gastos (AP" sheetId="7" r:id="rId3"/>
    <sheet name="Retenciones" sheetId="3" r:id="rId4"/>
  </sheets>
  <definedNames>
    <definedName name="_xlnm._FilterDatabase" localSheetId="1" hidden="1">Gastos!$A$1:$H$260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5" i="2" l="1"/>
  <c r="L57" i="2"/>
  <c r="H273" i="2" l="1"/>
  <c r="I273" i="2" s="1"/>
  <c r="H272" i="2"/>
  <c r="I272" i="2" s="1"/>
  <c r="J272" i="2" s="1"/>
  <c r="K272" i="2" s="1"/>
  <c r="H271" i="2"/>
  <c r="I271" i="2" s="1"/>
  <c r="H270" i="2"/>
  <c r="I270" i="2"/>
  <c r="H269" i="2"/>
  <c r="H268" i="2"/>
  <c r="I268" i="2" s="1"/>
  <c r="H267" i="2"/>
  <c r="I267" i="2" s="1"/>
  <c r="H266" i="2"/>
  <c r="I266" i="2" s="1"/>
  <c r="H265" i="2"/>
  <c r="I265" i="2" s="1"/>
  <c r="H264" i="2"/>
  <c r="I264" i="2"/>
  <c r="H263" i="2"/>
  <c r="J9" i="7"/>
  <c r="K9" i="7" s="1"/>
  <c r="J10" i="7"/>
  <c r="K10" i="7" s="1"/>
  <c r="J165" i="7"/>
  <c r="I9" i="7"/>
  <c r="I10" i="7"/>
  <c r="I165" i="7"/>
  <c r="I115" i="2"/>
  <c r="J115" i="2" s="1"/>
  <c r="I269" i="2" l="1"/>
  <c r="J269" i="2" s="1"/>
  <c r="J271" i="2"/>
  <c r="J264" i="2"/>
  <c r="J270" i="2"/>
  <c r="J273" i="2"/>
  <c r="K273" i="2" s="1"/>
  <c r="J268" i="2"/>
  <c r="J267" i="2"/>
  <c r="K267" i="2" s="1"/>
  <c r="J266" i="2"/>
  <c r="K266" i="2" s="1"/>
  <c r="J265" i="2"/>
  <c r="I263" i="2"/>
  <c r="J263" i="2" s="1"/>
  <c r="K263" i="2" s="1"/>
  <c r="K268" i="2" l="1"/>
  <c r="K264" i="2"/>
  <c r="G255" i="2"/>
  <c r="H255" i="2"/>
  <c r="I255" i="2" s="1"/>
  <c r="J255" i="2" s="1"/>
  <c r="H253" i="2"/>
  <c r="I253" i="2" s="1"/>
  <c r="J253" i="2" s="1"/>
  <c r="H254" i="2"/>
  <c r="I254" i="2" s="1"/>
  <c r="J254" i="2" s="1"/>
  <c r="H256" i="2"/>
  <c r="I256" i="2" s="1"/>
  <c r="J256" i="2" s="1"/>
  <c r="H257" i="2"/>
  <c r="I257" i="2" s="1"/>
  <c r="J257" i="2" s="1"/>
  <c r="H258" i="2"/>
  <c r="I258" i="2" s="1"/>
  <c r="J258" i="2" s="1"/>
  <c r="H259" i="2"/>
  <c r="H260" i="2"/>
  <c r="H252" i="2"/>
  <c r="H251" i="2"/>
  <c r="H250" i="2"/>
  <c r="H246" i="2"/>
  <c r="I246" i="2" s="1"/>
  <c r="J246" i="2" s="1"/>
  <c r="H247" i="2"/>
  <c r="H248" i="2"/>
  <c r="H249" i="2"/>
  <c r="G245" i="2"/>
  <c r="H245" i="2" s="1"/>
  <c r="I245" i="2" l="1"/>
  <c r="J245" i="2" s="1"/>
  <c r="I260" i="2"/>
  <c r="J260" i="2"/>
  <c r="I259" i="2"/>
  <c r="J259" i="2" s="1"/>
  <c r="I249" i="2"/>
  <c r="J249" i="2"/>
  <c r="K249" i="2" s="1"/>
  <c r="I248" i="2"/>
  <c r="J248" i="2"/>
  <c r="I247" i="2"/>
  <c r="J247" i="2"/>
  <c r="I250" i="2"/>
  <c r="J250" i="2" s="1"/>
  <c r="K250" i="2" s="1"/>
  <c r="I251" i="2"/>
  <c r="J251" i="2" s="1"/>
  <c r="I252" i="2"/>
  <c r="J252" i="2" s="1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H244" i="2"/>
  <c r="I244" i="2" s="1"/>
  <c r="J244" i="2" s="1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8" i="2"/>
  <c r="H227" i="2"/>
  <c r="H226" i="2"/>
  <c r="H225" i="2"/>
  <c r="H224" i="2"/>
  <c r="H223" i="2"/>
  <c r="H222" i="2"/>
  <c r="H221" i="2"/>
  <c r="I221" i="2" s="1"/>
  <c r="J221" i="2" s="1"/>
  <c r="K221" i="2" s="1"/>
  <c r="F80" i="3"/>
  <c r="F79" i="3"/>
  <c r="F78" i="3"/>
  <c r="F77" i="3"/>
  <c r="F76" i="3"/>
  <c r="F75" i="3"/>
  <c r="F74" i="3"/>
  <c r="F73" i="3"/>
  <c r="F66" i="3"/>
  <c r="F65" i="3"/>
  <c r="F64" i="3"/>
  <c r="F63" i="3"/>
  <c r="F62" i="3"/>
  <c r="F61" i="3"/>
  <c r="F72" i="3"/>
  <c r="F71" i="3"/>
  <c r="F70" i="3"/>
  <c r="F69" i="3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2" i="2"/>
  <c r="H201" i="2"/>
  <c r="H200" i="2"/>
  <c r="H199" i="2"/>
  <c r="H198" i="2"/>
  <c r="H197" i="2"/>
  <c r="H196" i="2"/>
  <c r="H195" i="2"/>
  <c r="H194" i="2"/>
  <c r="H193" i="2"/>
  <c r="H192" i="2"/>
  <c r="H147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7" i="2"/>
  <c r="H176" i="2"/>
  <c r="H175" i="2"/>
  <c r="H174" i="2"/>
  <c r="H173" i="2"/>
  <c r="H172" i="2"/>
  <c r="H171" i="2"/>
  <c r="H164" i="2"/>
  <c r="H165" i="2"/>
  <c r="H166" i="2"/>
  <c r="H167" i="2"/>
  <c r="H168" i="2"/>
  <c r="H169" i="2"/>
  <c r="H170" i="2"/>
  <c r="H163" i="2"/>
  <c r="H162" i="2"/>
  <c r="H161" i="2"/>
  <c r="H160" i="2"/>
  <c r="H159" i="2"/>
  <c r="H158" i="2"/>
  <c r="H157" i="2"/>
  <c r="H156" i="2"/>
  <c r="H155" i="2"/>
  <c r="H154" i="2"/>
  <c r="H150" i="2"/>
  <c r="H153" i="2"/>
  <c r="H152" i="2"/>
  <c r="H151" i="2"/>
  <c r="H148" i="2"/>
  <c r="H94" i="2"/>
  <c r="F5" i="3"/>
  <c r="F4" i="3"/>
  <c r="F68" i="3"/>
  <c r="F67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43" i="7"/>
  <c r="H44" i="7"/>
  <c r="H45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27" i="7"/>
  <c r="H26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11" i="7"/>
  <c r="H8" i="7"/>
  <c r="H38" i="2"/>
  <c r="H5" i="2"/>
  <c r="H36" i="2"/>
  <c r="H37" i="2"/>
  <c r="H3" i="2"/>
  <c r="H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H39" i="2"/>
  <c r="H40" i="2"/>
  <c r="H41" i="2"/>
  <c r="H42" i="2"/>
  <c r="H91" i="7"/>
  <c r="H92" i="7"/>
  <c r="H93" i="7"/>
  <c r="H94" i="7"/>
  <c r="H95" i="7"/>
  <c r="H96" i="7"/>
  <c r="H97" i="7"/>
  <c r="H98" i="7"/>
  <c r="H99" i="7"/>
  <c r="H100" i="7"/>
  <c r="H101" i="7"/>
  <c r="H90" i="7"/>
  <c r="H87" i="7"/>
  <c r="H88" i="7"/>
  <c r="H89" i="7"/>
  <c r="H140" i="7"/>
  <c r="H7" i="7"/>
  <c r="H197" i="7"/>
  <c r="H195" i="7"/>
  <c r="H194" i="7"/>
  <c r="H193" i="7"/>
  <c r="H192" i="7"/>
  <c r="H191" i="7"/>
  <c r="G190" i="7"/>
  <c r="H190" i="7" s="1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G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1" i="7"/>
  <c r="H150" i="7"/>
  <c r="H149" i="7"/>
  <c r="H148" i="7"/>
  <c r="H147" i="7"/>
  <c r="H146" i="7"/>
  <c r="H145" i="7"/>
  <c r="H144" i="7"/>
  <c r="H143" i="7"/>
  <c r="H142" i="7"/>
  <c r="H141" i="7"/>
  <c r="I161" i="7" l="1"/>
  <c r="J161" i="7" s="1"/>
  <c r="K161" i="7" s="1"/>
  <c r="I34" i="7"/>
  <c r="J34" i="7"/>
  <c r="I111" i="7"/>
  <c r="J111" i="7" s="1"/>
  <c r="I186" i="7"/>
  <c r="J186" i="7" s="1"/>
  <c r="I33" i="7"/>
  <c r="J33" i="7"/>
  <c r="I85" i="7"/>
  <c r="J85" i="7"/>
  <c r="I150" i="7"/>
  <c r="J150" i="7" s="1"/>
  <c r="I187" i="7"/>
  <c r="J187" i="7" s="1"/>
  <c r="I26" i="7"/>
  <c r="J26" i="7" s="1"/>
  <c r="I55" i="7"/>
  <c r="J55" i="7" s="1"/>
  <c r="I113" i="7"/>
  <c r="J113" i="7" s="1"/>
  <c r="I137" i="7"/>
  <c r="J137" i="7" s="1"/>
  <c r="I54" i="7"/>
  <c r="J54" i="7" s="1"/>
  <c r="I91" i="7"/>
  <c r="J91" i="7" s="1"/>
  <c r="K91" i="7" s="1"/>
  <c r="I42" i="7"/>
  <c r="J42" i="7" s="1"/>
  <c r="I64" i="7"/>
  <c r="J64" i="7" s="1"/>
  <c r="I139" i="7"/>
  <c r="J139" i="7" s="1"/>
  <c r="K139" i="7" s="1"/>
  <c r="I166" i="7"/>
  <c r="J166" i="7"/>
  <c r="I90" i="7"/>
  <c r="J90" i="7" s="1"/>
  <c r="K90" i="7" s="1"/>
  <c r="I52" i="7"/>
  <c r="J52" i="7" s="1"/>
  <c r="I104" i="7"/>
  <c r="J104" i="7"/>
  <c r="I142" i="7"/>
  <c r="J142" i="7"/>
  <c r="I179" i="7"/>
  <c r="J179" i="7"/>
  <c r="I28" i="7"/>
  <c r="J28" i="7" s="1"/>
  <c r="I66" i="7"/>
  <c r="J66" i="7" s="1"/>
  <c r="I117" i="7"/>
  <c r="J117" i="7"/>
  <c r="K117" i="7" s="1"/>
  <c r="I143" i="7"/>
  <c r="J143" i="7"/>
  <c r="I156" i="7"/>
  <c r="J156" i="7" s="1"/>
  <c r="K156" i="7" s="1"/>
  <c r="I168" i="7"/>
  <c r="J168" i="7" s="1"/>
  <c r="I180" i="7"/>
  <c r="J180" i="7" s="1"/>
  <c r="I192" i="7"/>
  <c r="J192" i="7"/>
  <c r="I100" i="7"/>
  <c r="J100" i="7" s="1"/>
  <c r="I18" i="7"/>
  <c r="J18" i="7" s="1"/>
  <c r="I39" i="7"/>
  <c r="J39" i="7" s="1"/>
  <c r="I45" i="7"/>
  <c r="J45" i="7"/>
  <c r="I50" i="7"/>
  <c r="J50" i="7" s="1"/>
  <c r="I67" i="7"/>
  <c r="J67" i="7" s="1"/>
  <c r="I79" i="7"/>
  <c r="J79" i="7" s="1"/>
  <c r="I106" i="7"/>
  <c r="J106" i="7"/>
  <c r="I118" i="7"/>
  <c r="J118" i="7"/>
  <c r="K118" i="7" s="1"/>
  <c r="I130" i="7"/>
  <c r="J130" i="7"/>
  <c r="I148" i="7"/>
  <c r="J148" i="7" s="1"/>
  <c r="I7" i="7"/>
  <c r="J7" i="7"/>
  <c r="K7" i="7" s="1"/>
  <c r="I25" i="7"/>
  <c r="J25" i="7"/>
  <c r="I60" i="7"/>
  <c r="J60" i="7"/>
  <c r="I123" i="7"/>
  <c r="J123" i="7" s="1"/>
  <c r="K123" i="7" s="1"/>
  <c r="I162" i="7"/>
  <c r="J162" i="7" s="1"/>
  <c r="I94" i="7"/>
  <c r="J94" i="7"/>
  <c r="I12" i="7"/>
  <c r="J12" i="7"/>
  <c r="I73" i="7"/>
  <c r="J73" i="7"/>
  <c r="K73" i="7" s="1"/>
  <c r="I124" i="7"/>
  <c r="J124" i="7" s="1"/>
  <c r="K124" i="7" s="1"/>
  <c r="I163" i="7"/>
  <c r="J163" i="7" s="1"/>
  <c r="I74" i="7"/>
  <c r="J74" i="7" s="1"/>
  <c r="K74" i="7" s="1"/>
  <c r="I164" i="7"/>
  <c r="J164" i="7" s="1"/>
  <c r="I88" i="7"/>
  <c r="J88" i="7" s="1"/>
  <c r="K88" i="7" s="1"/>
  <c r="I27" i="7"/>
  <c r="J27" i="7" s="1"/>
  <c r="I63" i="7"/>
  <c r="J63" i="7" s="1"/>
  <c r="I114" i="7"/>
  <c r="J114" i="7" s="1"/>
  <c r="K114" i="7" s="1"/>
  <c r="I138" i="7"/>
  <c r="J138" i="7" s="1"/>
  <c r="I87" i="7"/>
  <c r="J87" i="7" s="1"/>
  <c r="K87" i="7" s="1"/>
  <c r="I30" i="7"/>
  <c r="J30" i="7" s="1"/>
  <c r="I115" i="7"/>
  <c r="J115" i="7" s="1"/>
  <c r="K115" i="7" s="1"/>
  <c r="I190" i="7"/>
  <c r="J190" i="7"/>
  <c r="K190" i="7" s="1"/>
  <c r="I29" i="7"/>
  <c r="J29" i="7" s="1"/>
  <c r="I116" i="7"/>
  <c r="J116" i="7"/>
  <c r="K116" i="7" s="1"/>
  <c r="I191" i="7"/>
  <c r="J191" i="7"/>
  <c r="K191" i="7" s="1"/>
  <c r="I19" i="7"/>
  <c r="J19" i="7" s="1"/>
  <c r="I129" i="7"/>
  <c r="J129" i="7"/>
  <c r="K129" i="7" s="1"/>
  <c r="I144" i="7"/>
  <c r="J144" i="7"/>
  <c r="K144" i="7" s="1"/>
  <c r="I181" i="7"/>
  <c r="J181" i="7"/>
  <c r="I99" i="7"/>
  <c r="J99" i="7" s="1"/>
  <c r="I17" i="7"/>
  <c r="J17" i="7" s="1"/>
  <c r="I38" i="7"/>
  <c r="J38" i="7" s="1"/>
  <c r="I49" i="7"/>
  <c r="J49" i="7"/>
  <c r="I80" i="7"/>
  <c r="J80" i="7"/>
  <c r="I107" i="7"/>
  <c r="J107" i="7"/>
  <c r="I119" i="7"/>
  <c r="J119" i="7"/>
  <c r="K119" i="7" s="1"/>
  <c r="I131" i="7"/>
  <c r="J131" i="7"/>
  <c r="I173" i="7"/>
  <c r="J173" i="7" s="1"/>
  <c r="I95" i="7"/>
  <c r="J95" i="7" s="1"/>
  <c r="I13" i="7"/>
  <c r="J13" i="7"/>
  <c r="I72" i="7"/>
  <c r="J72" i="7"/>
  <c r="I149" i="7"/>
  <c r="J149" i="7" s="1"/>
  <c r="I140" i="7"/>
  <c r="J140" i="7"/>
  <c r="K140" i="7" s="1"/>
  <c r="I56" i="7"/>
  <c r="J56" i="7"/>
  <c r="I112" i="7"/>
  <c r="J112" i="7" s="1"/>
  <c r="I136" i="7"/>
  <c r="J136" i="7" s="1"/>
  <c r="I62" i="7"/>
  <c r="J62" i="7" s="1"/>
  <c r="I188" i="7"/>
  <c r="J188" i="7" s="1"/>
  <c r="I92" i="7"/>
  <c r="J92" i="7"/>
  <c r="K92" i="7" s="1"/>
  <c r="I22" i="7"/>
  <c r="J22" i="7"/>
  <c r="I31" i="7"/>
  <c r="J31" i="7" s="1"/>
  <c r="I102" i="7"/>
  <c r="J102" i="7" s="1"/>
  <c r="K102" i="7" s="1"/>
  <c r="I126" i="7"/>
  <c r="J126" i="7" s="1"/>
  <c r="K126" i="7" s="1"/>
  <c r="I177" i="7"/>
  <c r="J177" i="7"/>
  <c r="I21" i="7"/>
  <c r="J21" i="7"/>
  <c r="I103" i="7"/>
  <c r="J103" i="7" s="1"/>
  <c r="K103" i="7" s="1"/>
  <c r="I141" i="7"/>
  <c r="J141" i="7"/>
  <c r="I154" i="7"/>
  <c r="J154" i="7"/>
  <c r="K154" i="7" s="1"/>
  <c r="I41" i="7"/>
  <c r="J41" i="7" s="1"/>
  <c r="I77" i="7"/>
  <c r="J77" i="7" s="1"/>
  <c r="I167" i="7"/>
  <c r="J167" i="7"/>
  <c r="I105" i="7"/>
  <c r="J105" i="7"/>
  <c r="I169" i="7"/>
  <c r="J169" i="7"/>
  <c r="I193" i="7"/>
  <c r="J193" i="7"/>
  <c r="I44" i="7"/>
  <c r="J44" i="7"/>
  <c r="I158" i="7"/>
  <c r="J158" i="7"/>
  <c r="I170" i="7"/>
  <c r="J170" i="7"/>
  <c r="I182" i="7"/>
  <c r="J182" i="7"/>
  <c r="K182" i="7" s="1"/>
  <c r="I194" i="7"/>
  <c r="J194" i="7"/>
  <c r="I98" i="7"/>
  <c r="J98" i="7" s="1"/>
  <c r="I16" i="7"/>
  <c r="J16" i="7" s="1"/>
  <c r="I37" i="7"/>
  <c r="J37" i="7"/>
  <c r="I43" i="7"/>
  <c r="J43" i="7" s="1"/>
  <c r="I48" i="7"/>
  <c r="J48" i="7"/>
  <c r="I69" i="7"/>
  <c r="J69" i="7"/>
  <c r="I81" i="7"/>
  <c r="J81" i="7"/>
  <c r="I108" i="7"/>
  <c r="J108" i="7"/>
  <c r="I120" i="7"/>
  <c r="J120" i="7"/>
  <c r="K120" i="7" s="1"/>
  <c r="I132" i="7"/>
  <c r="J132" i="7"/>
  <c r="I185" i="7"/>
  <c r="J185" i="7" s="1"/>
  <c r="I57" i="7"/>
  <c r="J57" i="7"/>
  <c r="I84" i="7"/>
  <c r="J84" i="7"/>
  <c r="I135" i="7"/>
  <c r="J135" i="7" s="1"/>
  <c r="K135" i="7" s="1"/>
  <c r="I174" i="7"/>
  <c r="J174" i="7" s="1"/>
  <c r="I61" i="7"/>
  <c r="J61" i="7"/>
  <c r="I175" i="7"/>
  <c r="J175" i="7" s="1"/>
  <c r="I93" i="7"/>
  <c r="J93" i="7"/>
  <c r="K93" i="7" s="1"/>
  <c r="I23" i="7"/>
  <c r="J23" i="7"/>
  <c r="I32" i="7"/>
  <c r="J32" i="7"/>
  <c r="I86" i="7"/>
  <c r="J86" i="7"/>
  <c r="K86" i="7" s="1"/>
  <c r="I125" i="7"/>
  <c r="J125" i="7" s="1"/>
  <c r="K125" i="7" s="1"/>
  <c r="I151" i="7"/>
  <c r="J151" i="7" s="1"/>
  <c r="I75" i="7"/>
  <c r="J75" i="7" s="1"/>
  <c r="I153" i="7"/>
  <c r="J153" i="7"/>
  <c r="K153" i="7" s="1"/>
  <c r="I189" i="7"/>
  <c r="J189" i="7"/>
  <c r="I53" i="7"/>
  <c r="J53" i="7" s="1"/>
  <c r="I76" i="7"/>
  <c r="J76" i="7" s="1"/>
  <c r="I127" i="7"/>
  <c r="J127" i="7" s="1"/>
  <c r="K127" i="7" s="1"/>
  <c r="I178" i="7"/>
  <c r="J178" i="7"/>
  <c r="I20" i="7"/>
  <c r="J20" i="7"/>
  <c r="I65" i="7"/>
  <c r="J65" i="7" s="1"/>
  <c r="I128" i="7"/>
  <c r="J128" i="7"/>
  <c r="I155" i="7"/>
  <c r="J155" i="7"/>
  <c r="K155" i="7" s="1"/>
  <c r="I101" i="7"/>
  <c r="J101" i="7" s="1"/>
  <c r="I40" i="7"/>
  <c r="J40" i="7" s="1"/>
  <c r="I51" i="7"/>
  <c r="J51" i="7" s="1"/>
  <c r="I78" i="7"/>
  <c r="J78" i="7" s="1"/>
  <c r="I157" i="7"/>
  <c r="J157" i="7"/>
  <c r="K157" i="7" s="1"/>
  <c r="I68" i="7"/>
  <c r="J68" i="7"/>
  <c r="I145" i="7"/>
  <c r="J145" i="7"/>
  <c r="I146" i="7"/>
  <c r="J146" i="7"/>
  <c r="I159" i="7"/>
  <c r="J159" i="7" s="1"/>
  <c r="K159" i="7" s="1"/>
  <c r="I171" i="7"/>
  <c r="J171" i="7"/>
  <c r="I183" i="7"/>
  <c r="J183" i="7" s="1"/>
  <c r="I195" i="7"/>
  <c r="J195" i="7" s="1"/>
  <c r="I97" i="7"/>
  <c r="J97" i="7"/>
  <c r="I8" i="7"/>
  <c r="J8" i="7"/>
  <c r="K8" i="7" s="1"/>
  <c r="I15" i="7"/>
  <c r="J15" i="7" s="1"/>
  <c r="I36" i="7"/>
  <c r="J36" i="7"/>
  <c r="I59" i="7"/>
  <c r="J59" i="7"/>
  <c r="K59" i="7" s="1"/>
  <c r="I47" i="7"/>
  <c r="J47" i="7"/>
  <c r="I70" i="7"/>
  <c r="J70" i="7"/>
  <c r="I82" i="7"/>
  <c r="J82" i="7"/>
  <c r="I109" i="7"/>
  <c r="J109" i="7"/>
  <c r="I121" i="7"/>
  <c r="J121" i="7"/>
  <c r="K121" i="7" s="1"/>
  <c r="I133" i="7"/>
  <c r="J133" i="7"/>
  <c r="I24" i="7"/>
  <c r="J24" i="7"/>
  <c r="I89" i="7"/>
  <c r="J89" i="7" s="1"/>
  <c r="K89" i="7" s="1"/>
  <c r="I176" i="7"/>
  <c r="J176" i="7" s="1"/>
  <c r="I147" i="7"/>
  <c r="J147" i="7" s="1"/>
  <c r="I160" i="7"/>
  <c r="J160" i="7" s="1"/>
  <c r="I172" i="7"/>
  <c r="J172" i="7" s="1"/>
  <c r="I184" i="7"/>
  <c r="J184" i="7" s="1"/>
  <c r="I96" i="7"/>
  <c r="J96" i="7"/>
  <c r="I11" i="7"/>
  <c r="J11" i="7"/>
  <c r="I14" i="7"/>
  <c r="J14" i="7"/>
  <c r="I35" i="7"/>
  <c r="J35" i="7"/>
  <c r="I58" i="7"/>
  <c r="J58" i="7"/>
  <c r="I46" i="7"/>
  <c r="J46" i="7"/>
  <c r="I71" i="7"/>
  <c r="J71" i="7"/>
  <c r="I83" i="7"/>
  <c r="J83" i="7" s="1"/>
  <c r="K83" i="7" s="1"/>
  <c r="I110" i="7"/>
  <c r="J110" i="7"/>
  <c r="I122" i="7"/>
  <c r="J122" i="7"/>
  <c r="K122" i="7" s="1"/>
  <c r="I134" i="7"/>
  <c r="J134" i="7" s="1"/>
  <c r="K245" i="2"/>
  <c r="I30" i="2"/>
  <c r="J30" i="2" s="1"/>
  <c r="I18" i="2"/>
  <c r="J18" i="2" s="1"/>
  <c r="I6" i="2"/>
  <c r="J6" i="2" s="1"/>
  <c r="I151" i="2"/>
  <c r="J151" i="2" s="1"/>
  <c r="I162" i="2"/>
  <c r="J162" i="2" s="1"/>
  <c r="K162" i="2" s="1"/>
  <c r="I174" i="2"/>
  <c r="J174" i="2" s="1"/>
  <c r="I187" i="2"/>
  <c r="J187" i="2"/>
  <c r="I198" i="2"/>
  <c r="J198" i="2"/>
  <c r="I211" i="2"/>
  <c r="J211" i="2" s="1"/>
  <c r="I230" i="2"/>
  <c r="J230" i="2" s="1"/>
  <c r="K230" i="2" s="1"/>
  <c r="I242" i="2"/>
  <c r="J242" i="2" s="1"/>
  <c r="I29" i="2"/>
  <c r="J29" i="2"/>
  <c r="I17" i="2"/>
  <c r="J17" i="2" s="1"/>
  <c r="I4" i="2"/>
  <c r="J4" i="2" s="1"/>
  <c r="I152" i="2"/>
  <c r="J152" i="2" s="1"/>
  <c r="I163" i="2"/>
  <c r="J163" i="2" s="1"/>
  <c r="K163" i="2" s="1"/>
  <c r="I175" i="2"/>
  <c r="J175" i="2" s="1"/>
  <c r="I188" i="2"/>
  <c r="J188" i="2" s="1"/>
  <c r="I199" i="2"/>
  <c r="J199" i="2" s="1"/>
  <c r="I212" i="2"/>
  <c r="J212" i="2" s="1"/>
  <c r="I231" i="2"/>
  <c r="J231" i="2" s="1"/>
  <c r="K231" i="2" s="1"/>
  <c r="I243" i="2"/>
  <c r="J243" i="2" s="1"/>
  <c r="I42" i="2"/>
  <c r="J42" i="2"/>
  <c r="I28" i="2"/>
  <c r="J28" i="2"/>
  <c r="I16" i="2"/>
  <c r="J16" i="2" s="1"/>
  <c r="I3" i="2"/>
  <c r="J3" i="2" s="1"/>
  <c r="I153" i="2"/>
  <c r="J153" i="2" s="1"/>
  <c r="I170" i="2"/>
  <c r="J170" i="2" s="1"/>
  <c r="I176" i="2"/>
  <c r="J176" i="2" s="1"/>
  <c r="I189" i="2"/>
  <c r="J189" i="2" s="1"/>
  <c r="K189" i="2" s="1"/>
  <c r="I200" i="2"/>
  <c r="J200" i="2"/>
  <c r="I213" i="2"/>
  <c r="J213" i="2"/>
  <c r="I232" i="2"/>
  <c r="J232" i="2"/>
  <c r="K232" i="2" s="1"/>
  <c r="I41" i="2"/>
  <c r="J41" i="2"/>
  <c r="I27" i="2"/>
  <c r="J27" i="2" s="1"/>
  <c r="I15" i="2"/>
  <c r="J15" i="2" s="1"/>
  <c r="I37" i="2"/>
  <c r="J37" i="2" s="1"/>
  <c r="I150" i="2"/>
  <c r="J150" i="2" s="1"/>
  <c r="I169" i="2"/>
  <c r="J169" i="2"/>
  <c r="I177" i="2"/>
  <c r="J177" i="2" s="1"/>
  <c r="I190" i="2"/>
  <c r="J190" i="2" s="1"/>
  <c r="I201" i="2"/>
  <c r="J201" i="2"/>
  <c r="I233" i="2"/>
  <c r="J233" i="2" s="1"/>
  <c r="K233" i="2" s="1"/>
  <c r="I40" i="2"/>
  <c r="J40" i="2"/>
  <c r="I14" i="2"/>
  <c r="J14" i="2" s="1"/>
  <c r="I154" i="2"/>
  <c r="J154" i="2" s="1"/>
  <c r="K154" i="2" s="1"/>
  <c r="I179" i="2"/>
  <c r="J179" i="2" s="1"/>
  <c r="K179" i="2" s="1"/>
  <c r="I39" i="2"/>
  <c r="J39" i="2"/>
  <c r="I13" i="2"/>
  <c r="J13" i="2" s="1"/>
  <c r="I155" i="2"/>
  <c r="J155" i="2" s="1"/>
  <c r="I204" i="2"/>
  <c r="J204" i="2" s="1"/>
  <c r="I24" i="2"/>
  <c r="J24" i="2" s="1"/>
  <c r="I12" i="2"/>
  <c r="J12" i="2" s="1"/>
  <c r="I156" i="2"/>
  <c r="J156" i="2"/>
  <c r="I192" i="2"/>
  <c r="J192" i="2" s="1"/>
  <c r="K192" i="2" s="1"/>
  <c r="I217" i="2"/>
  <c r="J217" i="2" s="1"/>
  <c r="I223" i="2"/>
  <c r="J223" i="2"/>
  <c r="K223" i="2" s="1"/>
  <c r="I23" i="2"/>
  <c r="J23" i="2" s="1"/>
  <c r="I165" i="2"/>
  <c r="J165" i="2" s="1"/>
  <c r="I182" i="2"/>
  <c r="J182" i="2" s="1"/>
  <c r="K182" i="2" s="1"/>
  <c r="I206" i="2"/>
  <c r="J206" i="2" s="1"/>
  <c r="I224" i="2"/>
  <c r="J224" i="2"/>
  <c r="K224" i="2" s="1"/>
  <c r="I34" i="2"/>
  <c r="J34" i="2"/>
  <c r="I10" i="2"/>
  <c r="J10" i="2" s="1"/>
  <c r="I158" i="2"/>
  <c r="J158" i="2"/>
  <c r="I183" i="2"/>
  <c r="J183" i="2" s="1"/>
  <c r="K183" i="2" s="1"/>
  <c r="I219" i="2"/>
  <c r="J219" i="2" s="1"/>
  <c r="I225" i="2"/>
  <c r="J225" i="2"/>
  <c r="K225" i="2" s="1"/>
  <c r="I33" i="2"/>
  <c r="J33" i="2" s="1"/>
  <c r="I9" i="2"/>
  <c r="J9" i="2" s="1"/>
  <c r="I171" i="2"/>
  <c r="J171" i="2"/>
  <c r="I220" i="2"/>
  <c r="J220" i="2"/>
  <c r="K251" i="2"/>
  <c r="I32" i="2"/>
  <c r="J32" i="2" s="1"/>
  <c r="I20" i="2"/>
  <c r="J20" i="2" s="1"/>
  <c r="I94" i="2"/>
  <c r="J94" i="2" s="1"/>
  <c r="K94" i="2" s="1"/>
  <c r="I160" i="2"/>
  <c r="J160" i="2"/>
  <c r="K160" i="2" s="1"/>
  <c r="I172" i="2"/>
  <c r="J172" i="2"/>
  <c r="I185" i="2"/>
  <c r="J185" i="2" s="1"/>
  <c r="I196" i="2"/>
  <c r="J196" i="2" s="1"/>
  <c r="I209" i="2"/>
  <c r="J209" i="2" s="1"/>
  <c r="K209" i="2" s="1"/>
  <c r="I227" i="2"/>
  <c r="J227" i="2"/>
  <c r="K227" i="2" s="1"/>
  <c r="I240" i="2"/>
  <c r="J240" i="2" s="1"/>
  <c r="I214" i="2"/>
  <c r="J214" i="2" s="1"/>
  <c r="I26" i="2"/>
  <c r="J26" i="2" s="1"/>
  <c r="I36" i="2"/>
  <c r="J36" i="2" s="1"/>
  <c r="I168" i="2"/>
  <c r="J168" i="2"/>
  <c r="I191" i="2"/>
  <c r="J191" i="2" s="1"/>
  <c r="I202" i="2"/>
  <c r="J202" i="2" s="1"/>
  <c r="I215" i="2"/>
  <c r="J215" i="2" s="1"/>
  <c r="I234" i="2"/>
  <c r="J234" i="2" s="1"/>
  <c r="I25" i="2"/>
  <c r="J25" i="2" s="1"/>
  <c r="I5" i="2"/>
  <c r="J5" i="2" s="1"/>
  <c r="I167" i="2"/>
  <c r="J167" i="2" s="1"/>
  <c r="I180" i="2"/>
  <c r="J180" i="2" s="1"/>
  <c r="K180" i="2" s="1"/>
  <c r="I147" i="2"/>
  <c r="J147" i="2" s="1"/>
  <c r="K147" i="2" s="1"/>
  <c r="I216" i="2"/>
  <c r="J216" i="2" s="1"/>
  <c r="I222" i="2"/>
  <c r="J222" i="2" s="1"/>
  <c r="K222" i="2" s="1"/>
  <c r="I235" i="2"/>
  <c r="J235" i="2" s="1"/>
  <c r="I2" i="2"/>
  <c r="J2" i="2" s="1"/>
  <c r="I38" i="2"/>
  <c r="J38" i="2" s="1"/>
  <c r="I166" i="2"/>
  <c r="J166" i="2" s="1"/>
  <c r="I181" i="2"/>
  <c r="J181" i="2" s="1"/>
  <c r="K181" i="2" s="1"/>
  <c r="I205" i="2"/>
  <c r="J205" i="2" s="1"/>
  <c r="I236" i="2"/>
  <c r="J236" i="2"/>
  <c r="I35" i="2"/>
  <c r="J35" i="2"/>
  <c r="I11" i="2"/>
  <c r="J11" i="2"/>
  <c r="I157" i="2"/>
  <c r="J157" i="2"/>
  <c r="I193" i="2"/>
  <c r="J193" i="2" s="1"/>
  <c r="K193" i="2" s="1"/>
  <c r="I218" i="2"/>
  <c r="J218" i="2"/>
  <c r="I237" i="2"/>
  <c r="J237" i="2"/>
  <c r="I22" i="2"/>
  <c r="J22" i="2" s="1"/>
  <c r="I164" i="2"/>
  <c r="J164" i="2" s="1"/>
  <c r="K164" i="2" s="1"/>
  <c r="I194" i="2"/>
  <c r="J194" i="2"/>
  <c r="K194" i="2" s="1"/>
  <c r="I207" i="2"/>
  <c r="J207" i="2" s="1"/>
  <c r="I238" i="2"/>
  <c r="J238" i="2" s="1"/>
  <c r="K238" i="2" s="1"/>
  <c r="I21" i="2"/>
  <c r="J21" i="2" s="1"/>
  <c r="I159" i="2"/>
  <c r="J159" i="2"/>
  <c r="K159" i="2" s="1"/>
  <c r="I184" i="2"/>
  <c r="J184" i="2"/>
  <c r="K184" i="2" s="1"/>
  <c r="I195" i="2"/>
  <c r="J195" i="2"/>
  <c r="I208" i="2"/>
  <c r="J208" i="2" s="1"/>
  <c r="K208" i="2" s="1"/>
  <c r="I226" i="2"/>
  <c r="J226" i="2" s="1"/>
  <c r="K226" i="2" s="1"/>
  <c r="I239" i="2"/>
  <c r="J239" i="2" s="1"/>
  <c r="K239" i="2" s="1"/>
  <c r="I8" i="2"/>
  <c r="J8" i="2" s="1"/>
  <c r="I31" i="2"/>
  <c r="J31" i="2" s="1"/>
  <c r="I19" i="2"/>
  <c r="J19" i="2" s="1"/>
  <c r="I7" i="2"/>
  <c r="J7" i="2" s="1"/>
  <c r="I148" i="2"/>
  <c r="J148" i="2" s="1"/>
  <c r="K148" i="2" s="1"/>
  <c r="I161" i="2"/>
  <c r="J161" i="2" s="1"/>
  <c r="K161" i="2" s="1"/>
  <c r="I173" i="2"/>
  <c r="J173" i="2" s="1"/>
  <c r="I186" i="2"/>
  <c r="J186" i="2"/>
  <c r="I197" i="2"/>
  <c r="J197" i="2" s="1"/>
  <c r="I210" i="2"/>
  <c r="J210" i="2" s="1"/>
  <c r="K210" i="2" s="1"/>
  <c r="I228" i="2"/>
  <c r="J228" i="2"/>
  <c r="K228" i="2" s="1"/>
  <c r="I241" i="2"/>
  <c r="J241" i="2"/>
  <c r="F24" i="3"/>
  <c r="F25" i="3"/>
  <c r="F26" i="3"/>
  <c r="F27" i="3"/>
  <c r="F28" i="3"/>
  <c r="F29" i="3"/>
  <c r="F30" i="3"/>
  <c r="F31" i="3"/>
  <c r="F32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10" i="3"/>
  <c r="F9" i="3"/>
  <c r="F6" i="3"/>
  <c r="F7" i="3"/>
  <c r="F3" i="3"/>
  <c r="F2" i="3"/>
  <c r="G140" i="2"/>
  <c r="H140" i="2" s="1"/>
  <c r="H137" i="2"/>
  <c r="H138" i="2"/>
  <c r="H139" i="2"/>
  <c r="H141" i="2"/>
  <c r="H142" i="2"/>
  <c r="H143" i="2"/>
  <c r="H144" i="2"/>
  <c r="H145" i="2"/>
  <c r="H149" i="2"/>
  <c r="H135" i="2"/>
  <c r="H134" i="2"/>
  <c r="H133" i="2"/>
  <c r="H136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G115" i="2"/>
  <c r="H118" i="2"/>
  <c r="H117" i="2"/>
  <c r="H116" i="2"/>
  <c r="H114" i="2"/>
  <c r="H113" i="2"/>
  <c r="H112" i="2"/>
  <c r="H111" i="2"/>
  <c r="H110" i="2"/>
  <c r="H109" i="2"/>
  <c r="H108" i="2"/>
  <c r="H107" i="2"/>
  <c r="H105" i="2"/>
  <c r="H104" i="2"/>
  <c r="H103" i="2"/>
  <c r="H106" i="2"/>
  <c r="H101" i="2"/>
  <c r="H100" i="2"/>
  <c r="H99" i="2"/>
  <c r="H98" i="2"/>
  <c r="H97" i="2"/>
  <c r="H96" i="2"/>
  <c r="H95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K75" i="7" l="1"/>
  <c r="K186" i="7"/>
  <c r="K162" i="7"/>
  <c r="K183" i="7"/>
  <c r="K136" i="7"/>
  <c r="K130" i="7"/>
  <c r="K84" i="7"/>
  <c r="K60" i="7"/>
  <c r="K94" i="7"/>
  <c r="K107" i="7"/>
  <c r="K132" i="7"/>
  <c r="K11" i="7"/>
  <c r="K194" i="7"/>
  <c r="K169" i="7"/>
  <c r="K141" i="7"/>
  <c r="K145" i="7"/>
  <c r="K165" i="2"/>
  <c r="K190" i="2"/>
  <c r="K234" i="2"/>
  <c r="K204" i="2"/>
  <c r="K155" i="2"/>
  <c r="K2" i="2"/>
  <c r="K240" i="2"/>
  <c r="K214" i="2"/>
  <c r="I88" i="2"/>
  <c r="J88" i="2"/>
  <c r="I114" i="2"/>
  <c r="J114" i="2" s="1"/>
  <c r="I126" i="2"/>
  <c r="J126" i="2" s="1"/>
  <c r="K185" i="2"/>
  <c r="K201" i="2"/>
  <c r="I89" i="2"/>
  <c r="J89" i="2" s="1"/>
  <c r="K89" i="2" s="1"/>
  <c r="I116" i="2"/>
  <c r="J116" i="2" s="1"/>
  <c r="I144" i="2"/>
  <c r="J144" i="2"/>
  <c r="I90" i="2"/>
  <c r="J90" i="2" s="1"/>
  <c r="K90" i="2" s="1"/>
  <c r="I117" i="2"/>
  <c r="J117" i="2" s="1"/>
  <c r="I143" i="2"/>
  <c r="J143" i="2" s="1"/>
  <c r="I79" i="2"/>
  <c r="J79" i="2" s="1"/>
  <c r="I91" i="2"/>
  <c r="J91" i="2" s="1"/>
  <c r="I104" i="2"/>
  <c r="J104" i="2" s="1"/>
  <c r="K104" i="2" s="1"/>
  <c r="I129" i="2"/>
  <c r="J129" i="2" s="1"/>
  <c r="I141" i="2"/>
  <c r="J141" i="2" s="1"/>
  <c r="I81" i="2"/>
  <c r="J81" i="2" s="1"/>
  <c r="I93" i="2"/>
  <c r="J93" i="2" s="1"/>
  <c r="I119" i="2"/>
  <c r="J119" i="2" s="1"/>
  <c r="I131" i="2"/>
  <c r="J131" i="2"/>
  <c r="I82" i="2"/>
  <c r="J82" i="2" s="1"/>
  <c r="I95" i="2"/>
  <c r="J95" i="2" s="1"/>
  <c r="I108" i="2"/>
  <c r="J108" i="2"/>
  <c r="I120" i="2"/>
  <c r="J120" i="2" s="1"/>
  <c r="I132" i="2"/>
  <c r="J132" i="2" s="1"/>
  <c r="K132" i="2" s="1"/>
  <c r="I138" i="2"/>
  <c r="J138" i="2" s="1"/>
  <c r="K169" i="2"/>
  <c r="K211" i="2"/>
  <c r="I83" i="2"/>
  <c r="J83" i="2"/>
  <c r="I96" i="2"/>
  <c r="J96" i="2" s="1"/>
  <c r="I109" i="2"/>
  <c r="J109" i="2"/>
  <c r="I121" i="2"/>
  <c r="J121" i="2" s="1"/>
  <c r="I136" i="2"/>
  <c r="J136" i="2" s="1"/>
  <c r="I84" i="2"/>
  <c r="J84" i="2" s="1"/>
  <c r="I110" i="2"/>
  <c r="J110" i="2"/>
  <c r="I122" i="2"/>
  <c r="J122" i="2"/>
  <c r="I133" i="2"/>
  <c r="J133" i="2"/>
  <c r="K150" i="2"/>
  <c r="I85" i="2"/>
  <c r="J85" i="2" s="1"/>
  <c r="I111" i="2"/>
  <c r="J111" i="2" s="1"/>
  <c r="K111" i="2" s="1"/>
  <c r="I134" i="2"/>
  <c r="J134" i="2" s="1"/>
  <c r="I86" i="2"/>
  <c r="J86" i="2" s="1"/>
  <c r="I112" i="2"/>
  <c r="J112" i="2"/>
  <c r="I124" i="2"/>
  <c r="J124" i="2" s="1"/>
  <c r="I76" i="2"/>
  <c r="J76" i="2" s="1"/>
  <c r="I101" i="2"/>
  <c r="J101" i="2" s="1"/>
  <c r="I145" i="2"/>
  <c r="J145" i="2"/>
  <c r="I77" i="2"/>
  <c r="J77" i="2"/>
  <c r="I106" i="2"/>
  <c r="J106" i="2" s="1"/>
  <c r="K106" i="2" s="1"/>
  <c r="I127" i="2"/>
  <c r="J127" i="2" s="1"/>
  <c r="K195" i="2"/>
  <c r="I78" i="2"/>
  <c r="J78" i="2"/>
  <c r="I103" i="2"/>
  <c r="J103" i="2" s="1"/>
  <c r="K103" i="2" s="1"/>
  <c r="I128" i="2"/>
  <c r="J128" i="2" s="1"/>
  <c r="I118" i="2"/>
  <c r="J118" i="2" s="1"/>
  <c r="I142" i="2"/>
  <c r="J142" i="2" s="1"/>
  <c r="I80" i="2"/>
  <c r="J80" i="2" s="1"/>
  <c r="I92" i="2"/>
  <c r="J92" i="2" s="1"/>
  <c r="I105" i="2"/>
  <c r="J105" i="2" s="1"/>
  <c r="K105" i="2" s="1"/>
  <c r="I130" i="2"/>
  <c r="J130" i="2" s="1"/>
  <c r="I107" i="2"/>
  <c r="J107" i="2" s="1"/>
  <c r="I139" i="2"/>
  <c r="J139" i="2" s="1"/>
  <c r="I137" i="2"/>
  <c r="J137" i="2" s="1"/>
  <c r="I97" i="2"/>
  <c r="J97" i="2"/>
  <c r="I140" i="2"/>
  <c r="J140" i="2" s="1"/>
  <c r="K140" i="2" s="1"/>
  <c r="I98" i="2"/>
  <c r="J98" i="2"/>
  <c r="I123" i="2"/>
  <c r="J123" i="2"/>
  <c r="I99" i="2"/>
  <c r="J99" i="2" s="1"/>
  <c r="I135" i="2"/>
  <c r="J135" i="2" s="1"/>
  <c r="I87" i="2"/>
  <c r="J87" i="2" s="1"/>
  <c r="I100" i="2"/>
  <c r="J100" i="2" s="1"/>
  <c r="I113" i="2"/>
  <c r="J113" i="2" s="1"/>
  <c r="I125" i="2"/>
  <c r="J125" i="2" s="1"/>
  <c r="I149" i="2"/>
  <c r="J149" i="2" s="1"/>
  <c r="K149" i="2" s="1"/>
  <c r="H72" i="2"/>
  <c r="H73" i="2"/>
  <c r="H74" i="2"/>
  <c r="H75" i="2"/>
  <c r="H71" i="2"/>
  <c r="H70" i="2"/>
  <c r="H69" i="2"/>
  <c r="H68" i="2"/>
  <c r="H58" i="2"/>
  <c r="H59" i="2"/>
  <c r="H60" i="2"/>
  <c r="H61" i="2"/>
  <c r="H62" i="2"/>
  <c r="H63" i="2"/>
  <c r="H64" i="2"/>
  <c r="H65" i="2"/>
  <c r="H66" i="2"/>
  <c r="H45" i="2"/>
  <c r="H46" i="2"/>
  <c r="H47" i="2"/>
  <c r="H48" i="2"/>
  <c r="H49" i="2"/>
  <c r="H43" i="2"/>
  <c r="H44" i="2"/>
  <c r="H50" i="2"/>
  <c r="H51" i="2"/>
  <c r="H52" i="2"/>
  <c r="H53" i="2"/>
  <c r="H54" i="2"/>
  <c r="H55" i="2"/>
  <c r="H56" i="2"/>
  <c r="H57" i="2"/>
  <c r="K109" i="2" l="1"/>
  <c r="K107" i="2"/>
  <c r="K136" i="2"/>
  <c r="K141" i="2"/>
  <c r="K91" i="2"/>
  <c r="K76" i="2"/>
  <c r="K119" i="2"/>
  <c r="K133" i="2"/>
  <c r="I48" i="2"/>
  <c r="J48" i="2" s="1"/>
  <c r="I69" i="2"/>
  <c r="J69" i="2" s="1"/>
  <c r="I75" i="2"/>
  <c r="J75" i="2"/>
  <c r="I52" i="2"/>
  <c r="J52" i="2" s="1"/>
  <c r="I64" i="2"/>
  <c r="J64" i="2" s="1"/>
  <c r="I74" i="2"/>
  <c r="J74" i="2" s="1"/>
  <c r="K144" i="2"/>
  <c r="I51" i="2"/>
  <c r="J51" i="2" s="1"/>
  <c r="I63" i="2"/>
  <c r="J63" i="2" s="1"/>
  <c r="I73" i="2"/>
  <c r="J73" i="2" s="1"/>
  <c r="I43" i="2"/>
  <c r="J43" i="2" s="1"/>
  <c r="I49" i="2"/>
  <c r="J49" i="2"/>
  <c r="K112" i="2"/>
  <c r="I58" i="2"/>
  <c r="J58" i="2" s="1"/>
  <c r="I47" i="2"/>
  <c r="J47" i="2"/>
  <c r="I46" i="2"/>
  <c r="J46" i="2" s="1"/>
  <c r="I45" i="2"/>
  <c r="J45" i="2" s="1"/>
  <c r="I70" i="2"/>
  <c r="J70" i="2" s="1"/>
  <c r="I66" i="2"/>
  <c r="J66" i="2" s="1"/>
  <c r="I65" i="2"/>
  <c r="J65" i="2" s="1"/>
  <c r="I50" i="2"/>
  <c r="J50" i="2" s="1"/>
  <c r="I62" i="2"/>
  <c r="J62" i="2"/>
  <c r="I72" i="2"/>
  <c r="J72" i="2" s="1"/>
  <c r="I60" i="2"/>
  <c r="J60" i="2" s="1"/>
  <c r="I59" i="2"/>
  <c r="J59" i="2" s="1"/>
  <c r="I57" i="2"/>
  <c r="J57" i="2" s="1"/>
  <c r="I68" i="2"/>
  <c r="J68" i="2" s="1"/>
  <c r="I56" i="2"/>
  <c r="J56" i="2" s="1"/>
  <c r="K95" i="2"/>
  <c r="I55" i="2"/>
  <c r="J55" i="2" s="1"/>
  <c r="I54" i="2"/>
  <c r="J54" i="2" s="1"/>
  <c r="I71" i="2"/>
  <c r="J71" i="2" s="1"/>
  <c r="I53" i="2"/>
  <c r="J53" i="2" s="1"/>
  <c r="I44" i="2"/>
  <c r="J44" i="2" s="1"/>
  <c r="I61" i="2"/>
  <c r="J61" i="2" s="1"/>
  <c r="K68" i="2" l="1"/>
  <c r="K57" i="2"/>
  <c r="K72" i="2"/>
  <c r="K39" i="2"/>
  <c r="K275" i="2" l="1"/>
</calcChain>
</file>

<file path=xl/sharedStrings.xml><?xml version="1.0" encoding="utf-8"?>
<sst xmlns="http://schemas.openxmlformats.org/spreadsheetml/2006/main" count="1196" uniqueCount="534">
  <si>
    <t>concepto</t>
  </si>
  <si>
    <t>fecha</t>
  </si>
  <si>
    <t>valor</t>
  </si>
  <si>
    <t>subtipo</t>
  </si>
  <si>
    <t>enero</t>
  </si>
  <si>
    <t>manicura traidional</t>
  </si>
  <si>
    <t xml:space="preserve">forma de pago </t>
  </si>
  <si>
    <t>cliente</t>
  </si>
  <si>
    <t>juanita</t>
  </si>
  <si>
    <t>de una</t>
  </si>
  <si>
    <t>tc</t>
  </si>
  <si>
    <t>CADA DIA SE HACE UN CIERRE DE CAJA DANDO TRES DATOS POR MENSAJE CUANDO SE COBRO POR DE UNA, TC Y EFECTIVO</t>
  </si>
  <si>
    <t>efectivo</t>
  </si>
  <si>
    <t>001-001-000009322</t>
  </si>
  <si>
    <t>Factura</t>
  </si>
  <si>
    <t>Separadores de dedos</t>
  </si>
  <si>
    <t>Cantidad</t>
  </si>
  <si>
    <t>Cantidad unidad</t>
  </si>
  <si>
    <t>Valor unitario</t>
  </si>
  <si>
    <t>Pedicura</t>
  </si>
  <si>
    <t xml:space="preserve">FUNDA 1755 MEDIANA </t>
  </si>
  <si>
    <t xml:space="preserve">PULIDOR 4 PASOS </t>
  </si>
  <si>
    <t xml:space="preserve">EMPUJA CUTICULA METALICO </t>
  </si>
  <si>
    <t xml:space="preserve">FRESA AZUL UNAS </t>
  </si>
  <si>
    <t xml:space="preserve">PINCEL </t>
  </si>
  <si>
    <t xml:space="preserve">ANILLO </t>
  </si>
  <si>
    <t xml:space="preserve">ALICATE </t>
  </si>
  <si>
    <t>IMAN DE ESMALTE GATO</t>
  </si>
  <si>
    <t xml:space="preserve">IMAN DE ESMALTE GATO </t>
  </si>
  <si>
    <t>corta unas glan pequeño</t>
  </si>
  <si>
    <t>corta unas glan grande</t>
  </si>
  <si>
    <t xml:space="preserve">TOP COAT ADDIENT </t>
  </si>
  <si>
    <t xml:space="preserve">ESMALTE RODHER </t>
  </si>
  <si>
    <t>REMOVEDOR ACRILICO</t>
  </si>
  <si>
    <t xml:space="preserve">BASE RUBER </t>
  </si>
  <si>
    <t>Manicura / Pedicura</t>
  </si>
  <si>
    <t>Manicura</t>
  </si>
  <si>
    <t>Acrílico</t>
  </si>
  <si>
    <t>01-001-000009324</t>
  </si>
  <si>
    <t xml:space="preserve">ESMALTE PERMANENTE </t>
  </si>
  <si>
    <t>DISPENSADOR ACETONA</t>
  </si>
  <si>
    <t xml:space="preserve">ACEIETE RECINO </t>
  </si>
  <si>
    <t xml:space="preserve">TIJERA </t>
  </si>
  <si>
    <t xml:space="preserve">lavero de unas </t>
  </si>
  <si>
    <t xml:space="preserve">PALO DE NARAJO </t>
  </si>
  <si>
    <t xml:space="preserve">BROCHA </t>
  </si>
  <si>
    <t xml:space="preserve">PUNZON </t>
  </si>
  <si>
    <t>001-003-001368780</t>
  </si>
  <si>
    <t xml:space="preserve">OS ALQUILER MENSUAL POS INGENICO EX 6000 </t>
  </si>
  <si>
    <t xml:space="preserve">SERVICIO DE CONEXION MENSUAL POS </t>
  </si>
  <si>
    <t xml:space="preserve">SERV DE COMUNICACION MENSUAL POS ANDROID SIN IMPRESORA </t>
  </si>
  <si>
    <t xml:space="preserve">PROTECCION MENSUAL POS ANDROID SIN IMPRESORA </t>
  </si>
  <si>
    <t>001-003-001390011</t>
  </si>
  <si>
    <t xml:space="preserve">dremer electric dril </t>
  </si>
  <si>
    <t xml:space="preserve">REMOVEDOR DE ACRILICO </t>
  </si>
  <si>
    <t xml:space="preserve">PAINTIN GEL </t>
  </si>
  <si>
    <t xml:space="preserve">PRAY PARA SECADO DE UNAS </t>
  </si>
  <si>
    <t xml:space="preserve">FRESAS </t>
  </si>
  <si>
    <t xml:space="preserve">CHANCLETA DE PEDICUIR N </t>
  </si>
  <si>
    <t xml:space="preserve">REPUESTOS </t>
  </si>
  <si>
    <t xml:space="preserve">TOP COAT GN </t>
  </si>
  <si>
    <t xml:space="preserve">BLOOMING GEL </t>
  </si>
  <si>
    <t xml:space="preserve">NABAJA </t>
  </si>
  <si>
    <t xml:space="preserve">ESMALTE OJO DE GATO </t>
  </si>
  <si>
    <t>002-001-001122534</t>
  </si>
  <si>
    <t>Firma electrónica</t>
  </si>
  <si>
    <t>001-100-000002204</t>
  </si>
  <si>
    <t xml:space="preserve">HABLADORES A6 MADERA INCLINADO </t>
  </si>
  <si>
    <t>001-001-000010009</t>
  </si>
  <si>
    <t xml:space="preserve">ORGANIZADOR </t>
  </si>
  <si>
    <t xml:space="preserve">pinza </t>
  </si>
  <si>
    <t>004-002-000019049</t>
  </si>
  <si>
    <t>Cena de navidad</t>
  </si>
  <si>
    <t>001-001-000010387</t>
  </si>
  <si>
    <t xml:space="preserve">PINZA DEPILAR MERHEJE </t>
  </si>
  <si>
    <t xml:space="preserve">CEPILLO </t>
  </si>
  <si>
    <t xml:space="preserve">EXTREBON </t>
  </si>
  <si>
    <t>001-014-008339423</t>
  </si>
  <si>
    <t xml:space="preserve">Comisiones </t>
  </si>
  <si>
    <t>001-020-002704430</t>
  </si>
  <si>
    <t>001-019-005463439</t>
  </si>
  <si>
    <t>001-171-020805357</t>
  </si>
  <si>
    <t xml:space="preserve">COSTO POR SERVICIO FINANCIERO </t>
  </si>
  <si>
    <t>003-010-000004958</t>
  </si>
  <si>
    <t xml:space="preserve">ARMADOR FLEX JUVENIL DORADO </t>
  </si>
  <si>
    <t>Mano porta anillos</t>
  </si>
  <si>
    <t xml:space="preserve">CANASTILLA RATAN 1 BEI </t>
  </si>
  <si>
    <t>007-107-000124570</t>
  </si>
  <si>
    <t xml:space="preserve">GANIZADOR ACRILICO BOGA </t>
  </si>
  <si>
    <t>001-101-000007077</t>
  </si>
  <si>
    <t xml:space="preserve">anillos </t>
  </si>
  <si>
    <t>041-903-000126030</t>
  </si>
  <si>
    <t xml:space="preserve">ESCALERA T3 2 PELDANOS BLANCA ALUM </t>
  </si>
  <si>
    <t xml:space="preserve">SUPERLON 2MM C/M P/EMBALAJES </t>
  </si>
  <si>
    <t xml:space="preserve">ORGANIZADOR DE MAQUILLAJE PS BAMBU </t>
  </si>
  <si>
    <t xml:space="preserve">DESINFECTANTE OLIMPIA VAINILLA 1.8L </t>
  </si>
  <si>
    <t xml:space="preserve">CAJA PARA PANUELOS 26X13XH8CM </t>
  </si>
  <si>
    <t xml:space="preserve">PORTA ESCOBA COMMAND </t>
  </si>
  <si>
    <t xml:space="preserve">ORG. D/CAJONES 7PZS </t>
  </si>
  <si>
    <t>025-210-000001415</t>
  </si>
  <si>
    <t xml:space="preserve">SACAPUNTA ESCOLAR 1 SERVICIO PLASTICO TRANSPARENTE GIGANTE 20127240 </t>
  </si>
  <si>
    <t xml:space="preserve">PAPEL PERIODICO 45GRS </t>
  </si>
  <si>
    <t xml:space="preserve">CINTA ADHESIVA EMBALAJE 48MMX36.57M TRANSPARENTE FE-700 550409-551920 </t>
  </si>
  <si>
    <t xml:space="preserve">CINTA ADHESIVA 18MMX22.75M TRANSPARENTE DT-22 551935 </t>
  </si>
  <si>
    <t xml:space="preserve">REGLA PLASTICA 15CM EG00112 </t>
  </si>
  <si>
    <t xml:space="preserve">PEGA ESPECIAL CON ESCARCHA 035GRS PLATA GLITTER 2912/202.0 </t>
  </si>
  <si>
    <t xml:space="preserve">PEGA EN BARRA 9GRS E7 </t>
  </si>
  <si>
    <t xml:space="preserve">CALCULADORA 12 DIGITOS ESCRITORIO GRIS EM130 100159607 </t>
  </si>
  <si>
    <t>BORRADOR LAPIZ BLANCO PZ- 20 REF. 06140203</t>
  </si>
  <si>
    <t xml:space="preserve">SET OFICINA CLIPS/MANECILLAS/PUSH PINS/BANDAS E EZ20703 </t>
  </si>
  <si>
    <t xml:space="preserve">BANDERITA 45MMX12MM 125 HJS FLECHA NEON </t>
  </si>
  <si>
    <t xml:space="preserve">NOTAS QUITA Y PON 3X2+3X3+3X5PLG 3COLORES NEON BLISTERX150HJ 21258 </t>
  </si>
  <si>
    <t xml:space="preserve">RCHIVADOR ACORDEON 13 DIV A4 COLORES E5557 </t>
  </si>
  <si>
    <t xml:space="preserve">JUGO DEL VALLE NARANJA 3LT </t>
  </si>
  <si>
    <t>002-102-000009783</t>
  </si>
  <si>
    <t>001-100-000016345</t>
  </si>
  <si>
    <t xml:space="preserve">esponja </t>
  </si>
  <si>
    <t>001-003-001443483</t>
  </si>
  <si>
    <t xml:space="preserve">POS ALQUILER MENSUAL POS INGENICO EX 6000 </t>
  </si>
  <si>
    <t>087-101-000160802</t>
  </si>
  <si>
    <t>Lavadora de muebles + garantía</t>
  </si>
  <si>
    <t>001-001-000010711</t>
  </si>
  <si>
    <t>Mascarillas</t>
  </si>
  <si>
    <t xml:space="preserve">PEGA ADORO DE UÑAS </t>
  </si>
  <si>
    <t>037-908-000347336</t>
  </si>
  <si>
    <t>Basurero pequeño</t>
  </si>
  <si>
    <t>Riel de cortina</t>
  </si>
  <si>
    <t>Mostrador/blush</t>
  </si>
  <si>
    <t>Blush</t>
  </si>
  <si>
    <t>Cejas</t>
  </si>
  <si>
    <t>TINKLE / depiladoras</t>
  </si>
  <si>
    <t>Retención</t>
  </si>
  <si>
    <t>Base</t>
  </si>
  <si>
    <t>%</t>
  </si>
  <si>
    <t>Valor</t>
  </si>
  <si>
    <t xml:space="preserve">001-019-013304776 </t>
  </si>
  <si>
    <t>Impuesto</t>
  </si>
  <si>
    <t>IVA</t>
  </si>
  <si>
    <t>Renta</t>
  </si>
  <si>
    <t xml:space="preserve">001-019-013340814 </t>
  </si>
  <si>
    <t xml:space="preserve">001-020-006849233 </t>
  </si>
  <si>
    <t xml:space="preserve">001-019-013366569 </t>
  </si>
  <si>
    <t xml:space="preserve">001-014-015346175 </t>
  </si>
  <si>
    <t xml:space="preserve">001-014-015379602 </t>
  </si>
  <si>
    <t xml:space="preserve">001-020-006866156 </t>
  </si>
  <si>
    <t xml:space="preserve">001-019-013402694 </t>
  </si>
  <si>
    <t xml:space="preserve">001-014-015415234 </t>
  </si>
  <si>
    <t xml:space="preserve">001-019-013435598 </t>
  </si>
  <si>
    <t xml:space="preserve">001-019-013465285 </t>
  </si>
  <si>
    <t xml:space="preserve">001-020-006912961 </t>
  </si>
  <si>
    <t xml:space="preserve">001-014-015462119 </t>
  </si>
  <si>
    <t>ENERO</t>
  </si>
  <si>
    <t>FEBRERO</t>
  </si>
  <si>
    <t>DICIEMBRE</t>
  </si>
  <si>
    <t>SEPTIEMBRE</t>
  </si>
  <si>
    <t>001-004-000004454</t>
  </si>
  <si>
    <t>037-904-000307781</t>
  </si>
  <si>
    <t>001-100-000000059</t>
  </si>
  <si>
    <t>Lámpara Media Luna</t>
  </si>
  <si>
    <t>Blush - cejas y pestañas</t>
  </si>
  <si>
    <t>004-104-000103264</t>
  </si>
  <si>
    <t>Materiales construcción</t>
  </si>
  <si>
    <t>002-101-000006681</t>
  </si>
  <si>
    <t>002-101-000006678</t>
  </si>
  <si>
    <t>004-104-000103263</t>
  </si>
  <si>
    <t>002-101-000006742</t>
  </si>
  <si>
    <t>001-010-000183924</t>
  </si>
  <si>
    <t>001-001-000009962</t>
  </si>
  <si>
    <t xml:space="preserve"> 037-908-000347336</t>
  </si>
  <si>
    <t xml:space="preserve">GUANTE </t>
  </si>
  <si>
    <t xml:space="preserve">SET DE PINCEL DE DECORACIN </t>
  </si>
  <si>
    <t xml:space="preserve">BROCHA PARA SACUDIR POLVO </t>
  </si>
  <si>
    <t xml:space="preserve">PINZA </t>
  </si>
  <si>
    <t xml:space="preserve">MOLDE </t>
  </si>
  <si>
    <t xml:space="preserve">LIMAS </t>
  </si>
  <si>
    <t xml:space="preserve">GUILLOTINA </t>
  </si>
  <si>
    <t xml:space="preserve">MOLDEADOR DE POLYGEL MASTERNAILS </t>
  </si>
  <si>
    <t xml:space="preserve">INCEL DE POLYGEL ADDICT </t>
  </si>
  <si>
    <t xml:space="preserve">DAPEN </t>
  </si>
  <si>
    <t xml:space="preserve">MONOMERO </t>
  </si>
  <si>
    <t>REMOVEDOR</t>
  </si>
  <si>
    <t xml:space="preserve">AIPRE Y EXTRABON </t>
  </si>
  <si>
    <t xml:space="preserve">TOP COAT SAPHIR </t>
  </si>
  <si>
    <t xml:space="preserve">SMALTE SAPHIR </t>
  </si>
  <si>
    <t xml:space="preserve">WIPE </t>
  </si>
  <si>
    <t xml:space="preserve">LAMPARA DE UÑAS GLAM NAILS </t>
  </si>
  <si>
    <t xml:space="preserve">UÑA </t>
  </si>
  <si>
    <t xml:space="preserve">UÑA X500 ADDICT </t>
  </si>
  <si>
    <t xml:space="preserve">TIPS DUAL SISTEM </t>
  </si>
  <si>
    <t xml:space="preserve">POLVO </t>
  </si>
  <si>
    <t xml:space="preserve">EFECTO </t>
  </si>
  <si>
    <t xml:space="preserve">SPAIDER </t>
  </si>
  <si>
    <t xml:space="preserve">PAINTING </t>
  </si>
  <si>
    <t xml:space="preserve">ESCRACHA </t>
  </si>
  <si>
    <t xml:space="preserve">SANITIZER </t>
  </si>
  <si>
    <t xml:space="preserve">GEL </t>
  </si>
  <si>
    <t xml:space="preserve">POLVOS </t>
  </si>
  <si>
    <t xml:space="preserve">ESMALTE OJO DE GATO ADDICT </t>
  </si>
  <si>
    <t xml:space="preserve">COVER BEIGE ADDICT 1/2OZ </t>
  </si>
  <si>
    <t xml:space="preserve">PINCEL 8 KOLINSKY </t>
  </si>
  <si>
    <t xml:space="preserve">GLITTER </t>
  </si>
  <si>
    <t xml:space="preserve">EFECTO DE UÑAS </t>
  </si>
  <si>
    <t xml:space="preserve">LABIAL LIQUIDO VOGUE RESIST </t>
  </si>
  <si>
    <t>001-901-000008340</t>
  </si>
  <si>
    <t>002-103-000001721</t>
  </si>
  <si>
    <t>001-022-000017406</t>
  </si>
  <si>
    <t>001-001-000007621</t>
  </si>
  <si>
    <t>Esmalte permanente</t>
  </si>
  <si>
    <t>Base Ruber</t>
  </si>
  <si>
    <t>Crema galón</t>
  </si>
  <si>
    <t>Exfolieante</t>
  </si>
  <si>
    <t>Esmalte permanente Master</t>
  </si>
  <si>
    <t>Monómero Master</t>
  </si>
  <si>
    <t>Acetona pura</t>
  </si>
  <si>
    <t>Quita esmalte galón</t>
  </si>
  <si>
    <t>Alcohol galón</t>
  </si>
  <si>
    <t>Algodón</t>
  </si>
  <si>
    <t>Removedor de Cutícula</t>
  </si>
  <si>
    <t>Removedor de callos</t>
  </si>
  <si>
    <t>Disolvente esmalte Mollie 250ml</t>
  </si>
  <si>
    <t>Bandeja esterilizador</t>
  </si>
  <si>
    <t>Limas</t>
  </si>
  <si>
    <t>Molde para uñas esculpidas plateado</t>
  </si>
  <si>
    <t>Tijera</t>
  </si>
  <si>
    <t>Unas 500</t>
  </si>
  <si>
    <t>Paleta</t>
  </si>
  <si>
    <t>Moldeador de polish gel</t>
  </si>
  <si>
    <t>UV GEL EA</t>
  </si>
  <si>
    <t>Polish gel MCC</t>
  </si>
  <si>
    <t>Gota cicatrizante</t>
  </si>
  <si>
    <t>Pega adorno de uñas</t>
  </si>
  <si>
    <t>Adorno de uñas</t>
  </si>
  <si>
    <t>Iman de esmalte gato</t>
  </si>
  <si>
    <t>Piedras de uñas</t>
  </si>
  <si>
    <t>Azucar</t>
  </si>
  <si>
    <t>Caviar oeq</t>
  </si>
  <si>
    <t>Concha de nacar</t>
  </si>
  <si>
    <t>Papel oro</t>
  </si>
  <si>
    <t>Efecto</t>
  </si>
  <si>
    <t>Dispensador de acetona</t>
  </si>
  <si>
    <t>Wipes de unas</t>
  </si>
  <si>
    <t>Medidor de oxigenta</t>
  </si>
  <si>
    <t>001-001-000007628</t>
  </si>
  <si>
    <t>Removedor acrílico</t>
  </si>
  <si>
    <t>001-001-000007624</t>
  </si>
  <si>
    <t>Palos de naranja ZZAM</t>
  </si>
  <si>
    <t>Copa acrílica</t>
  </si>
  <si>
    <t>TOP COAT Coqueta</t>
  </si>
  <si>
    <t>Base COAT</t>
  </si>
  <si>
    <t>Nail prer coqueta</t>
  </si>
  <si>
    <t>XTRABOND 30ML MIA SECRET</t>
  </si>
  <si>
    <t>Esmalte ojo de gato</t>
  </si>
  <si>
    <t>Esmaltes Rodher</t>
  </si>
  <si>
    <t>Rimel Vogue</t>
  </si>
  <si>
    <t>Vincha</t>
  </si>
  <si>
    <t>004-104-000102555</t>
  </si>
  <si>
    <t>001-009-000323046</t>
  </si>
  <si>
    <t xml:space="preserve">Set copas de vino Ivento </t>
  </si>
  <si>
    <t xml:space="preserve">Set copas para martini Schott Zwiesel S109 </t>
  </si>
  <si>
    <t xml:space="preserve">Set de vasos para bebidas Cristar </t>
  </si>
  <si>
    <t>Cafetera Oster C501B</t>
  </si>
  <si>
    <t>001-010-000183751</t>
  </si>
  <si>
    <t xml:space="preserve">REFLECTOR LED 11W PAR30 3000K E27 DIM 900LM 120V L070348 MV </t>
  </si>
  <si>
    <t xml:space="preserve">SPOT RIEL 1L E27 BLANCO MOVIL PAR30 BL 010241 TPC- 1013W </t>
  </si>
  <si>
    <t xml:space="preserve">COLGANTE 16L ORO Y997 FOCCUS </t>
  </si>
  <si>
    <t>007-004-000185910</t>
  </si>
  <si>
    <t>001-009-000323233</t>
  </si>
  <si>
    <t xml:space="preserve">Set copas de champagne C223 </t>
  </si>
  <si>
    <t>Mini Cooler indurama</t>
  </si>
  <si>
    <t xml:space="preserve">RIEL 1M BLANCA P/LAMPARA DICROICO CC5008 L03113 ELIEL </t>
  </si>
  <si>
    <t>020-013-000177650</t>
  </si>
  <si>
    <t xml:space="preserve">DISPENSADOR P/JABON CUAD MENTA/BLANCO PLAST Marca: CHINA LIGHT Modelo: MEN B2565-C 622C GARANTIA: 1 meses </t>
  </si>
  <si>
    <t xml:space="preserve">DISPENSADOR P/JABON RDN BLANCO/BAMBOO PLAST Marca: HOUSEWIN Modelo: BL 72281BWL-0G2 GARANTIA: 1 meses </t>
  </si>
  <si>
    <t xml:space="preserve">TOALLA FACIAL 30X30CM IVORY CHEVRON ZERO TWIST 500GR 100%ALG Marca: GOLDEN TERRY Modelo: 500GR CHEVRON IVORY 30X30 </t>
  </si>
  <si>
    <t xml:space="preserve">CANASTA RECT 29X19X7.5CM CRUDO/HABANO ALG/MORETE Marca: LIHA Modelo: CRU003 GARANTIA: 1 meses </t>
  </si>
  <si>
    <t xml:space="preserve">FLOR AGAPANTHUS 23.5" VERDE/BEIGE PLAST Marca: INT HOME ACCENT Modelo: </t>
  </si>
  <si>
    <t xml:space="preserve">NS222146.LG GARANTIA: 1 meses </t>
  </si>
  <si>
    <t>002-102-000004911</t>
  </si>
  <si>
    <t xml:space="preserve">MACETA FIBRA DE CEMENTO CONO ALTO PEQUENA 37X37X80.5CM P292 GRIS </t>
  </si>
  <si>
    <t>002-102-000004910</t>
  </si>
  <si>
    <t xml:space="preserve">PALA PLASTICA DE BASURA SBANDA </t>
  </si>
  <si>
    <t>OPA LIMPIA CERAMICAPORCELANATO + MANGO</t>
  </si>
  <si>
    <t>ESCOBA INDUSTRIAL +TUBO PLASTIFICADO</t>
  </si>
  <si>
    <t xml:space="preserve">CEPILLO SANITARIO CON BASE </t>
  </si>
  <si>
    <t>037-903-000317774</t>
  </si>
  <si>
    <t xml:space="preserve">PORTA ROLLO-SELENA- CROMO E167/50 </t>
  </si>
  <si>
    <t xml:space="preserve">EXTENSION ELECT 2X16 4M BLCO VOLTECK </t>
  </si>
  <si>
    <t xml:space="preserve">CANALETA AUTOAD 13X7 BLANCA S/D DEXSON </t>
  </si>
  <si>
    <t xml:space="preserve">GANCHO P/TOALLA AQUA FOSET CROMO ORO </t>
  </si>
  <si>
    <t xml:space="preserve">PAPEL TOALLA Z 2H 23X23CM 150 LA ORIGI </t>
  </si>
  <si>
    <t xml:space="preserve">ACHO RATAN VAIVEN SLIM 10 LTS CAFE </t>
  </si>
  <si>
    <t xml:space="preserve">ACHO RATAN VAIVEN SLIM 25 LTS BEIGE </t>
  </si>
  <si>
    <t xml:space="preserve">VELO SUIZO </t>
  </si>
  <si>
    <t>003-003-000129743</t>
  </si>
  <si>
    <t>037-905-000311836</t>
  </si>
  <si>
    <t>002-011-000416002</t>
  </si>
  <si>
    <t xml:space="preserve">NTERNET SMB CENTROS COMERCIAL 100MBPS </t>
  </si>
  <si>
    <t>002-011-000416050</t>
  </si>
  <si>
    <t>INTERNET DESDE 2025-11-07 HASTA 2025-11-27</t>
  </si>
  <si>
    <t>001-002-000000023</t>
  </si>
  <si>
    <t>Arriendo</t>
  </si>
  <si>
    <t>001-901-000020366</t>
  </si>
  <si>
    <t xml:space="preserve">Almohada Memori Fon </t>
  </si>
  <si>
    <t>041-904-000136853</t>
  </si>
  <si>
    <t>001-901-000020365</t>
  </si>
  <si>
    <t xml:space="preserve">Toalla Playboy33*33 </t>
  </si>
  <si>
    <t xml:space="preserve">Toalla Playboy40*70 </t>
  </si>
  <si>
    <t>001-009-000328984</t>
  </si>
  <si>
    <t xml:space="preserve">Celular Xiaomi 13C Redmi </t>
  </si>
  <si>
    <t>003-003-000117107</t>
  </si>
  <si>
    <t>Juegos de sábanas</t>
  </si>
  <si>
    <t>001-901-000020520</t>
  </si>
  <si>
    <t>Cobija 2 plazas</t>
  </si>
  <si>
    <t>002-102-000006488</t>
  </si>
  <si>
    <t>032-102-000137003</t>
  </si>
  <si>
    <t xml:space="preserve">ALFOMBRA SHAGGY LOSSO 50X </t>
  </si>
  <si>
    <t xml:space="preserve">TACHO PEDAL DECO LINES 8L </t>
  </si>
  <si>
    <t>087-102-000023172</t>
  </si>
  <si>
    <t>Trapeador gratorio</t>
  </si>
  <si>
    <t>007-301-000164370</t>
  </si>
  <si>
    <t xml:space="preserve">REVLO TOALLITAS DESMAQUILLANTES PARA OJOS Y CARA NOCHE 25und </t>
  </si>
  <si>
    <t xml:space="preserve">TRIM PERFILADOR PARA CEJAS </t>
  </si>
  <si>
    <t>096-191-000058859</t>
  </si>
  <si>
    <t>Escoba microfibra</t>
  </si>
  <si>
    <t>Tubo de escoba</t>
  </si>
  <si>
    <t>Mouse</t>
  </si>
  <si>
    <t>001-100-000000091</t>
  </si>
  <si>
    <t xml:space="preserve">UOTA DE MANTENIMIENTO Y ADMINISTRACION LOCAL 9 12/2025 VISTA GARDEN PLAZA </t>
  </si>
  <si>
    <t>007-103-000143958</t>
  </si>
  <si>
    <t xml:space="preserve">TACHO AURA BAMBOO 6LTS BL </t>
  </si>
  <si>
    <t xml:space="preserve">ADORNO MANOS DORADO ENVEJ </t>
  </si>
  <si>
    <t>003-020-000214949</t>
  </si>
  <si>
    <t>Mesas auxiliares</t>
  </si>
  <si>
    <t>002-101-000005732</t>
  </si>
  <si>
    <t>001-020-006791477</t>
  </si>
  <si>
    <t>001-020-006895682</t>
  </si>
  <si>
    <t>001-019-005492736</t>
  </si>
  <si>
    <t>001-014-008372615</t>
  </si>
  <si>
    <t>001-003-001496832</t>
  </si>
  <si>
    <t>001-003-020793506</t>
  </si>
  <si>
    <t xml:space="preserve">LIQUIDACION COMERCIO </t>
  </si>
  <si>
    <t>001-001-000010898</t>
  </si>
  <si>
    <t xml:space="preserve">spainer gel uñas </t>
  </si>
  <si>
    <t xml:space="preserve">PIGMENTO </t>
  </si>
  <si>
    <t>002-200-000000069</t>
  </si>
  <si>
    <t xml:space="preserve">CUOTA DE ADMINISTRACION Y MENTENIMIENTO FEB. VGARDEN </t>
  </si>
  <si>
    <t>002-200-000000068</t>
  </si>
  <si>
    <t xml:space="preserve">CUOTA DE ADMINISTRACION Y MANTENIMIENTO VGARDEN ENERO </t>
  </si>
  <si>
    <t>001-002-000000082</t>
  </si>
  <si>
    <t xml:space="preserve">ARRIENDO MENSUAL </t>
  </si>
  <si>
    <t>001-002-000000081</t>
  </si>
  <si>
    <t>021-004-000023999</t>
  </si>
  <si>
    <t xml:space="preserve">THUYA GOMA DUO PARA PESTAÑAS 14ML </t>
  </si>
  <si>
    <t>026-003-000044323</t>
  </si>
  <si>
    <t xml:space="preserve">DOLL CERA DEPILATORI </t>
  </si>
  <si>
    <t>001-004-000007320</t>
  </si>
  <si>
    <t xml:space="preserve">RIZADOR </t>
  </si>
  <si>
    <t xml:space="preserve">ALICATE COQUETA'S </t>
  </si>
  <si>
    <t xml:space="preserve">ALICATE VICKY NAIL </t>
  </si>
  <si>
    <t xml:space="preserve">PAQ LIMA </t>
  </si>
  <si>
    <t>001-001-000011020</t>
  </si>
  <si>
    <t xml:space="preserve">PARAFINA D </t>
  </si>
  <si>
    <t xml:space="preserve">EXFOLIANTE </t>
  </si>
  <si>
    <t xml:space="preserve">RIMEL VOGUE VOLUMEN </t>
  </si>
  <si>
    <t>LAMPARA gel</t>
  </si>
  <si>
    <t xml:space="preserve">OLLA DE PARAFINA DI </t>
  </si>
  <si>
    <t xml:space="preserve">MASCARILLA </t>
  </si>
  <si>
    <t>001-014-008466835</t>
  </si>
  <si>
    <t>002-200-000000093</t>
  </si>
  <si>
    <t xml:space="preserve">TROS SRVICIOS ADMINISTRACION V GARDEN </t>
  </si>
  <si>
    <t>002-200-000000077</t>
  </si>
  <si>
    <t xml:space="preserve">CUOTA ADMINISTRACION Y MANTENIMIENTO MARZO V GARDEN </t>
  </si>
  <si>
    <t>001-019-005552984</t>
  </si>
  <si>
    <t>001-020-002785941</t>
  </si>
  <si>
    <t>001-002-000000089</t>
  </si>
  <si>
    <t>001-003-001548160</t>
  </si>
  <si>
    <t>001-060-000003818</t>
  </si>
  <si>
    <t>041-902-000107918</t>
  </si>
  <si>
    <t xml:space="preserve">TAPETE/ENTRADA EXTERIOR COCO 45X75 CM </t>
  </si>
  <si>
    <t xml:space="preserve">ALFOMBRA D/BANIO VENTOSA 43X70CM COLORES </t>
  </si>
  <si>
    <t>001-019-013531980</t>
  </si>
  <si>
    <t>001-014-015522797</t>
  </si>
  <si>
    <t>001-002-019450981</t>
  </si>
  <si>
    <t>001-019-013566861</t>
  </si>
  <si>
    <t>001-020-006984470</t>
  </si>
  <si>
    <t>001-020-007019537</t>
  </si>
  <si>
    <t>001-019-013593147</t>
  </si>
  <si>
    <t>001-014-015620871</t>
  </si>
  <si>
    <t>001-019-013621129</t>
  </si>
  <si>
    <t>001-020-007028575</t>
  </si>
  <si>
    <t>001-014-000040477</t>
  </si>
  <si>
    <t>001-019-013662712</t>
  </si>
  <si>
    <t>001-020-007069203</t>
  </si>
  <si>
    <t>001-019-013693533</t>
  </si>
  <si>
    <t>001-020-002724700</t>
  </si>
  <si>
    <t>MARZO</t>
  </si>
  <si>
    <t xml:space="preserve">Manicura </t>
  </si>
  <si>
    <t>Pestañas</t>
  </si>
  <si>
    <t>Depilación</t>
  </si>
  <si>
    <t xml:space="preserve">GUANTES NITRILO NEGRO TALLA MEDIUM C/1000 UDS </t>
  </si>
  <si>
    <t>001-014-008573190</t>
  </si>
  <si>
    <t>002-200-000000128</t>
  </si>
  <si>
    <t>Gastos administrativos plaza</t>
  </si>
  <si>
    <t>002-200-000000115</t>
  </si>
  <si>
    <t>CUOTA DE ADMINISTRACION Y MANTENIMIENTO ABRIL VGARDEN</t>
  </si>
  <si>
    <t>001-100-000017892</t>
  </si>
  <si>
    <t xml:space="preserve">tinte de pestañas </t>
  </si>
  <si>
    <t>ESMALTE PERMANENTE SAPHIR</t>
  </si>
  <si>
    <t>ESMALTE PERMANENTE MASTER</t>
  </si>
  <si>
    <t xml:space="preserve">TINTE TYA </t>
  </si>
  <si>
    <t>001-001-000011456</t>
  </si>
  <si>
    <t xml:space="preserve">ALCOHOL GALON </t>
  </si>
  <si>
    <t>001-003-001626378</t>
  </si>
  <si>
    <t>001-002-000000106</t>
  </si>
  <si>
    <t>001-019-005603553</t>
  </si>
  <si>
    <t>001-020-002819556</t>
  </si>
  <si>
    <t>001-001-000011734</t>
  </si>
  <si>
    <t xml:space="preserve">LIMA SPONS </t>
  </si>
  <si>
    <t xml:space="preserve">WIPES DE UÑAS </t>
  </si>
  <si>
    <t>PRIMER MASTER</t>
  </si>
  <si>
    <t>001-100-000018568</t>
  </si>
  <si>
    <t xml:space="preserve">QUITA ESMALTE GALON </t>
  </si>
  <si>
    <t xml:space="preserve">SPRAY PARA SECADO DE UÑAS </t>
  </si>
  <si>
    <t xml:space="preserve">NAIL PREP MIA SECRET PEQUEÑO </t>
  </si>
  <si>
    <t>001-019-013790787</t>
  </si>
  <si>
    <t>001-020-007116389</t>
  </si>
  <si>
    <t>001-019-013723230</t>
  </si>
  <si>
    <t>001-019-013768302</t>
  </si>
  <si>
    <t>001-020-007157903</t>
  </si>
  <si>
    <t>001-019-013812511</t>
  </si>
  <si>
    <t>001-020-007191968</t>
  </si>
  <si>
    <t xml:space="preserve">PRIMER </t>
  </si>
  <si>
    <t>001-100-000018829</t>
  </si>
  <si>
    <t xml:space="preserve">DESINFECTANTE </t>
  </si>
  <si>
    <t xml:space="preserve">bigudie azul </t>
  </si>
  <si>
    <t>001-100-000018943</t>
  </si>
  <si>
    <t>LAMPARA</t>
  </si>
  <si>
    <t xml:space="preserve">ESTERILIZADOR EN SECO 8 LITROS </t>
  </si>
  <si>
    <t>008-003-000008659</t>
  </si>
  <si>
    <t>001-019-005656529</t>
  </si>
  <si>
    <t>001-020-002860527</t>
  </si>
  <si>
    <t>002-200-000000142</t>
  </si>
  <si>
    <t xml:space="preserve">OTROS SERVICIOS ADMINISTRACION V GARDEN </t>
  </si>
  <si>
    <t>002-200-000000155</t>
  </si>
  <si>
    <t xml:space="preserve">CUOTA DE ADMINISTRACION Y MANTENIMIENTO VGARDEN MAYO </t>
  </si>
  <si>
    <t>001-003-001652617</t>
  </si>
  <si>
    <t>001-002-000000124</t>
  </si>
  <si>
    <t xml:space="preserve">RRIENDO MENSUAL </t>
  </si>
  <si>
    <t>001-001-000011991</t>
  </si>
  <si>
    <t>001-100-000019219</t>
  </si>
  <si>
    <t xml:space="preserve">SEPARADOR DE DEDOS </t>
  </si>
  <si>
    <t xml:space="preserve">funda exg lujo </t>
  </si>
  <si>
    <t xml:space="preserve">top coa coqueta </t>
  </si>
  <si>
    <t xml:space="preserve">MICRO CEPILLO FUNDA </t>
  </si>
  <si>
    <t>001-020-007214418</t>
  </si>
  <si>
    <t>001-019-013861793</t>
  </si>
  <si>
    <t>001-019-013904205</t>
  </si>
  <si>
    <t>001-020-007234883</t>
  </si>
  <si>
    <t>001-019-013917224</t>
  </si>
  <si>
    <t>001-014-015954530</t>
  </si>
  <si>
    <t>001-014-016091168</t>
  </si>
  <si>
    <t>001-019-016061678</t>
  </si>
  <si>
    <t>001-019-016164982</t>
  </si>
  <si>
    <t>001-014-016206700</t>
  </si>
  <si>
    <t>001-019-013995154</t>
  </si>
  <si>
    <t>001-004-000091487</t>
  </si>
  <si>
    <t>SETX6 RIMEL KARITE</t>
  </si>
  <si>
    <t>PROSA RIMEL MAXI VOLUMEN</t>
  </si>
  <si>
    <t>PROSA RIMEL MICRO FIBRAS</t>
  </si>
  <si>
    <t>PROSA ACEITE 4EN1</t>
  </si>
  <si>
    <t>001-001-000012083</t>
  </si>
  <si>
    <t>aceite de cuticula opi</t>
  </si>
  <si>
    <t>001-004-000008534</t>
  </si>
  <si>
    <t>VELA HIDRATANTE</t>
  </si>
  <si>
    <t>001-100-000019598</t>
  </si>
  <si>
    <t>acetona pura</t>
  </si>
  <si>
    <t>servitoallas</t>
  </si>
  <si>
    <t>BOMBAS EFERVECENTES</t>
  </si>
  <si>
    <t>WIPES DE UÑAS</t>
  </si>
  <si>
    <t>REPUESTOS PARA PEDICURA</t>
  </si>
  <si>
    <t>REMOVEDOR DE ACRILICO</t>
  </si>
  <si>
    <t>ACEITE PARA CUTICULAS</t>
  </si>
  <si>
    <t>ESMALTE OJO DE GATO LINDA Y COQUETA</t>
  </si>
  <si>
    <t>MASCARILLAS</t>
  </si>
  <si>
    <t>001-019-016237029</t>
  </si>
  <si>
    <t>servitoallas mami 19-05-2026</t>
  </si>
  <si>
    <t>telconet</t>
  </si>
  <si>
    <t>mascarillas</t>
  </si>
  <si>
    <t>redes</t>
  </si>
  <si>
    <t>redes 01-04</t>
  </si>
  <si>
    <t>Total</t>
  </si>
  <si>
    <t>ABRIL</t>
  </si>
  <si>
    <t>MAYO</t>
  </si>
  <si>
    <t>Total Factura</t>
  </si>
  <si>
    <t>FORMA DE PAGO</t>
  </si>
  <si>
    <t>CUENTA</t>
  </si>
  <si>
    <t>001-020-016238691</t>
  </si>
  <si>
    <t>001-019-016262868</t>
  </si>
  <si>
    <t>001-020-016248678</t>
  </si>
  <si>
    <t>001-019-016291723</t>
  </si>
  <si>
    <t>002-200-000000172</t>
  </si>
  <si>
    <t>CUOTA DE ADMINISTRACION Y
MANTENIMIENTO VGARDEN
JUNIO</t>
  </si>
  <si>
    <t>001-100-000028334</t>
  </si>
  <si>
    <t>ESMALTE VOGUE EN GEL</t>
  </si>
  <si>
    <t>BROCHA</t>
  </si>
  <si>
    <t>001-014-016161973</t>
  </si>
  <si>
    <t>Comisiones</t>
  </si>
  <si>
    <t>001-002-000000140</t>
  </si>
  <si>
    <t>ARRIENDO MENSUAL</t>
  </si>
  <si>
    <t>001-001-000012309</t>
  </si>
  <si>
    <t>PARCHES DE PESTAÑAS X 100</t>
  </si>
  <si>
    <t>CUADERNO PESTAÑAS AMY BEAUTY</t>
  </si>
  <si>
    <t>CONTORNO</t>
  </si>
  <si>
    <t>BASE RUBER MASTER</t>
  </si>
  <si>
    <t>002-200-000000188</t>
  </si>
  <si>
    <t>OTROS SERVICIOS
ADMINISTRACION V GARDEN</t>
  </si>
  <si>
    <t>001-019-016136267</t>
  </si>
  <si>
    <t>JUNIO</t>
  </si>
  <si>
    <t>Adrie</t>
  </si>
  <si>
    <t>Corriente:
No. 99507195</t>
  </si>
  <si>
    <t>Corriente:
No. 99693242
No. 100101517</t>
  </si>
  <si>
    <t>Corriente:
No. 75721100</t>
  </si>
  <si>
    <t>Ahorros
No. 70524025</t>
  </si>
  <si>
    <t>Corriente:
No. 73762744</t>
  </si>
  <si>
    <t>Ahorros
No. 118389905</t>
  </si>
  <si>
    <t>Ahorros
No. 24243309</t>
  </si>
  <si>
    <t>Corriente
No. 159821495</t>
  </si>
  <si>
    <t>Corriente
No. 21396341</t>
  </si>
  <si>
    <t>Ahorros
No. 73917773</t>
  </si>
  <si>
    <t>Ahorros
No.38810354</t>
  </si>
  <si>
    <t>Corriente
No. 42388642</t>
  </si>
  <si>
    <t>Corriente
No. 20017005</t>
  </si>
  <si>
    <t>Corriente
No. 194935169</t>
  </si>
  <si>
    <t>Corriente
No. 168052301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</si>
</sst>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* #,##0.00_-;\-&quot;$&quot;* #,##0.00_-;_-&quot;$&quot;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3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0" fillId="3" borderId="0" xfId="0" applyFill="1"/>
    <xf numFmtId="0" fontId="3" fillId="3" borderId="2" xfId="0" applyFont="1" applyFill="1" applyBorder="1"/>
    <xf numFmtId="164" fontId="0" fillId="3" borderId="3" xfId="1" applyFont="1" applyFill="1" applyBorder="1" applyAlignment="1"/>
    <xf numFmtId="0" fontId="3" fillId="3" borderId="0" xfId="0" applyFont="1" applyFill="1"/>
    <xf numFmtId="164" fontId="3" fillId="3" borderId="0" xfId="1" applyFont="1" applyFill="1" applyBorder="1" applyAlignment="1"/>
    <xf numFmtId="164" fontId="0" fillId="3" borderId="5" xfId="1" applyFont="1" applyFill="1" applyBorder="1" applyAlignment="1"/>
    <xf numFmtId="164" fontId="0" fillId="3" borderId="0" xfId="1" applyFont="1" applyFill="1" applyBorder="1" applyAlignment="1"/>
    <xf numFmtId="164" fontId="0" fillId="3" borderId="2" xfId="1" applyFont="1" applyFill="1" applyBorder="1" applyAlignment="1"/>
    <xf numFmtId="164" fontId="0" fillId="3" borderId="7" xfId="1" applyFont="1" applyFill="1" applyBorder="1" applyAlignment="1"/>
    <xf numFmtId="164" fontId="0" fillId="3" borderId="0" xfId="1" applyFont="1" applyFill="1" applyAlignment="1"/>
    <xf numFmtId="0" fontId="0" fillId="3" borderId="10" xfId="0" applyFill="1" applyBorder="1"/>
    <xf numFmtId="0" fontId="0" fillId="3" borderId="13" xfId="0" applyFill="1" applyBorder="1"/>
    <xf numFmtId="164" fontId="0" fillId="3" borderId="10" xfId="1" applyFont="1" applyFill="1" applyBorder="1"/>
    <xf numFmtId="164" fontId="0" fillId="3" borderId="13" xfId="1" applyFont="1" applyFill="1" applyBorder="1"/>
    <xf numFmtId="164" fontId="0" fillId="3" borderId="0" xfId="1" applyFont="1" applyFill="1"/>
    <xf numFmtId="164" fontId="0" fillId="3" borderId="11" xfId="1" applyFont="1" applyFill="1" applyBorder="1"/>
    <xf numFmtId="164" fontId="0" fillId="3" borderId="14" xfId="1" applyFont="1" applyFill="1" applyBorder="1"/>
    <xf numFmtId="0" fontId="0" fillId="3" borderId="19" xfId="0" applyFill="1" applyBorder="1"/>
    <xf numFmtId="0" fontId="2" fillId="4" borderId="0" xfId="0" applyFont="1" applyFill="1" applyAlignment="1">
      <alignment horizontal="center"/>
    </xf>
    <xf numFmtId="164" fontId="2" fillId="4" borderId="0" xfId="1" applyFont="1" applyFill="1" applyAlignment="1">
      <alignment horizontal="center"/>
    </xf>
    <xf numFmtId="0" fontId="3" fillId="0" borderId="0" xfId="0" applyFont="1"/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3" borderId="0" xfId="0" applyFill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2" fillId="2" borderId="0" xfId="0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 wrapText="1"/>
    </xf>
    <xf numFmtId="14" fontId="0" fillId="3" borderId="16" xfId="0" applyNumberFormat="1" applyFill="1" applyBorder="1" applyAlignment="1">
      <alignment horizontal="center" vertical="center"/>
    </xf>
    <xf numFmtId="14" fontId="0" fillId="3" borderId="17" xfId="0" applyNumberForma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6" borderId="0" xfId="0" applyFont="1" applyFill="1" applyBorder="1"/>
    <xf numFmtId="164" fontId="6" fillId="6" borderId="0" xfId="0" applyNumberFormat="1" applyFont="1" applyFill="1" applyBorder="1"/>
    <xf numFmtId="44" fontId="0" fillId="3" borderId="19" xfId="0" applyNumberFormat="1" applyFill="1" applyBorder="1"/>
    <xf numFmtId="0" fontId="0" fillId="3" borderId="0" xfId="0" applyFont="1" applyFill="1"/>
    <xf numFmtId="0" fontId="3" fillId="0" borderId="0" xfId="0" applyFont="1" applyBorder="1"/>
    <xf numFmtId="0" fontId="0" fillId="3" borderId="0" xfId="0" applyFont="1" applyFill="1" applyBorder="1"/>
    <xf numFmtId="0" fontId="0" fillId="3" borderId="2" xfId="0" applyFont="1" applyFill="1" applyBorder="1"/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44" fontId="0" fillId="3" borderId="0" xfId="0" applyNumberFormat="1" applyFont="1" applyFill="1"/>
    <xf numFmtId="0" fontId="3" fillId="3" borderId="0" xfId="0" applyFont="1" applyFill="1" applyBorder="1"/>
    <xf numFmtId="3" fontId="3" fillId="3" borderId="0" xfId="0" applyNumberFormat="1" applyFont="1" applyFill="1" applyBorder="1"/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/>
    <xf numFmtId="44" fontId="0" fillId="3" borderId="24" xfId="0" applyNumberFormat="1" applyFont="1" applyFill="1" applyBorder="1"/>
    <xf numFmtId="44" fontId="0" fillId="3" borderId="0" xfId="0" applyNumberFormat="1" applyFont="1" applyFill="1" applyBorder="1"/>
    <xf numFmtId="0" fontId="3" fillId="0" borderId="30" xfId="0" applyFont="1" applyBorder="1"/>
    <xf numFmtId="44" fontId="0" fillId="3" borderId="30" xfId="0" applyNumberFormat="1" applyFont="1" applyFill="1" applyBorder="1"/>
    <xf numFmtId="0" fontId="0" fillId="3" borderId="24" xfId="0" applyFont="1" applyFill="1" applyBorder="1" applyAlignment="1">
      <alignment horizontal="center"/>
    </xf>
    <xf numFmtId="0" fontId="0" fillId="3" borderId="30" xfId="0" applyFont="1" applyFill="1" applyBorder="1" applyAlignment="1">
      <alignment horizontal="center" vertical="center"/>
    </xf>
    <xf numFmtId="0" fontId="0" fillId="3" borderId="30" xfId="0" applyFont="1" applyFill="1" applyBorder="1" applyAlignment="1">
      <alignment horizontal="center"/>
    </xf>
    <xf numFmtId="164" fontId="1" fillId="3" borderId="5" xfId="1" applyFont="1" applyFill="1" applyBorder="1" applyAlignment="1"/>
    <xf numFmtId="164" fontId="1" fillId="3" borderId="0" xfId="1" applyFont="1" applyFill="1" applyBorder="1" applyAlignment="1"/>
    <xf numFmtId="164" fontId="1" fillId="3" borderId="2" xfId="1" applyFont="1" applyFill="1" applyBorder="1" applyAlignment="1"/>
    <xf numFmtId="164" fontId="1" fillId="3" borderId="3" xfId="1" applyFont="1" applyFill="1" applyBorder="1" applyAlignment="1"/>
    <xf numFmtId="164" fontId="1" fillId="3" borderId="0" xfId="1" applyFont="1" applyFill="1" applyAlignment="1"/>
    <xf numFmtId="0" fontId="2" fillId="3" borderId="0" xfId="0" applyFont="1" applyFill="1"/>
    <xf numFmtId="0" fontId="0" fillId="4" borderId="24" xfId="0" applyFont="1" applyFill="1" applyBorder="1" applyAlignment="1">
      <alignment horizontal="center"/>
    </xf>
    <xf numFmtId="0" fontId="3" fillId="4" borderId="24" xfId="0" applyFont="1" applyFill="1" applyBorder="1"/>
    <xf numFmtId="164" fontId="1" fillId="4" borderId="24" xfId="1" applyFont="1" applyFill="1" applyBorder="1" applyAlignment="1">
      <alignment horizontal="center"/>
    </xf>
    <xf numFmtId="164" fontId="1" fillId="4" borderId="25" xfId="1" applyFont="1" applyFill="1" applyBorder="1" applyAlignment="1">
      <alignment horizontal="center"/>
    </xf>
    <xf numFmtId="44" fontId="0" fillId="4" borderId="24" xfId="0" applyNumberFormat="1" applyFont="1" applyFill="1" applyBorder="1"/>
    <xf numFmtId="0" fontId="0" fillId="4" borderId="0" xfId="0" applyFont="1" applyFill="1" applyBorder="1" applyAlignment="1">
      <alignment horizontal="center"/>
    </xf>
    <xf numFmtId="0" fontId="3" fillId="4" borderId="0" xfId="0" applyFont="1" applyFill="1" applyBorder="1"/>
    <xf numFmtId="164" fontId="1" fillId="4" borderId="0" xfId="1" applyFont="1" applyFill="1" applyBorder="1" applyAlignment="1">
      <alignment horizontal="center"/>
    </xf>
    <xf numFmtId="164" fontId="1" fillId="4" borderId="5" xfId="1" applyFont="1" applyFill="1" applyBorder="1" applyAlignment="1">
      <alignment horizontal="center"/>
    </xf>
    <xf numFmtId="44" fontId="0" fillId="4" borderId="0" xfId="0" applyNumberFormat="1" applyFont="1" applyFill="1" applyBorder="1"/>
    <xf numFmtId="0" fontId="0" fillId="4" borderId="30" xfId="0" applyFont="1" applyFill="1" applyBorder="1" applyAlignment="1">
      <alignment horizontal="center"/>
    </xf>
    <xf numFmtId="0" fontId="3" fillId="4" borderId="30" xfId="0" applyFont="1" applyFill="1" applyBorder="1"/>
    <xf numFmtId="164" fontId="1" fillId="4" borderId="30" xfId="1" applyFont="1" applyFill="1" applyBorder="1" applyAlignment="1">
      <alignment horizontal="center"/>
    </xf>
    <xf numFmtId="164" fontId="1" fillId="4" borderId="31" xfId="1" applyFont="1" applyFill="1" applyBorder="1" applyAlignment="1">
      <alignment horizontal="center"/>
    </xf>
    <xf numFmtId="44" fontId="0" fillId="4" borderId="30" xfId="0" applyNumberFormat="1" applyFont="1" applyFill="1" applyBorder="1"/>
    <xf numFmtId="0" fontId="3" fillId="3" borderId="24" xfId="0" applyFont="1" applyFill="1" applyBorder="1" applyAlignment="1">
      <alignment horizontal="center"/>
    </xf>
    <xf numFmtId="0" fontId="3" fillId="3" borderId="24" xfId="0" applyFont="1" applyFill="1" applyBorder="1"/>
    <xf numFmtId="3" fontId="3" fillId="3" borderId="24" xfId="0" applyNumberFormat="1" applyFont="1" applyFill="1" applyBorder="1"/>
    <xf numFmtId="164" fontId="3" fillId="3" borderId="24" xfId="1" applyFont="1" applyFill="1" applyBorder="1" applyAlignment="1"/>
    <xf numFmtId="164" fontId="1" fillId="3" borderId="25" xfId="1" applyFont="1" applyFill="1" applyBorder="1" applyAlignment="1"/>
    <xf numFmtId="0" fontId="3" fillId="3" borderId="30" xfId="0" applyFont="1" applyFill="1" applyBorder="1"/>
    <xf numFmtId="0" fontId="0" fillId="3" borderId="30" xfId="0" applyFont="1" applyFill="1" applyBorder="1"/>
    <xf numFmtId="164" fontId="1" fillId="3" borderId="30" xfId="1" applyFont="1" applyFill="1" applyBorder="1" applyAlignment="1"/>
    <xf numFmtId="164" fontId="1" fillId="3" borderId="31" xfId="1" applyFont="1" applyFill="1" applyBorder="1" applyAlignment="1"/>
    <xf numFmtId="0" fontId="0" fillId="3" borderId="24" xfId="0" applyFont="1" applyFill="1" applyBorder="1"/>
    <xf numFmtId="164" fontId="1" fillId="3" borderId="24" xfId="1" applyFont="1" applyFill="1" applyBorder="1" applyAlignment="1"/>
    <xf numFmtId="0" fontId="0" fillId="4" borderId="24" xfId="0" applyFont="1" applyFill="1" applyBorder="1"/>
    <xf numFmtId="164" fontId="1" fillId="4" borderId="24" xfId="1" applyFont="1" applyFill="1" applyBorder="1" applyAlignment="1"/>
    <xf numFmtId="164" fontId="1" fillId="4" borderId="25" xfId="1" applyFont="1" applyFill="1" applyBorder="1" applyAlignment="1"/>
    <xf numFmtId="0" fontId="0" fillId="4" borderId="0" xfId="0" applyFont="1" applyFill="1" applyBorder="1"/>
    <xf numFmtId="164" fontId="1" fillId="4" borderId="0" xfId="1" applyFont="1" applyFill="1" applyBorder="1" applyAlignment="1"/>
    <xf numFmtId="164" fontId="1" fillId="4" borderId="5" xfId="1" applyFont="1" applyFill="1" applyBorder="1" applyAlignment="1"/>
    <xf numFmtId="0" fontId="0" fillId="4" borderId="30" xfId="0" applyFont="1" applyFill="1" applyBorder="1"/>
    <xf numFmtId="164" fontId="1" fillId="4" borderId="30" xfId="1" applyFont="1" applyFill="1" applyBorder="1" applyAlignment="1"/>
    <xf numFmtId="164" fontId="1" fillId="4" borderId="31" xfId="1" applyFont="1" applyFill="1" applyBorder="1" applyAlignment="1"/>
    <xf numFmtId="0" fontId="2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/>
    </xf>
    <xf numFmtId="0" fontId="0" fillId="3" borderId="19" xfId="0" applyFont="1" applyFill="1" applyBorder="1"/>
    <xf numFmtId="164" fontId="1" fillId="3" borderId="19" xfId="1" applyFont="1" applyFill="1" applyBorder="1" applyAlignment="1"/>
    <xf numFmtId="44" fontId="0" fillId="3" borderId="19" xfId="0" applyNumberFormat="1" applyFont="1" applyFill="1" applyBorder="1"/>
    <xf numFmtId="0" fontId="3" fillId="3" borderId="19" xfId="0" applyFont="1" applyFill="1" applyBorder="1"/>
    <xf numFmtId="0" fontId="3" fillId="3" borderId="38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/>
    </xf>
    <xf numFmtId="0" fontId="3" fillId="3" borderId="38" xfId="0" applyFont="1" applyFill="1" applyBorder="1"/>
    <xf numFmtId="0" fontId="0" fillId="3" borderId="38" xfId="0" applyFont="1" applyFill="1" applyBorder="1"/>
    <xf numFmtId="164" fontId="1" fillId="3" borderId="38" xfId="1" applyFont="1" applyFill="1" applyBorder="1" applyAlignment="1"/>
    <xf numFmtId="44" fontId="0" fillId="3" borderId="38" xfId="0" applyNumberFormat="1" applyFont="1" applyFill="1" applyBorder="1"/>
    <xf numFmtId="44" fontId="0" fillId="3" borderId="2" xfId="0" applyNumberFormat="1" applyFont="1" applyFill="1" applyBorder="1"/>
    <xf numFmtId="0" fontId="3" fillId="3" borderId="21" xfId="0" applyFont="1" applyFill="1" applyBorder="1" applyAlignment="1">
      <alignment horizontal="center" vertical="center"/>
    </xf>
    <xf numFmtId="0" fontId="0" fillId="3" borderId="21" xfId="0" applyFont="1" applyFill="1" applyBorder="1" applyAlignment="1">
      <alignment horizontal="center"/>
    </xf>
    <xf numFmtId="0" fontId="3" fillId="3" borderId="21" xfId="0" applyFont="1" applyFill="1" applyBorder="1"/>
    <xf numFmtId="0" fontId="0" fillId="3" borderId="21" xfId="0" applyFont="1" applyFill="1" applyBorder="1"/>
    <xf numFmtId="164" fontId="1" fillId="3" borderId="21" xfId="1" applyFont="1" applyFill="1" applyBorder="1" applyAlignment="1"/>
    <xf numFmtId="164" fontId="1" fillId="3" borderId="39" xfId="1" applyFont="1" applyFill="1" applyBorder="1" applyAlignment="1"/>
    <xf numFmtId="44" fontId="0" fillId="3" borderId="21" xfId="0" applyNumberFormat="1" applyFont="1" applyFill="1" applyBorder="1"/>
    <xf numFmtId="0" fontId="3" fillId="0" borderId="1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38" xfId="0" applyFont="1" applyBorder="1"/>
    <xf numFmtId="3" fontId="3" fillId="0" borderId="38" xfId="0" applyNumberFormat="1" applyFont="1" applyBorder="1"/>
    <xf numFmtId="0" fontId="5" fillId="6" borderId="24" xfId="0" applyFont="1" applyFill="1" applyBorder="1"/>
    <xf numFmtId="164" fontId="6" fillId="6" borderId="24" xfId="0" applyNumberFormat="1" applyFont="1" applyFill="1" applyBorder="1"/>
    <xf numFmtId="0" fontId="5" fillId="6" borderId="30" xfId="0" applyFont="1" applyFill="1" applyBorder="1"/>
    <xf numFmtId="164" fontId="6" fillId="6" borderId="30" xfId="0" applyNumberFormat="1" applyFont="1" applyFill="1" applyBorder="1"/>
    <xf numFmtId="0" fontId="0" fillId="3" borderId="24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2" fillId="2" borderId="0" xfId="0" applyFont="1" applyFill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14" fontId="0" fillId="3" borderId="19" xfId="0" applyNumberForma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/>
    </xf>
    <xf numFmtId="164" fontId="0" fillId="3" borderId="19" xfId="1" applyFont="1" applyFill="1" applyBorder="1" applyAlignment="1"/>
    <xf numFmtId="14" fontId="0" fillId="3" borderId="38" xfId="0" applyNumberForma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/>
    </xf>
    <xf numFmtId="0" fontId="0" fillId="3" borderId="38" xfId="0" applyFill="1" applyBorder="1"/>
    <xf numFmtId="164" fontId="0" fillId="3" borderId="38" xfId="1" applyFont="1" applyFill="1" applyBorder="1" applyAlignment="1"/>
    <xf numFmtId="44" fontId="0" fillId="3" borderId="38" xfId="0" applyNumberFormat="1" applyFill="1" applyBorder="1"/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4" fontId="0" fillId="3" borderId="24" xfId="1" applyFont="1" applyFill="1" applyBorder="1" applyAlignment="1"/>
    <xf numFmtId="164" fontId="0" fillId="3" borderId="25" xfId="1" applyFont="1" applyFill="1" applyBorder="1" applyAlignment="1"/>
    <xf numFmtId="44" fontId="0" fillId="3" borderId="24" xfId="0" applyNumberFormat="1" applyFill="1" applyBorder="1"/>
    <xf numFmtId="44" fontId="0" fillId="3" borderId="0" xfId="0" applyNumberFormat="1" applyFill="1" applyBorder="1"/>
    <xf numFmtId="0" fontId="0" fillId="3" borderId="30" xfId="0" applyFill="1" applyBorder="1" applyAlignment="1">
      <alignment horizontal="center"/>
    </xf>
    <xf numFmtId="0" fontId="0" fillId="3" borderId="30" xfId="0" applyFill="1" applyBorder="1"/>
    <xf numFmtId="164" fontId="0" fillId="3" borderId="30" xfId="1" applyFont="1" applyFill="1" applyBorder="1" applyAlignment="1"/>
    <xf numFmtId="164" fontId="0" fillId="3" borderId="31" xfId="1" applyFont="1" applyFill="1" applyBorder="1" applyAlignment="1"/>
    <xf numFmtId="44" fontId="0" fillId="3" borderId="30" xfId="0" applyNumberFormat="1" applyFill="1" applyBorder="1"/>
    <xf numFmtId="0" fontId="0" fillId="3" borderId="0" xfId="0" applyFill="1" applyAlignment="1">
      <alignment vertical="center"/>
    </xf>
    <xf numFmtId="44" fontId="0" fillId="3" borderId="19" xfId="0" applyNumberFormat="1" applyFill="1" applyBorder="1" applyAlignment="1">
      <alignment vertical="center"/>
    </xf>
    <xf numFmtId="44" fontId="0" fillId="3" borderId="38" xfId="0" applyNumberFormat="1" applyFill="1" applyBorder="1" applyAlignment="1">
      <alignment vertical="center"/>
    </xf>
    <xf numFmtId="44" fontId="0" fillId="3" borderId="2" xfId="0" applyNumberFormat="1" applyFill="1" applyBorder="1"/>
    <xf numFmtId="44" fontId="0" fillId="3" borderId="3" xfId="0" applyNumberFormat="1" applyFill="1" applyBorder="1" applyAlignment="1">
      <alignment vertical="center"/>
    </xf>
    <xf numFmtId="14" fontId="0" fillId="3" borderId="6" xfId="0" applyNumberFormat="1" applyFill="1" applyBorder="1" applyAlignment="1">
      <alignment horizontal="center" vertical="center" wrapText="1"/>
    </xf>
    <xf numFmtId="44" fontId="0" fillId="3" borderId="7" xfId="0" applyNumberFormat="1" applyFill="1" applyBorder="1"/>
    <xf numFmtId="44" fontId="0" fillId="3" borderId="8" xfId="0" applyNumberFormat="1" applyFill="1" applyBorder="1" applyAlignment="1">
      <alignment vertical="center"/>
    </xf>
    <xf numFmtId="44" fontId="0" fillId="3" borderId="5" xfId="0" applyNumberForma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0" fillId="3" borderId="0" xfId="0" applyNumberFormat="1" applyFill="1" applyBorder="1" applyAlignment="1">
      <alignment vertical="center"/>
    </xf>
    <xf numFmtId="14" fontId="0" fillId="3" borderId="19" xfId="0" applyNumberFormat="1" applyFill="1" applyBorder="1" applyAlignment="1">
      <alignment vertical="center"/>
    </xf>
    <xf numFmtId="14" fontId="0" fillId="3" borderId="19" xfId="0" applyNumberFormat="1" applyFill="1" applyBorder="1" applyAlignment="1">
      <alignment horizontal="center" vertical="center"/>
    </xf>
    <xf numFmtId="14" fontId="0" fillId="3" borderId="40" xfId="0" applyNumberFormat="1" applyFill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3" fillId="0" borderId="40" xfId="0" applyFont="1" applyBorder="1"/>
    <xf numFmtId="0" fontId="0" fillId="3" borderId="40" xfId="0" applyFill="1" applyBorder="1"/>
    <xf numFmtId="164" fontId="0" fillId="3" borderId="40" xfId="1" applyFont="1" applyFill="1" applyBorder="1" applyAlignment="1"/>
    <xf numFmtId="44" fontId="0" fillId="3" borderId="40" xfId="0" applyNumberFormat="1" applyFill="1" applyBorder="1"/>
    <xf numFmtId="44" fontId="0" fillId="3" borderId="40" xfId="0" applyNumberFormat="1" applyFill="1" applyBorder="1" applyAlignment="1">
      <alignment vertical="center"/>
    </xf>
    <xf numFmtId="14" fontId="0" fillId="3" borderId="38" xfId="0" applyNumberFormat="1" applyFill="1" applyBorder="1" applyAlignment="1">
      <alignment horizontal="center" vertical="center"/>
    </xf>
    <xf numFmtId="14" fontId="0" fillId="3" borderId="38" xfId="0" applyNumberFormat="1" applyFill="1" applyBorder="1" applyAlignment="1">
      <alignment vertical="center"/>
    </xf>
    <xf numFmtId="14" fontId="0" fillId="3" borderId="24" xfId="0" applyNumberFormat="1" applyFill="1" applyBorder="1" applyAlignment="1">
      <alignment vertical="center"/>
    </xf>
    <xf numFmtId="14" fontId="0" fillId="3" borderId="23" xfId="0" applyNumberFormat="1" applyFill="1" applyBorder="1" applyAlignment="1">
      <alignment horizontal="center" vertical="center"/>
    </xf>
    <xf numFmtId="14" fontId="0" fillId="3" borderId="29" xfId="0" applyNumberFormat="1" applyFill="1" applyBorder="1" applyAlignment="1">
      <alignment horizontal="center" vertical="center"/>
    </xf>
    <xf numFmtId="44" fontId="0" fillId="3" borderId="1" xfId="0" applyNumberFormat="1" applyFill="1" applyBorder="1"/>
    <xf numFmtId="0" fontId="0" fillId="3" borderId="19" xfId="0" applyFont="1" applyFill="1" applyBorder="1" applyAlignment="1">
      <alignment wrapText="1"/>
    </xf>
    <xf numFmtId="44" fontId="2" fillId="3" borderId="4" xfId="0" applyNumberFormat="1" applyFont="1" applyFill="1" applyBorder="1" applyAlignment="1">
      <alignment horizontal="center" vertical="center"/>
    </xf>
    <xf numFmtId="44" fontId="2" fillId="3" borderId="19" xfId="0" applyNumberFormat="1" applyFont="1" applyFill="1" applyBorder="1" applyAlignment="1">
      <alignment horizontal="center" vertical="center"/>
    </xf>
    <xf numFmtId="44" fontId="2" fillId="3" borderId="38" xfId="0" applyNumberFormat="1" applyFont="1" applyFill="1" applyBorder="1" applyAlignment="1">
      <alignment horizontal="center" vertical="center"/>
    </xf>
    <xf numFmtId="44" fontId="2" fillId="3" borderId="34" xfId="0" applyNumberFormat="1" applyFont="1" applyFill="1" applyBorder="1" applyAlignment="1">
      <alignment horizontal="center" vertical="center"/>
    </xf>
    <xf numFmtId="44" fontId="2" fillId="3" borderId="22" xfId="0" applyNumberFormat="1" applyFont="1" applyFill="1" applyBorder="1" applyAlignment="1">
      <alignment horizontal="center" vertical="center"/>
    </xf>
    <xf numFmtId="164" fontId="2" fillId="3" borderId="19" xfId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0" fillId="3" borderId="23" xfId="0" applyNumberFormat="1" applyFont="1" applyFill="1" applyBorder="1" applyAlignment="1">
      <alignment horizontal="center" vertical="center" wrapText="1"/>
    </xf>
    <xf numFmtId="14" fontId="0" fillId="3" borderId="27" xfId="0" applyNumberFormat="1" applyFont="1" applyFill="1" applyBorder="1" applyAlignment="1">
      <alignment horizontal="center" vertical="center" wrapText="1"/>
    </xf>
    <xf numFmtId="14" fontId="0" fillId="3" borderId="29" xfId="0" applyNumberFormat="1" applyFont="1" applyFill="1" applyBorder="1" applyAlignment="1">
      <alignment horizontal="center" vertical="center" wrapText="1"/>
    </xf>
    <xf numFmtId="14" fontId="0" fillId="3" borderId="19" xfId="0" applyNumberFormat="1" applyFont="1" applyFill="1" applyBorder="1" applyAlignment="1">
      <alignment horizontal="center" vertical="center"/>
    </xf>
    <xf numFmtId="14" fontId="0" fillId="3" borderId="38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3" borderId="20" xfId="0" applyNumberFormat="1" applyFont="1" applyFill="1" applyBorder="1" applyAlignment="1">
      <alignment horizontal="center" vertical="center"/>
    </xf>
    <xf numFmtId="14" fontId="0" fillId="3" borderId="23" xfId="0" applyNumberFormat="1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 vertical="center"/>
    </xf>
    <xf numFmtId="44" fontId="2" fillId="3" borderId="34" xfId="0" applyNumberFormat="1" applyFont="1" applyFill="1" applyBorder="1" applyAlignment="1">
      <alignment horizontal="center" vertical="center" wrapText="1"/>
    </xf>
    <xf numFmtId="44" fontId="2" fillId="3" borderId="38" xfId="0" applyNumberFormat="1" applyFont="1" applyFill="1" applyBorder="1" applyAlignment="1">
      <alignment horizontal="center" vertical="center" wrapText="1"/>
    </xf>
    <xf numFmtId="14" fontId="7" fillId="3" borderId="19" xfId="0" applyNumberFormat="1" applyFont="1" applyFill="1" applyBorder="1" applyAlignment="1">
      <alignment horizontal="center" vertical="center"/>
    </xf>
    <xf numFmtId="14" fontId="7" fillId="3" borderId="38" xfId="0" applyNumberFormat="1" applyFont="1" applyFill="1" applyBorder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" fillId="3" borderId="19" xfId="1" applyFont="1" applyFill="1" applyBorder="1" applyAlignment="1">
      <alignment horizontal="center" vertical="center"/>
    </xf>
    <xf numFmtId="164" fontId="2" fillId="3" borderId="19" xfId="1" applyFont="1" applyFill="1" applyBorder="1" applyAlignment="1">
      <alignment horizontal="center" vertical="center" wrapText="1"/>
    </xf>
    <xf numFmtId="44" fontId="2" fillId="3" borderId="35" xfId="0" applyNumberFormat="1" applyFont="1" applyFill="1" applyBorder="1" applyAlignment="1">
      <alignment horizontal="center" vertical="center"/>
    </xf>
    <xf numFmtId="44" fontId="2" fillId="3" borderId="36" xfId="0" applyNumberFormat="1" applyFont="1" applyFill="1" applyBorder="1" applyAlignment="1">
      <alignment horizontal="center" vertical="center"/>
    </xf>
    <xf numFmtId="44" fontId="2" fillId="3" borderId="37" xfId="0" applyNumberFormat="1" applyFont="1" applyFill="1" applyBorder="1" applyAlignment="1">
      <alignment horizontal="center" vertical="center"/>
    </xf>
    <xf numFmtId="44" fontId="2" fillId="3" borderId="35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center" vertical="center"/>
    </xf>
    <xf numFmtId="44" fontId="2" fillId="3" borderId="26" xfId="0" applyNumberFormat="1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164" fontId="2" fillId="3" borderId="32" xfId="0" applyNumberFormat="1" applyFont="1" applyFill="1" applyBorder="1" applyAlignment="1">
      <alignment horizontal="center" vertical="center"/>
    </xf>
    <xf numFmtId="14" fontId="0" fillId="5" borderId="33" xfId="0" applyNumberFormat="1" applyFont="1" applyFill="1" applyBorder="1" applyAlignment="1">
      <alignment horizontal="center" vertical="center"/>
    </xf>
    <xf numFmtId="14" fontId="0" fillId="5" borderId="24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14" fontId="0" fillId="3" borderId="23" xfId="0" applyNumberFormat="1" applyFont="1" applyFill="1" applyBorder="1" applyAlignment="1">
      <alignment horizontal="center" vertical="center"/>
    </xf>
    <xf numFmtId="14" fontId="0" fillId="3" borderId="29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6" fontId="0" fillId="3" borderId="23" xfId="0" applyNumberFormat="1" applyFont="1" applyFill="1" applyBorder="1" applyAlignment="1">
      <alignment horizontal="center" vertical="center"/>
    </xf>
    <xf numFmtId="16" fontId="0" fillId="3" borderId="27" xfId="0" applyNumberFormat="1" applyFont="1" applyFill="1" applyBorder="1" applyAlignment="1">
      <alignment horizontal="center" vertical="center"/>
    </xf>
    <xf numFmtId="16" fontId="0" fillId="3" borderId="29" xfId="0" applyNumberFormat="1" applyFont="1" applyFill="1" applyBorder="1" applyAlignment="1">
      <alignment horizontal="center" vertical="center"/>
    </xf>
    <xf numFmtId="14" fontId="0" fillId="3" borderId="27" xfId="0" applyNumberFormat="1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44" fontId="2" fillId="3" borderId="26" xfId="0" applyNumberFormat="1" applyFont="1" applyFill="1" applyBorder="1" applyAlignment="1">
      <alignment horizontal="center" vertical="center" wrapText="1"/>
    </xf>
    <xf numFmtId="164" fontId="2" fillId="3" borderId="35" xfId="0" applyNumberFormat="1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center" vertical="center" wrapText="1"/>
    </xf>
    <xf numFmtId="44" fontId="2" fillId="4" borderId="35" xfId="0" applyNumberFormat="1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44" fontId="2" fillId="4" borderId="35" xfId="0" applyNumberFormat="1" applyFont="1" applyFill="1" applyBorder="1" applyAlignment="1">
      <alignment horizontal="center" vertical="center" wrapText="1"/>
    </xf>
    <xf numFmtId="14" fontId="2" fillId="5" borderId="33" xfId="0" applyNumberFormat="1" applyFont="1" applyFill="1" applyBorder="1" applyAlignment="1">
      <alignment horizontal="center" vertical="center"/>
    </xf>
    <xf numFmtId="14" fontId="2" fillId="5" borderId="24" xfId="0" applyNumberFormat="1" applyFont="1" applyFill="1" applyBorder="1" applyAlignment="1">
      <alignment horizontal="center" vertical="center"/>
    </xf>
    <xf numFmtId="44" fontId="2" fillId="4" borderId="36" xfId="0" applyNumberFormat="1" applyFont="1" applyFill="1" applyBorder="1" applyAlignment="1">
      <alignment horizontal="center" vertical="center"/>
    </xf>
    <xf numFmtId="44" fontId="2" fillId="4" borderId="37" xfId="0" applyNumberFormat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14" fontId="0" fillId="3" borderId="23" xfId="0" applyNumberFormat="1" applyFont="1" applyFill="1" applyBorder="1" applyAlignment="1">
      <alignment horizontal="center" vertical="center" wrapText="1"/>
    </xf>
    <xf numFmtId="14" fontId="0" fillId="3" borderId="27" xfId="0" applyNumberFormat="1" applyFont="1" applyFill="1" applyBorder="1" applyAlignment="1">
      <alignment horizontal="center" vertical="center" wrapText="1"/>
    </xf>
    <xf numFmtId="14" fontId="0" fillId="3" borderId="29" xfId="0" applyNumberFormat="1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14" fontId="0" fillId="4" borderId="23" xfId="0" applyNumberFormat="1" applyFont="1" applyFill="1" applyBorder="1" applyAlignment="1">
      <alignment horizontal="center" vertical="center"/>
    </xf>
    <xf numFmtId="14" fontId="0" fillId="4" borderId="27" xfId="0" applyNumberFormat="1" applyFont="1" applyFill="1" applyBorder="1" applyAlignment="1">
      <alignment horizontal="center" vertical="center"/>
    </xf>
    <xf numFmtId="14" fontId="0" fillId="4" borderId="29" xfId="0" applyNumberFormat="1" applyFont="1" applyFill="1" applyBorder="1" applyAlignment="1">
      <alignment horizontal="center" vertical="center"/>
    </xf>
    <xf numFmtId="14" fontId="0" fillId="3" borderId="23" xfId="0" applyNumberFormat="1" applyFill="1" applyBorder="1" applyAlignment="1">
      <alignment horizontal="center" vertical="center"/>
    </xf>
    <xf numFmtId="14" fontId="0" fillId="3" borderId="27" xfId="0" applyNumberFormat="1" applyFill="1" applyBorder="1" applyAlignment="1">
      <alignment horizontal="center" vertical="center"/>
    </xf>
    <xf numFmtId="14" fontId="0" fillId="3" borderId="29" xfId="0" applyNumberFormat="1" applyFill="1" applyBorder="1" applyAlignment="1">
      <alignment horizontal="center" vertical="center"/>
    </xf>
    <xf numFmtId="14" fontId="0" fillId="3" borderId="23" xfId="0" applyNumberFormat="1" applyFill="1" applyBorder="1" applyAlignment="1">
      <alignment horizontal="center" vertical="center" wrapText="1"/>
    </xf>
    <xf numFmtId="14" fontId="0" fillId="3" borderId="27" xfId="0" applyNumberFormat="1" applyFill="1" applyBorder="1" applyAlignment="1">
      <alignment horizontal="center" vertical="center" wrapText="1"/>
    </xf>
    <xf numFmtId="14" fontId="0" fillId="5" borderId="6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0" fillId="3" borderId="29" xfId="0" applyNumberForma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4" fontId="0" fillId="3" borderId="19" xfId="0" applyNumberFormat="1" applyFill="1" applyBorder="1" applyAlignment="1">
      <alignment horizontal="center" vertical="center"/>
    </xf>
    <xf numFmtId="44" fontId="0" fillId="3" borderId="35" xfId="0" applyNumberFormat="1" applyFill="1" applyBorder="1" applyAlignment="1">
      <alignment horizontal="center" vertical="center"/>
    </xf>
    <xf numFmtId="44" fontId="0" fillId="3" borderId="36" xfId="0" applyNumberFormat="1" applyFill="1" applyBorder="1" applyAlignment="1">
      <alignment horizontal="center" vertical="center"/>
    </xf>
    <xf numFmtId="44" fontId="0" fillId="3" borderId="37" xfId="0" applyNumberFormat="1" applyFill="1" applyBorder="1" applyAlignment="1">
      <alignment horizontal="center" vertical="center"/>
    </xf>
    <xf numFmtId="44" fontId="0" fillId="3" borderId="26" xfId="0" applyNumberFormat="1" applyFill="1" applyBorder="1" applyAlignment="1">
      <alignment horizontal="center" vertical="center"/>
    </xf>
    <xf numFmtId="44" fontId="0" fillId="3" borderId="32" xfId="0" applyNumberForma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14" fontId="0" fillId="3" borderId="17" xfId="0" applyNumberFormat="1" applyFill="1" applyBorder="1" applyAlignment="1">
      <alignment horizontal="center" vertical="center"/>
    </xf>
    <xf numFmtId="14" fontId="2" fillId="4" borderId="20" xfId="0" applyNumberFormat="1" applyFont="1" applyFill="1" applyBorder="1" applyAlignment="1">
      <alignment horizontal="center" vertical="center"/>
    </xf>
    <xf numFmtId="14" fontId="2" fillId="4" borderId="21" xfId="0" applyNumberFormat="1" applyFont="1" applyFill="1" applyBorder="1" applyAlignment="1">
      <alignment horizontal="center" vertical="center"/>
    </xf>
    <xf numFmtId="14" fontId="2" fillId="4" borderId="22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13" sqref="C13"/>
    </sheetView>
  </sheetViews>
  <sheetFormatPr baseColWidth="10" defaultRowHeight="15.75" x14ac:dyDescent="0.25"/>
  <cols>
    <col min="2" max="4" width="29.5" customWidth="1"/>
    <col min="5" max="5" width="17.25" customWidth="1"/>
  </cols>
  <sheetData>
    <row r="1" spans="1:5" x14ac:dyDescent="0.25">
      <c r="A1" t="s">
        <v>1</v>
      </c>
      <c r="B1" t="s">
        <v>0</v>
      </c>
      <c r="C1" t="s">
        <v>7</v>
      </c>
      <c r="D1" t="s">
        <v>6</v>
      </c>
      <c r="E1" t="s">
        <v>2</v>
      </c>
    </row>
    <row r="2" spans="1:5" x14ac:dyDescent="0.25">
      <c r="A2" t="s">
        <v>4</v>
      </c>
      <c r="B2" t="s">
        <v>5</v>
      </c>
      <c r="C2" t="s">
        <v>8</v>
      </c>
      <c r="D2" t="s">
        <v>9</v>
      </c>
      <c r="E2">
        <v>19</v>
      </c>
    </row>
    <row r="3" spans="1:5" x14ac:dyDescent="0.25">
      <c r="D3" t="s">
        <v>10</v>
      </c>
      <c r="E3">
        <v>10</v>
      </c>
    </row>
    <row r="4" spans="1:5" x14ac:dyDescent="0.25">
      <c r="D4" t="s">
        <v>12</v>
      </c>
      <c r="E4">
        <v>12</v>
      </c>
    </row>
    <row r="5" spans="1:5" x14ac:dyDescent="0.25">
      <c r="A5" s="218" t="s">
        <v>11</v>
      </c>
      <c r="B5" s="218"/>
      <c r="C5" s="218"/>
      <c r="D5" s="218"/>
      <c r="E5" s="218"/>
    </row>
  </sheetData>
  <mergeCells count="1"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A1:T275"/>
  <sheetViews>
    <sheetView tabSelected="1" zoomScale="60" zoomScaleNormal="60" workbookViewId="0">
      <pane ySplit="1" topLeftCell="A2" activePane="bottomLeft" state="frozen"/>
      <selection pane="bottomLeft" activeCell="F32" sqref="F32"/>
    </sheetView>
  </sheetViews>
  <sheetFormatPr baseColWidth="10" defaultColWidth="10.75" defaultRowHeight="15.75" x14ac:dyDescent="0.25"/>
  <cols>
    <col min="1" max="1" width="10.75" style="50"/>
    <col min="2" max="2" width="29.25" style="50" customWidth="1"/>
    <col min="3" max="4" width="23.25" style="46" customWidth="1"/>
    <col min="5" max="5" width="41.25" style="39" customWidth="1"/>
    <col min="6" max="6" width="23.25" style="39" customWidth="1"/>
    <col min="7" max="7" width="23.25" style="69" customWidth="1"/>
    <col min="8" max="8" width="15.75" style="69" customWidth="1"/>
    <col min="9" max="9" width="10.75" style="39"/>
    <col min="10" max="10" width="14.875" style="39" customWidth="1"/>
    <col min="11" max="11" width="15.875" style="201" customWidth="1"/>
    <col min="12" max="12" width="15.625" style="39" bestFit="1" customWidth="1"/>
    <col min="13" max="13" width="24.375" style="39" customWidth="1"/>
    <col min="14" max="16384" width="10.75" style="39"/>
  </cols>
  <sheetData>
    <row r="1" spans="1:13" s="70" customFormat="1" ht="16.5" thickBot="1" x14ac:dyDescent="0.3">
      <c r="A1" s="30" t="s">
        <v>1</v>
      </c>
      <c r="B1" s="30" t="s">
        <v>14</v>
      </c>
      <c r="C1" s="1" t="s">
        <v>16</v>
      </c>
      <c r="D1" s="1" t="s">
        <v>17</v>
      </c>
      <c r="E1" s="1" t="s">
        <v>0</v>
      </c>
      <c r="F1" s="1" t="s">
        <v>3</v>
      </c>
      <c r="G1" s="2" t="s">
        <v>18</v>
      </c>
      <c r="H1" s="2" t="s">
        <v>2</v>
      </c>
      <c r="I1" s="1" t="s">
        <v>137</v>
      </c>
      <c r="J1" s="1" t="s">
        <v>490</v>
      </c>
      <c r="K1" s="30" t="s">
        <v>493</v>
      </c>
      <c r="L1" s="143" t="s">
        <v>494</v>
      </c>
      <c r="M1" s="143" t="s">
        <v>495</v>
      </c>
    </row>
    <row r="2" spans="1:13" x14ac:dyDescent="0.25">
      <c r="A2" s="276">
        <v>45910</v>
      </c>
      <c r="B2" s="268" t="s">
        <v>155</v>
      </c>
      <c r="C2" s="71">
        <v>1</v>
      </c>
      <c r="D2" s="71">
        <v>1</v>
      </c>
      <c r="E2" s="72" t="s">
        <v>169</v>
      </c>
      <c r="F2" s="71"/>
      <c r="G2" s="73">
        <v>4.78</v>
      </c>
      <c r="H2" s="74">
        <f>C2*G2</f>
        <v>4.78</v>
      </c>
      <c r="I2" s="75">
        <f>H2*0.15</f>
        <v>0.71699999999999997</v>
      </c>
      <c r="J2" s="75">
        <f>H2+I2</f>
        <v>5.4969999999999999</v>
      </c>
      <c r="K2" s="254">
        <f>SUM(J2:J38)</f>
        <v>189.38200000000001</v>
      </c>
      <c r="L2" s="254" t="s">
        <v>518</v>
      </c>
      <c r="M2" s="254"/>
    </row>
    <row r="3" spans="1:13" ht="13.9" customHeight="1" x14ac:dyDescent="0.25">
      <c r="A3" s="277"/>
      <c r="B3" s="269"/>
      <c r="C3" s="76">
        <v>1</v>
      </c>
      <c r="D3" s="76">
        <v>1</v>
      </c>
      <c r="E3" s="77" t="s">
        <v>170</v>
      </c>
      <c r="F3" s="76"/>
      <c r="G3" s="78">
        <v>1.74</v>
      </c>
      <c r="H3" s="79">
        <f t="shared" ref="H3:H37" si="0">C3*G3</f>
        <v>1.74</v>
      </c>
      <c r="I3" s="80">
        <f t="shared" ref="I3:I66" si="1">H3*0.15</f>
        <v>0.26100000000000001</v>
      </c>
      <c r="J3" s="80">
        <f t="shared" ref="J3:J66" si="2">H3+I3</f>
        <v>2.0009999999999999</v>
      </c>
      <c r="K3" s="260"/>
      <c r="L3" s="260"/>
      <c r="M3" s="260"/>
    </row>
    <row r="4" spans="1:13" x14ac:dyDescent="0.25">
      <c r="A4" s="277"/>
      <c r="B4" s="269"/>
      <c r="C4" s="76">
        <v>1</v>
      </c>
      <c r="D4" s="76">
        <v>1</v>
      </c>
      <c r="E4" s="77" t="s">
        <v>171</v>
      </c>
      <c r="F4" s="76"/>
      <c r="G4" s="78">
        <v>2.61</v>
      </c>
      <c r="H4" s="79">
        <f t="shared" si="0"/>
        <v>2.61</v>
      </c>
      <c r="I4" s="80">
        <f t="shared" si="1"/>
        <v>0.39149999999999996</v>
      </c>
      <c r="J4" s="80">
        <f t="shared" si="2"/>
        <v>3.0015000000000001</v>
      </c>
      <c r="K4" s="260"/>
      <c r="L4" s="260"/>
      <c r="M4" s="260"/>
    </row>
    <row r="5" spans="1:13" x14ac:dyDescent="0.25">
      <c r="A5" s="277"/>
      <c r="B5" s="269"/>
      <c r="C5" s="76">
        <v>2</v>
      </c>
      <c r="D5" s="76">
        <v>2</v>
      </c>
      <c r="E5" s="77" t="s">
        <v>202</v>
      </c>
      <c r="F5" s="76"/>
      <c r="G5" s="78">
        <v>3.7</v>
      </c>
      <c r="H5" s="79">
        <f t="shared" si="0"/>
        <v>7.4</v>
      </c>
      <c r="I5" s="80">
        <f t="shared" si="1"/>
        <v>1.1100000000000001</v>
      </c>
      <c r="J5" s="80">
        <f t="shared" si="2"/>
        <v>8.51</v>
      </c>
      <c r="K5" s="260"/>
      <c r="L5" s="260"/>
      <c r="M5" s="260"/>
    </row>
    <row r="6" spans="1:13" x14ac:dyDescent="0.25">
      <c r="A6" s="277"/>
      <c r="B6" s="269"/>
      <c r="C6" s="76">
        <v>1</v>
      </c>
      <c r="D6" s="76">
        <v>1</v>
      </c>
      <c r="E6" s="77" t="s">
        <v>172</v>
      </c>
      <c r="F6" s="76"/>
      <c r="G6" s="78">
        <v>4.7</v>
      </c>
      <c r="H6" s="79">
        <f t="shared" si="0"/>
        <v>4.7</v>
      </c>
      <c r="I6" s="80">
        <f t="shared" si="1"/>
        <v>0.70499999999999996</v>
      </c>
      <c r="J6" s="80">
        <f t="shared" si="2"/>
        <v>5.4050000000000002</v>
      </c>
      <c r="K6" s="260"/>
      <c r="L6" s="260"/>
      <c r="M6" s="260"/>
    </row>
    <row r="7" spans="1:13" x14ac:dyDescent="0.25">
      <c r="A7" s="277"/>
      <c r="B7" s="269"/>
      <c r="C7" s="76">
        <v>1</v>
      </c>
      <c r="D7" s="76">
        <v>1</v>
      </c>
      <c r="E7" s="77" t="s">
        <v>46</v>
      </c>
      <c r="F7" s="76"/>
      <c r="G7" s="78">
        <v>1.74</v>
      </c>
      <c r="H7" s="79">
        <f t="shared" si="0"/>
        <v>1.74</v>
      </c>
      <c r="I7" s="80">
        <f t="shared" si="1"/>
        <v>0.26100000000000001</v>
      </c>
      <c r="J7" s="80">
        <f t="shared" si="2"/>
        <v>2.0009999999999999</v>
      </c>
      <c r="K7" s="260"/>
      <c r="L7" s="260"/>
      <c r="M7" s="260"/>
    </row>
    <row r="8" spans="1:13" x14ac:dyDescent="0.25">
      <c r="A8" s="277"/>
      <c r="B8" s="269"/>
      <c r="C8" s="76">
        <v>1</v>
      </c>
      <c r="D8" s="76">
        <v>1</v>
      </c>
      <c r="E8" s="77" t="s">
        <v>173</v>
      </c>
      <c r="F8" s="76"/>
      <c r="G8" s="78">
        <v>4.22</v>
      </c>
      <c r="H8" s="79">
        <f t="shared" si="0"/>
        <v>4.22</v>
      </c>
      <c r="I8" s="80">
        <f t="shared" si="1"/>
        <v>0.6329999999999999</v>
      </c>
      <c r="J8" s="80">
        <f t="shared" si="2"/>
        <v>4.8529999999999998</v>
      </c>
      <c r="K8" s="260"/>
      <c r="L8" s="260"/>
      <c r="M8" s="260"/>
    </row>
    <row r="9" spans="1:13" x14ac:dyDescent="0.25">
      <c r="A9" s="277"/>
      <c r="B9" s="269"/>
      <c r="C9" s="76">
        <v>3</v>
      </c>
      <c r="D9" s="76">
        <v>3</v>
      </c>
      <c r="E9" s="77" t="s">
        <v>174</v>
      </c>
      <c r="F9" s="76"/>
      <c r="G9" s="78">
        <v>0.7</v>
      </c>
      <c r="H9" s="79">
        <f t="shared" si="0"/>
        <v>2.0999999999999996</v>
      </c>
      <c r="I9" s="80">
        <f t="shared" si="1"/>
        <v>0.31499999999999995</v>
      </c>
      <c r="J9" s="80">
        <f t="shared" si="2"/>
        <v>2.4149999999999996</v>
      </c>
      <c r="K9" s="260"/>
      <c r="L9" s="260"/>
      <c r="M9" s="260"/>
    </row>
    <row r="10" spans="1:13" x14ac:dyDescent="0.25">
      <c r="A10" s="277"/>
      <c r="B10" s="269"/>
      <c r="C10" s="76">
        <v>1</v>
      </c>
      <c r="D10" s="76">
        <v>1</v>
      </c>
      <c r="E10" s="77" t="s">
        <v>175</v>
      </c>
      <c r="F10" s="76"/>
      <c r="G10" s="78">
        <v>3.17</v>
      </c>
      <c r="H10" s="79">
        <f t="shared" si="0"/>
        <v>3.17</v>
      </c>
      <c r="I10" s="80">
        <f t="shared" si="1"/>
        <v>0.47549999999999998</v>
      </c>
      <c r="J10" s="80">
        <f t="shared" si="2"/>
        <v>3.6454999999999997</v>
      </c>
      <c r="K10" s="260"/>
      <c r="L10" s="260"/>
      <c r="M10" s="260"/>
    </row>
    <row r="11" spans="1:13" x14ac:dyDescent="0.25">
      <c r="A11" s="277"/>
      <c r="B11" s="269"/>
      <c r="C11" s="76">
        <v>1</v>
      </c>
      <c r="D11" s="76">
        <v>1</v>
      </c>
      <c r="E11" s="77" t="s">
        <v>176</v>
      </c>
      <c r="F11" s="76"/>
      <c r="G11" s="78">
        <v>3</v>
      </c>
      <c r="H11" s="79">
        <f t="shared" si="0"/>
        <v>3</v>
      </c>
      <c r="I11" s="80">
        <f t="shared" si="1"/>
        <v>0.44999999999999996</v>
      </c>
      <c r="J11" s="80">
        <f t="shared" si="2"/>
        <v>3.45</v>
      </c>
      <c r="K11" s="260"/>
      <c r="L11" s="260"/>
      <c r="M11" s="260"/>
    </row>
    <row r="12" spans="1:13" x14ac:dyDescent="0.25">
      <c r="A12" s="277"/>
      <c r="B12" s="269"/>
      <c r="C12" s="76">
        <v>1</v>
      </c>
      <c r="D12" s="76">
        <v>1</v>
      </c>
      <c r="E12" s="77" t="s">
        <v>177</v>
      </c>
      <c r="F12" s="76"/>
      <c r="G12" s="78">
        <v>2.35</v>
      </c>
      <c r="H12" s="79">
        <f t="shared" si="0"/>
        <v>2.35</v>
      </c>
      <c r="I12" s="80">
        <f t="shared" si="1"/>
        <v>0.35249999999999998</v>
      </c>
      <c r="J12" s="80">
        <f t="shared" si="2"/>
        <v>2.7025000000000001</v>
      </c>
      <c r="K12" s="260"/>
      <c r="L12" s="260"/>
      <c r="M12" s="260"/>
    </row>
    <row r="13" spans="1:13" x14ac:dyDescent="0.25">
      <c r="A13" s="277"/>
      <c r="B13" s="269"/>
      <c r="C13" s="76">
        <v>1</v>
      </c>
      <c r="D13" s="76">
        <v>1</v>
      </c>
      <c r="E13" s="77" t="s">
        <v>178</v>
      </c>
      <c r="F13" s="76"/>
      <c r="G13" s="78">
        <v>0.65</v>
      </c>
      <c r="H13" s="79">
        <f t="shared" si="0"/>
        <v>0.65</v>
      </c>
      <c r="I13" s="80">
        <f t="shared" si="1"/>
        <v>9.7500000000000003E-2</v>
      </c>
      <c r="J13" s="80">
        <f t="shared" si="2"/>
        <v>0.74750000000000005</v>
      </c>
      <c r="K13" s="260"/>
      <c r="L13" s="260"/>
      <c r="M13" s="260"/>
    </row>
    <row r="14" spans="1:13" x14ac:dyDescent="0.25">
      <c r="A14" s="277"/>
      <c r="B14" s="269"/>
      <c r="C14" s="76">
        <v>1</v>
      </c>
      <c r="D14" s="76">
        <v>1</v>
      </c>
      <c r="E14" s="77" t="s">
        <v>179</v>
      </c>
      <c r="F14" s="76"/>
      <c r="G14" s="78">
        <v>3.83</v>
      </c>
      <c r="H14" s="79">
        <f t="shared" si="0"/>
        <v>3.83</v>
      </c>
      <c r="I14" s="80">
        <f t="shared" si="1"/>
        <v>0.57450000000000001</v>
      </c>
      <c r="J14" s="80">
        <f t="shared" si="2"/>
        <v>4.4045000000000005</v>
      </c>
      <c r="K14" s="260"/>
      <c r="L14" s="260"/>
      <c r="M14" s="260"/>
    </row>
    <row r="15" spans="1:13" x14ac:dyDescent="0.25">
      <c r="A15" s="277"/>
      <c r="B15" s="269"/>
      <c r="C15" s="76">
        <v>1</v>
      </c>
      <c r="D15" s="76">
        <v>1</v>
      </c>
      <c r="E15" s="77" t="s">
        <v>180</v>
      </c>
      <c r="F15" s="76"/>
      <c r="G15" s="78">
        <v>2.61</v>
      </c>
      <c r="H15" s="79">
        <f t="shared" si="0"/>
        <v>2.61</v>
      </c>
      <c r="I15" s="80">
        <f t="shared" si="1"/>
        <v>0.39149999999999996</v>
      </c>
      <c r="J15" s="80">
        <f t="shared" si="2"/>
        <v>3.0015000000000001</v>
      </c>
      <c r="K15" s="260"/>
      <c r="L15" s="260"/>
      <c r="M15" s="260"/>
    </row>
    <row r="16" spans="1:13" x14ac:dyDescent="0.25">
      <c r="A16" s="277"/>
      <c r="B16" s="269"/>
      <c r="C16" s="76">
        <v>2</v>
      </c>
      <c r="D16" s="76">
        <v>2</v>
      </c>
      <c r="E16" s="77" t="s">
        <v>181</v>
      </c>
      <c r="F16" s="76"/>
      <c r="G16" s="78">
        <v>3.22</v>
      </c>
      <c r="H16" s="79">
        <f t="shared" si="0"/>
        <v>6.44</v>
      </c>
      <c r="I16" s="80">
        <f t="shared" si="1"/>
        <v>0.96599999999999997</v>
      </c>
      <c r="J16" s="80">
        <f t="shared" si="2"/>
        <v>7.4060000000000006</v>
      </c>
      <c r="K16" s="260"/>
      <c r="L16" s="260"/>
      <c r="M16" s="260"/>
    </row>
    <row r="17" spans="1:13" x14ac:dyDescent="0.25">
      <c r="A17" s="277"/>
      <c r="B17" s="269"/>
      <c r="C17" s="76">
        <v>2</v>
      </c>
      <c r="D17" s="76">
        <v>2</v>
      </c>
      <c r="E17" s="77" t="s">
        <v>182</v>
      </c>
      <c r="F17" s="76"/>
      <c r="G17" s="78">
        <v>1.96</v>
      </c>
      <c r="H17" s="79">
        <f t="shared" si="0"/>
        <v>3.92</v>
      </c>
      <c r="I17" s="80">
        <f t="shared" si="1"/>
        <v>0.58799999999999997</v>
      </c>
      <c r="J17" s="80">
        <f t="shared" si="2"/>
        <v>4.508</v>
      </c>
      <c r="K17" s="260"/>
      <c r="L17" s="260"/>
      <c r="M17" s="260"/>
    </row>
    <row r="18" spans="1:13" x14ac:dyDescent="0.25">
      <c r="A18" s="277"/>
      <c r="B18" s="269"/>
      <c r="C18" s="76">
        <v>6</v>
      </c>
      <c r="D18" s="76">
        <v>6</v>
      </c>
      <c r="E18" s="77" t="s">
        <v>183</v>
      </c>
      <c r="F18" s="76"/>
      <c r="G18" s="78">
        <v>1.22</v>
      </c>
      <c r="H18" s="79">
        <f t="shared" si="0"/>
        <v>7.32</v>
      </c>
      <c r="I18" s="80">
        <f t="shared" si="1"/>
        <v>1.0980000000000001</v>
      </c>
      <c r="J18" s="80">
        <f t="shared" si="2"/>
        <v>8.418000000000001</v>
      </c>
      <c r="K18" s="260"/>
      <c r="L18" s="260"/>
      <c r="M18" s="260"/>
    </row>
    <row r="19" spans="1:13" x14ac:dyDescent="0.25">
      <c r="A19" s="277"/>
      <c r="B19" s="269"/>
      <c r="C19" s="76">
        <v>1</v>
      </c>
      <c r="D19" s="76">
        <v>1</v>
      </c>
      <c r="E19" s="77" t="s">
        <v>184</v>
      </c>
      <c r="F19" s="76"/>
      <c r="G19" s="78">
        <v>1.52</v>
      </c>
      <c r="H19" s="79">
        <f t="shared" si="0"/>
        <v>1.52</v>
      </c>
      <c r="I19" s="80">
        <f t="shared" si="1"/>
        <v>0.22799999999999998</v>
      </c>
      <c r="J19" s="80">
        <f t="shared" si="2"/>
        <v>1.748</v>
      </c>
      <c r="K19" s="260"/>
      <c r="L19" s="260"/>
      <c r="M19" s="260"/>
    </row>
    <row r="20" spans="1:13" x14ac:dyDescent="0.25">
      <c r="A20" s="277"/>
      <c r="B20" s="269"/>
      <c r="C20" s="76">
        <v>1</v>
      </c>
      <c r="D20" s="76">
        <v>1</v>
      </c>
      <c r="E20" s="77" t="s">
        <v>185</v>
      </c>
      <c r="F20" s="76"/>
      <c r="G20" s="78">
        <v>7.83</v>
      </c>
      <c r="H20" s="79">
        <f t="shared" si="0"/>
        <v>7.83</v>
      </c>
      <c r="I20" s="80">
        <f t="shared" si="1"/>
        <v>1.1744999999999999</v>
      </c>
      <c r="J20" s="80">
        <f t="shared" si="2"/>
        <v>9.0045000000000002</v>
      </c>
      <c r="K20" s="260"/>
      <c r="L20" s="260"/>
      <c r="M20" s="260"/>
    </row>
    <row r="21" spans="1:13" x14ac:dyDescent="0.25">
      <c r="A21" s="277"/>
      <c r="B21" s="269"/>
      <c r="C21" s="76">
        <v>1</v>
      </c>
      <c r="D21" s="76">
        <v>1</v>
      </c>
      <c r="E21" s="77" t="s">
        <v>186</v>
      </c>
      <c r="F21" s="76"/>
      <c r="G21" s="78">
        <v>3.91</v>
      </c>
      <c r="H21" s="79">
        <f t="shared" si="0"/>
        <v>3.91</v>
      </c>
      <c r="I21" s="80">
        <f t="shared" si="1"/>
        <v>0.58650000000000002</v>
      </c>
      <c r="J21" s="80">
        <f t="shared" si="2"/>
        <v>4.4965000000000002</v>
      </c>
      <c r="K21" s="260"/>
      <c r="L21" s="260"/>
      <c r="M21" s="260"/>
    </row>
    <row r="22" spans="1:13" x14ac:dyDescent="0.25">
      <c r="A22" s="277"/>
      <c r="B22" s="269"/>
      <c r="C22" s="76">
        <v>1</v>
      </c>
      <c r="D22" s="76">
        <v>1</v>
      </c>
      <c r="E22" s="77" t="s">
        <v>187</v>
      </c>
      <c r="F22" s="76"/>
      <c r="G22" s="78">
        <v>5.22</v>
      </c>
      <c r="H22" s="79">
        <f t="shared" si="0"/>
        <v>5.22</v>
      </c>
      <c r="I22" s="80">
        <f t="shared" si="1"/>
        <v>0.78299999999999992</v>
      </c>
      <c r="J22" s="80">
        <f t="shared" si="2"/>
        <v>6.0030000000000001</v>
      </c>
      <c r="K22" s="260"/>
      <c r="L22" s="260"/>
      <c r="M22" s="260"/>
    </row>
    <row r="23" spans="1:13" x14ac:dyDescent="0.25">
      <c r="A23" s="277"/>
      <c r="B23" s="269"/>
      <c r="C23" s="76">
        <v>1</v>
      </c>
      <c r="D23" s="76">
        <v>1</v>
      </c>
      <c r="E23" s="77" t="s">
        <v>188</v>
      </c>
      <c r="F23" s="76"/>
      <c r="G23" s="78">
        <v>5.65</v>
      </c>
      <c r="H23" s="79">
        <f t="shared" si="0"/>
        <v>5.65</v>
      </c>
      <c r="I23" s="80">
        <f t="shared" si="1"/>
        <v>0.84750000000000003</v>
      </c>
      <c r="J23" s="80">
        <f t="shared" si="2"/>
        <v>6.4975000000000005</v>
      </c>
      <c r="K23" s="260"/>
      <c r="L23" s="260"/>
      <c r="M23" s="260"/>
    </row>
    <row r="24" spans="1:13" x14ac:dyDescent="0.25">
      <c r="A24" s="277"/>
      <c r="B24" s="269"/>
      <c r="C24" s="76">
        <v>1</v>
      </c>
      <c r="D24" s="76">
        <v>1</v>
      </c>
      <c r="E24" s="77" t="s">
        <v>189</v>
      </c>
      <c r="F24" s="76"/>
      <c r="G24" s="78">
        <v>3.91</v>
      </c>
      <c r="H24" s="79">
        <f t="shared" si="0"/>
        <v>3.91</v>
      </c>
      <c r="I24" s="80">
        <f t="shared" si="1"/>
        <v>0.58650000000000002</v>
      </c>
      <c r="J24" s="80">
        <f t="shared" si="2"/>
        <v>4.4965000000000002</v>
      </c>
      <c r="K24" s="260"/>
      <c r="L24" s="260"/>
      <c r="M24" s="260"/>
    </row>
    <row r="25" spans="1:13" x14ac:dyDescent="0.25">
      <c r="A25" s="277"/>
      <c r="B25" s="269"/>
      <c r="C25" s="76">
        <v>1</v>
      </c>
      <c r="D25" s="76">
        <v>1</v>
      </c>
      <c r="E25" s="77" t="s">
        <v>190</v>
      </c>
      <c r="F25" s="76"/>
      <c r="G25" s="78">
        <v>3.65</v>
      </c>
      <c r="H25" s="79">
        <f t="shared" si="0"/>
        <v>3.65</v>
      </c>
      <c r="I25" s="80">
        <f t="shared" si="1"/>
        <v>0.54749999999999999</v>
      </c>
      <c r="J25" s="80">
        <f t="shared" si="2"/>
        <v>4.1974999999999998</v>
      </c>
      <c r="K25" s="260"/>
      <c r="L25" s="260"/>
      <c r="M25" s="260"/>
    </row>
    <row r="26" spans="1:13" x14ac:dyDescent="0.25">
      <c r="A26" s="277"/>
      <c r="B26" s="269"/>
      <c r="C26" s="76">
        <v>2</v>
      </c>
      <c r="D26" s="76">
        <v>2</v>
      </c>
      <c r="E26" s="77" t="s">
        <v>191</v>
      </c>
      <c r="F26" s="76"/>
      <c r="G26" s="78">
        <v>2.35</v>
      </c>
      <c r="H26" s="79">
        <f t="shared" si="0"/>
        <v>4.7</v>
      </c>
      <c r="I26" s="80">
        <f t="shared" si="1"/>
        <v>0.70499999999999996</v>
      </c>
      <c r="J26" s="80">
        <f t="shared" si="2"/>
        <v>5.4050000000000002</v>
      </c>
      <c r="K26" s="260"/>
      <c r="L26" s="260"/>
      <c r="M26" s="260"/>
    </row>
    <row r="27" spans="1:13" x14ac:dyDescent="0.25">
      <c r="A27" s="277"/>
      <c r="B27" s="269"/>
      <c r="C27" s="76">
        <v>2</v>
      </c>
      <c r="D27" s="76">
        <v>2</v>
      </c>
      <c r="E27" s="77" t="s">
        <v>192</v>
      </c>
      <c r="F27" s="76"/>
      <c r="G27" s="78">
        <v>1.87</v>
      </c>
      <c r="H27" s="79">
        <f t="shared" si="0"/>
        <v>3.74</v>
      </c>
      <c r="I27" s="80">
        <f t="shared" si="1"/>
        <v>0.56100000000000005</v>
      </c>
      <c r="J27" s="80">
        <f t="shared" si="2"/>
        <v>4.3010000000000002</v>
      </c>
      <c r="K27" s="260"/>
      <c r="L27" s="260"/>
      <c r="M27" s="260"/>
    </row>
    <row r="28" spans="1:13" x14ac:dyDescent="0.25">
      <c r="A28" s="277"/>
      <c r="B28" s="269"/>
      <c r="C28" s="76">
        <v>1</v>
      </c>
      <c r="D28" s="76">
        <v>1</v>
      </c>
      <c r="E28" s="77" t="s">
        <v>193</v>
      </c>
      <c r="F28" s="76"/>
      <c r="G28" s="78">
        <v>2.2999999999999998</v>
      </c>
      <c r="H28" s="79">
        <f t="shared" si="0"/>
        <v>2.2999999999999998</v>
      </c>
      <c r="I28" s="80">
        <f t="shared" si="1"/>
        <v>0.34499999999999997</v>
      </c>
      <c r="J28" s="80">
        <f t="shared" si="2"/>
        <v>2.6449999999999996</v>
      </c>
      <c r="K28" s="260"/>
      <c r="L28" s="260"/>
      <c r="M28" s="260"/>
    </row>
    <row r="29" spans="1:13" x14ac:dyDescent="0.25">
      <c r="A29" s="277"/>
      <c r="B29" s="269"/>
      <c r="C29" s="76">
        <v>1</v>
      </c>
      <c r="D29" s="76">
        <v>1</v>
      </c>
      <c r="E29" s="77" t="s">
        <v>190</v>
      </c>
      <c r="F29" s="76"/>
      <c r="G29" s="78">
        <v>6.22</v>
      </c>
      <c r="H29" s="79">
        <f t="shared" si="0"/>
        <v>6.22</v>
      </c>
      <c r="I29" s="80">
        <f t="shared" si="1"/>
        <v>0.93299999999999994</v>
      </c>
      <c r="J29" s="80">
        <f t="shared" si="2"/>
        <v>7.1529999999999996</v>
      </c>
      <c r="K29" s="260"/>
      <c r="L29" s="260"/>
      <c r="M29" s="260"/>
    </row>
    <row r="30" spans="1:13" x14ac:dyDescent="0.25">
      <c r="A30" s="277"/>
      <c r="B30" s="269"/>
      <c r="C30" s="76">
        <v>1</v>
      </c>
      <c r="D30" s="76">
        <v>1</v>
      </c>
      <c r="E30" s="77" t="s">
        <v>194</v>
      </c>
      <c r="F30" s="76"/>
      <c r="G30" s="78">
        <v>3.57</v>
      </c>
      <c r="H30" s="79">
        <f t="shared" si="0"/>
        <v>3.57</v>
      </c>
      <c r="I30" s="80">
        <f t="shared" si="1"/>
        <v>0.53549999999999998</v>
      </c>
      <c r="J30" s="80">
        <f t="shared" si="2"/>
        <v>4.1055000000000001</v>
      </c>
      <c r="K30" s="260"/>
      <c r="L30" s="260"/>
      <c r="M30" s="260"/>
    </row>
    <row r="31" spans="1:13" x14ac:dyDescent="0.25">
      <c r="A31" s="277"/>
      <c r="B31" s="269"/>
      <c r="C31" s="76">
        <v>2</v>
      </c>
      <c r="D31" s="76">
        <v>2</v>
      </c>
      <c r="E31" s="77" t="s">
        <v>195</v>
      </c>
      <c r="F31" s="76"/>
      <c r="G31" s="78">
        <v>3.22</v>
      </c>
      <c r="H31" s="79">
        <f t="shared" si="0"/>
        <v>6.44</v>
      </c>
      <c r="I31" s="80">
        <f t="shared" si="1"/>
        <v>0.96599999999999997</v>
      </c>
      <c r="J31" s="80">
        <f t="shared" si="2"/>
        <v>7.4060000000000006</v>
      </c>
      <c r="K31" s="260"/>
      <c r="L31" s="260"/>
      <c r="M31" s="260"/>
    </row>
    <row r="32" spans="1:13" x14ac:dyDescent="0.25">
      <c r="A32" s="277"/>
      <c r="B32" s="269"/>
      <c r="C32" s="76">
        <v>4</v>
      </c>
      <c r="D32" s="76">
        <v>4</v>
      </c>
      <c r="E32" s="77" t="s">
        <v>196</v>
      </c>
      <c r="F32" s="76"/>
      <c r="G32" s="78">
        <v>2.48</v>
      </c>
      <c r="H32" s="79">
        <f t="shared" si="0"/>
        <v>9.92</v>
      </c>
      <c r="I32" s="80">
        <f t="shared" si="1"/>
        <v>1.488</v>
      </c>
      <c r="J32" s="80">
        <f t="shared" si="2"/>
        <v>11.407999999999999</v>
      </c>
      <c r="K32" s="260"/>
      <c r="L32" s="260"/>
      <c r="M32" s="260"/>
    </row>
    <row r="33" spans="1:13" x14ac:dyDescent="0.25">
      <c r="A33" s="277"/>
      <c r="B33" s="269"/>
      <c r="C33" s="76">
        <v>2</v>
      </c>
      <c r="D33" s="76">
        <v>2</v>
      </c>
      <c r="E33" s="77" t="s">
        <v>197</v>
      </c>
      <c r="F33" s="76"/>
      <c r="G33" s="78">
        <v>2.2200000000000002</v>
      </c>
      <c r="H33" s="79">
        <f t="shared" si="0"/>
        <v>4.4400000000000004</v>
      </c>
      <c r="I33" s="80">
        <f t="shared" si="1"/>
        <v>0.66600000000000004</v>
      </c>
      <c r="J33" s="80">
        <f t="shared" si="2"/>
        <v>5.1060000000000008</v>
      </c>
      <c r="K33" s="260"/>
      <c r="L33" s="260"/>
      <c r="M33" s="260"/>
    </row>
    <row r="34" spans="1:13" x14ac:dyDescent="0.25">
      <c r="A34" s="277"/>
      <c r="B34" s="269"/>
      <c r="C34" s="76">
        <v>3</v>
      </c>
      <c r="D34" s="76">
        <v>3</v>
      </c>
      <c r="E34" s="77" t="s">
        <v>198</v>
      </c>
      <c r="F34" s="76"/>
      <c r="G34" s="78">
        <v>3.65</v>
      </c>
      <c r="H34" s="79">
        <f t="shared" si="0"/>
        <v>10.95</v>
      </c>
      <c r="I34" s="80">
        <f t="shared" si="1"/>
        <v>1.6424999999999998</v>
      </c>
      <c r="J34" s="80">
        <f t="shared" si="2"/>
        <v>12.592499999999999</v>
      </c>
      <c r="K34" s="260"/>
      <c r="L34" s="260"/>
      <c r="M34" s="260"/>
    </row>
    <row r="35" spans="1:13" x14ac:dyDescent="0.25">
      <c r="A35" s="277"/>
      <c r="B35" s="269"/>
      <c r="C35" s="76">
        <v>1</v>
      </c>
      <c r="D35" s="76">
        <v>1</v>
      </c>
      <c r="E35" s="77" t="s">
        <v>190</v>
      </c>
      <c r="F35" s="76"/>
      <c r="G35" s="78">
        <v>1.17</v>
      </c>
      <c r="H35" s="79">
        <f t="shared" si="0"/>
        <v>1.17</v>
      </c>
      <c r="I35" s="80">
        <f t="shared" si="1"/>
        <v>0.17549999999999999</v>
      </c>
      <c r="J35" s="80">
        <f t="shared" si="2"/>
        <v>1.3454999999999999</v>
      </c>
      <c r="K35" s="260"/>
      <c r="L35" s="260"/>
      <c r="M35" s="260"/>
    </row>
    <row r="36" spans="1:13" x14ac:dyDescent="0.25">
      <c r="A36" s="277"/>
      <c r="B36" s="269"/>
      <c r="C36" s="76">
        <v>1</v>
      </c>
      <c r="D36" s="76">
        <v>1</v>
      </c>
      <c r="E36" s="77" t="s">
        <v>199</v>
      </c>
      <c r="F36" s="76"/>
      <c r="G36" s="78">
        <v>13.48</v>
      </c>
      <c r="H36" s="79">
        <f t="shared" si="0"/>
        <v>13.48</v>
      </c>
      <c r="I36" s="80">
        <f t="shared" si="1"/>
        <v>2.0219999999999998</v>
      </c>
      <c r="J36" s="80">
        <f t="shared" si="2"/>
        <v>15.502000000000001</v>
      </c>
      <c r="K36" s="260"/>
      <c r="L36" s="260"/>
      <c r="M36" s="260"/>
    </row>
    <row r="37" spans="1:13" x14ac:dyDescent="0.25">
      <c r="A37" s="277"/>
      <c r="B37" s="269"/>
      <c r="C37" s="76">
        <v>1</v>
      </c>
      <c r="D37" s="76">
        <v>1</v>
      </c>
      <c r="E37" s="77" t="s">
        <v>200</v>
      </c>
      <c r="F37" s="76"/>
      <c r="G37" s="78">
        <v>1.74</v>
      </c>
      <c r="H37" s="79">
        <f t="shared" si="0"/>
        <v>1.74</v>
      </c>
      <c r="I37" s="80">
        <f t="shared" si="1"/>
        <v>0.26100000000000001</v>
      </c>
      <c r="J37" s="80">
        <f t="shared" si="2"/>
        <v>2.0009999999999999</v>
      </c>
      <c r="K37" s="260"/>
      <c r="L37" s="260"/>
      <c r="M37" s="260"/>
    </row>
    <row r="38" spans="1:13" ht="16.5" thickBot="1" x14ac:dyDescent="0.3">
      <c r="A38" s="278"/>
      <c r="B38" s="270"/>
      <c r="C38" s="81">
        <v>1</v>
      </c>
      <c r="D38" s="81">
        <v>1</v>
      </c>
      <c r="E38" s="82" t="s">
        <v>201</v>
      </c>
      <c r="F38" s="81"/>
      <c r="G38" s="83">
        <v>1.74</v>
      </c>
      <c r="H38" s="84">
        <f>C38*G38</f>
        <v>1.74</v>
      </c>
      <c r="I38" s="85">
        <f t="shared" si="1"/>
        <v>0.26100000000000001</v>
      </c>
      <c r="J38" s="85">
        <f t="shared" si="2"/>
        <v>2.0009999999999999</v>
      </c>
      <c r="K38" s="261"/>
      <c r="L38" s="261"/>
      <c r="M38" s="261"/>
    </row>
    <row r="39" spans="1:13" x14ac:dyDescent="0.25">
      <c r="A39" s="239">
        <v>45991</v>
      </c>
      <c r="B39" s="262" t="s">
        <v>13</v>
      </c>
      <c r="C39" s="86">
        <v>3</v>
      </c>
      <c r="D39" s="86"/>
      <c r="E39" s="87" t="s">
        <v>15</v>
      </c>
      <c r="F39" s="88" t="s">
        <v>19</v>
      </c>
      <c r="G39" s="89">
        <v>4.4348000000000001</v>
      </c>
      <c r="H39" s="90">
        <f>G39*C39</f>
        <v>13.304400000000001</v>
      </c>
      <c r="I39" s="58">
        <f t="shared" si="1"/>
        <v>1.99566</v>
      </c>
      <c r="J39" s="58">
        <f t="shared" si="2"/>
        <v>15.300060000000002</v>
      </c>
      <c r="K39" s="221">
        <f>SUM(J39:J56)</f>
        <v>197.04985500000006</v>
      </c>
      <c r="L39" s="221">
        <v>210.1</v>
      </c>
      <c r="M39" s="224" t="s">
        <v>519</v>
      </c>
    </row>
    <row r="40" spans="1:13" x14ac:dyDescent="0.25">
      <c r="A40" s="271"/>
      <c r="B40" s="263"/>
      <c r="C40" s="48">
        <v>1</v>
      </c>
      <c r="D40" s="48"/>
      <c r="E40" s="54" t="s">
        <v>20</v>
      </c>
      <c r="F40" s="41" t="s">
        <v>19</v>
      </c>
      <c r="G40" s="7">
        <v>4.7826000000000004</v>
      </c>
      <c r="H40" s="65">
        <f t="shared" ref="H40:H133" si="3">G40*C40</f>
        <v>4.7826000000000004</v>
      </c>
      <c r="I40" s="59">
        <f t="shared" si="1"/>
        <v>0.71739000000000008</v>
      </c>
      <c r="J40" s="59">
        <f t="shared" si="2"/>
        <v>5.4999900000000004</v>
      </c>
      <c r="K40" s="230"/>
      <c r="L40" s="230"/>
      <c r="M40" s="230"/>
    </row>
    <row r="41" spans="1:13" x14ac:dyDescent="0.25">
      <c r="A41" s="271"/>
      <c r="B41" s="263"/>
      <c r="C41" s="48">
        <v>2</v>
      </c>
      <c r="D41" s="48">
        <v>2</v>
      </c>
      <c r="E41" s="54" t="s">
        <v>21</v>
      </c>
      <c r="F41" s="41" t="s">
        <v>36</v>
      </c>
      <c r="G41" s="7">
        <v>29.739100000000001</v>
      </c>
      <c r="H41" s="65">
        <f>G41*C41</f>
        <v>59.478200000000001</v>
      </c>
      <c r="I41" s="59">
        <f t="shared" si="1"/>
        <v>8.9217300000000002</v>
      </c>
      <c r="J41" s="59">
        <f t="shared" si="2"/>
        <v>68.399929999999998</v>
      </c>
      <c r="K41" s="230"/>
      <c r="L41" s="230"/>
      <c r="M41" s="230"/>
    </row>
    <row r="42" spans="1:13" x14ac:dyDescent="0.25">
      <c r="A42" s="271"/>
      <c r="B42" s="263"/>
      <c r="C42" s="48">
        <v>4</v>
      </c>
      <c r="D42" s="48">
        <v>4</v>
      </c>
      <c r="E42" s="54" t="s">
        <v>22</v>
      </c>
      <c r="F42" s="41" t="s">
        <v>35</v>
      </c>
      <c r="G42" s="7">
        <v>0.91300000000000003</v>
      </c>
      <c r="H42" s="65">
        <f t="shared" si="3"/>
        <v>3.6520000000000001</v>
      </c>
      <c r="I42" s="59">
        <f t="shared" si="1"/>
        <v>0.54779999999999995</v>
      </c>
      <c r="J42" s="59">
        <f t="shared" si="2"/>
        <v>4.1997999999999998</v>
      </c>
      <c r="K42" s="230"/>
      <c r="L42" s="230"/>
      <c r="M42" s="230"/>
    </row>
    <row r="43" spans="1:13" x14ac:dyDescent="0.25">
      <c r="A43" s="271"/>
      <c r="B43" s="263"/>
      <c r="C43" s="48">
        <v>4</v>
      </c>
      <c r="D43" s="48">
        <v>4</v>
      </c>
      <c r="E43" s="54" t="s">
        <v>22</v>
      </c>
      <c r="F43" s="41" t="s">
        <v>35</v>
      </c>
      <c r="G43" s="66">
        <v>0.60870000000000002</v>
      </c>
      <c r="H43" s="65">
        <f t="shared" si="3"/>
        <v>2.4348000000000001</v>
      </c>
      <c r="I43" s="59">
        <f t="shared" si="1"/>
        <v>0.36521999999999999</v>
      </c>
      <c r="J43" s="59">
        <f t="shared" si="2"/>
        <v>2.80002</v>
      </c>
      <c r="K43" s="230"/>
      <c r="L43" s="230"/>
      <c r="M43" s="230"/>
    </row>
    <row r="44" spans="1:13" x14ac:dyDescent="0.25">
      <c r="A44" s="271"/>
      <c r="B44" s="263"/>
      <c r="C44" s="48">
        <v>1</v>
      </c>
      <c r="D44" s="48">
        <v>1</v>
      </c>
      <c r="E44" s="54" t="s">
        <v>22</v>
      </c>
      <c r="F44" s="41" t="s">
        <v>35</v>
      </c>
      <c r="G44" s="66">
        <v>3.7391000000000001</v>
      </c>
      <c r="H44" s="65">
        <f t="shared" si="3"/>
        <v>3.7391000000000001</v>
      </c>
      <c r="I44" s="59">
        <f t="shared" si="1"/>
        <v>0.56086499999999995</v>
      </c>
      <c r="J44" s="59">
        <f t="shared" si="2"/>
        <v>4.2999650000000003</v>
      </c>
      <c r="K44" s="230"/>
      <c r="L44" s="230"/>
      <c r="M44" s="230"/>
    </row>
    <row r="45" spans="1:13" x14ac:dyDescent="0.25">
      <c r="A45" s="271"/>
      <c r="B45" s="263"/>
      <c r="C45" s="48">
        <v>3</v>
      </c>
      <c r="D45" s="48">
        <v>3</v>
      </c>
      <c r="E45" s="54" t="s">
        <v>23</v>
      </c>
      <c r="F45" s="41" t="s">
        <v>35</v>
      </c>
      <c r="G45" s="66">
        <v>7.7390999999999996</v>
      </c>
      <c r="H45" s="65">
        <f t="shared" si="3"/>
        <v>23.217299999999998</v>
      </c>
      <c r="I45" s="59">
        <f t="shared" si="1"/>
        <v>3.4825949999999994</v>
      </c>
      <c r="J45" s="59">
        <f t="shared" si="2"/>
        <v>26.699894999999998</v>
      </c>
      <c r="K45" s="230"/>
      <c r="L45" s="230"/>
      <c r="M45" s="230"/>
    </row>
    <row r="46" spans="1:13" x14ac:dyDescent="0.25">
      <c r="A46" s="271"/>
      <c r="B46" s="263"/>
      <c r="C46" s="48">
        <v>3</v>
      </c>
      <c r="D46" s="48">
        <v>3</v>
      </c>
      <c r="E46" s="54" t="s">
        <v>24</v>
      </c>
      <c r="F46" s="41" t="s">
        <v>36</v>
      </c>
      <c r="G46" s="66">
        <v>2.3477999999999999</v>
      </c>
      <c r="H46" s="65">
        <f t="shared" si="3"/>
        <v>7.0434000000000001</v>
      </c>
      <c r="I46" s="59">
        <f t="shared" si="1"/>
        <v>1.0565100000000001</v>
      </c>
      <c r="J46" s="59">
        <f t="shared" si="2"/>
        <v>8.0999099999999995</v>
      </c>
      <c r="K46" s="230"/>
      <c r="L46" s="230"/>
      <c r="M46" s="230"/>
    </row>
    <row r="47" spans="1:13" x14ac:dyDescent="0.25">
      <c r="A47" s="271"/>
      <c r="B47" s="263"/>
      <c r="C47" s="48">
        <v>3</v>
      </c>
      <c r="D47" s="48">
        <v>3</v>
      </c>
      <c r="E47" s="54" t="s">
        <v>25</v>
      </c>
      <c r="F47" s="41" t="s">
        <v>35</v>
      </c>
      <c r="G47" s="66">
        <v>0.52170000000000005</v>
      </c>
      <c r="H47" s="65">
        <f t="shared" si="3"/>
        <v>1.5651000000000002</v>
      </c>
      <c r="I47" s="59">
        <f t="shared" si="1"/>
        <v>0.234765</v>
      </c>
      <c r="J47" s="59">
        <f t="shared" si="2"/>
        <v>1.799865</v>
      </c>
      <c r="K47" s="230"/>
      <c r="L47" s="230"/>
      <c r="M47" s="230"/>
    </row>
    <row r="48" spans="1:13" x14ac:dyDescent="0.25">
      <c r="A48" s="271"/>
      <c r="B48" s="263"/>
      <c r="C48" s="48">
        <v>5</v>
      </c>
      <c r="D48" s="48">
        <v>5</v>
      </c>
      <c r="E48" s="54" t="s">
        <v>26</v>
      </c>
      <c r="F48" s="41" t="s">
        <v>35</v>
      </c>
      <c r="G48" s="66">
        <v>1.6521999999999999</v>
      </c>
      <c r="H48" s="65">
        <f t="shared" si="3"/>
        <v>8.2609999999999992</v>
      </c>
      <c r="I48" s="59">
        <f t="shared" si="1"/>
        <v>1.2391499999999998</v>
      </c>
      <c r="J48" s="59">
        <f t="shared" si="2"/>
        <v>9.5001499999999997</v>
      </c>
      <c r="K48" s="230"/>
      <c r="L48" s="230"/>
      <c r="M48" s="230"/>
    </row>
    <row r="49" spans="1:13" x14ac:dyDescent="0.25">
      <c r="A49" s="271"/>
      <c r="B49" s="263"/>
      <c r="C49" s="48">
        <v>1</v>
      </c>
      <c r="D49" s="48">
        <v>1</v>
      </c>
      <c r="E49" s="54" t="s">
        <v>27</v>
      </c>
      <c r="F49" s="41" t="s">
        <v>36</v>
      </c>
      <c r="G49" s="66">
        <v>2.1739000000000002</v>
      </c>
      <c r="H49" s="65">
        <f t="shared" si="3"/>
        <v>2.1739000000000002</v>
      </c>
      <c r="I49" s="59">
        <f t="shared" si="1"/>
        <v>0.32608500000000001</v>
      </c>
      <c r="J49" s="59">
        <f t="shared" si="2"/>
        <v>2.4999850000000001</v>
      </c>
      <c r="K49" s="230"/>
      <c r="L49" s="230"/>
      <c r="M49" s="230"/>
    </row>
    <row r="50" spans="1:13" x14ac:dyDescent="0.25">
      <c r="A50" s="271"/>
      <c r="B50" s="263"/>
      <c r="C50" s="48">
        <v>3</v>
      </c>
      <c r="D50" s="48">
        <v>3</v>
      </c>
      <c r="E50" s="54" t="s">
        <v>28</v>
      </c>
      <c r="F50" s="41" t="s">
        <v>36</v>
      </c>
      <c r="G50" s="66">
        <v>0.43480000000000002</v>
      </c>
      <c r="H50" s="65">
        <f t="shared" si="3"/>
        <v>1.3044</v>
      </c>
      <c r="I50" s="59">
        <f t="shared" si="1"/>
        <v>0.19566</v>
      </c>
      <c r="J50" s="59">
        <f t="shared" si="2"/>
        <v>1.5000599999999999</v>
      </c>
      <c r="K50" s="230"/>
      <c r="L50" s="230"/>
      <c r="M50" s="230"/>
    </row>
    <row r="51" spans="1:13" x14ac:dyDescent="0.25">
      <c r="A51" s="271"/>
      <c r="B51" s="263"/>
      <c r="C51" s="48">
        <v>3</v>
      </c>
      <c r="D51" s="48">
        <v>3</v>
      </c>
      <c r="E51" s="54" t="s">
        <v>29</v>
      </c>
      <c r="F51" s="41" t="s">
        <v>36</v>
      </c>
      <c r="G51" s="66">
        <v>0.60870000000000002</v>
      </c>
      <c r="H51" s="65">
        <f t="shared" si="3"/>
        <v>1.8261000000000001</v>
      </c>
      <c r="I51" s="59">
        <f t="shared" si="1"/>
        <v>0.27391500000000002</v>
      </c>
      <c r="J51" s="59">
        <f t="shared" si="2"/>
        <v>2.100015</v>
      </c>
      <c r="K51" s="230"/>
      <c r="L51" s="230"/>
      <c r="M51" s="230"/>
    </row>
    <row r="52" spans="1:13" x14ac:dyDescent="0.25">
      <c r="A52" s="271"/>
      <c r="B52" s="263"/>
      <c r="C52" s="48">
        <v>4</v>
      </c>
      <c r="D52" s="48">
        <v>4</v>
      </c>
      <c r="E52" s="54" t="s">
        <v>30</v>
      </c>
      <c r="F52" s="55" t="s">
        <v>19</v>
      </c>
      <c r="G52" s="66">
        <v>0.3478</v>
      </c>
      <c r="H52" s="65">
        <f t="shared" si="3"/>
        <v>1.3912</v>
      </c>
      <c r="I52" s="59">
        <f t="shared" si="1"/>
        <v>0.20868</v>
      </c>
      <c r="J52" s="59">
        <f t="shared" si="2"/>
        <v>1.59988</v>
      </c>
      <c r="K52" s="230"/>
      <c r="L52" s="230"/>
      <c r="M52" s="230"/>
    </row>
    <row r="53" spans="1:13" x14ac:dyDescent="0.25">
      <c r="A53" s="271"/>
      <c r="B53" s="263"/>
      <c r="C53" s="48">
        <v>6</v>
      </c>
      <c r="D53" s="48">
        <v>6</v>
      </c>
      <c r="E53" s="54" t="s">
        <v>31</v>
      </c>
      <c r="F53" s="41" t="s">
        <v>35</v>
      </c>
      <c r="G53" s="66">
        <v>1.4348000000000001</v>
      </c>
      <c r="H53" s="65">
        <f t="shared" si="3"/>
        <v>8.6088000000000005</v>
      </c>
      <c r="I53" s="59">
        <f t="shared" si="1"/>
        <v>1.29132</v>
      </c>
      <c r="J53" s="59">
        <f t="shared" si="2"/>
        <v>9.9001200000000011</v>
      </c>
      <c r="K53" s="230"/>
      <c r="L53" s="230"/>
      <c r="M53" s="230"/>
    </row>
    <row r="54" spans="1:13" x14ac:dyDescent="0.25">
      <c r="A54" s="271"/>
      <c r="B54" s="263"/>
      <c r="C54" s="48">
        <v>3</v>
      </c>
      <c r="D54" s="48">
        <v>3</v>
      </c>
      <c r="E54" s="54" t="s">
        <v>32</v>
      </c>
      <c r="F54" s="41" t="s">
        <v>35</v>
      </c>
      <c r="G54" s="66">
        <v>1.4348000000000001</v>
      </c>
      <c r="H54" s="65">
        <f t="shared" si="3"/>
        <v>4.3044000000000002</v>
      </c>
      <c r="I54" s="59">
        <f t="shared" si="1"/>
        <v>0.64566000000000001</v>
      </c>
      <c r="J54" s="59">
        <f t="shared" si="2"/>
        <v>4.9500600000000006</v>
      </c>
      <c r="K54" s="230"/>
      <c r="L54" s="230"/>
      <c r="M54" s="230"/>
    </row>
    <row r="55" spans="1:13" x14ac:dyDescent="0.25">
      <c r="A55" s="271"/>
      <c r="B55" s="263"/>
      <c r="C55" s="48">
        <v>6</v>
      </c>
      <c r="D55" s="48">
        <v>6</v>
      </c>
      <c r="E55" s="54" t="s">
        <v>33</v>
      </c>
      <c r="F55" s="41" t="s">
        <v>37</v>
      </c>
      <c r="G55" s="66">
        <v>2.0870000000000002</v>
      </c>
      <c r="H55" s="65">
        <f t="shared" si="3"/>
        <v>12.522000000000002</v>
      </c>
      <c r="I55" s="59">
        <f t="shared" si="1"/>
        <v>1.8783000000000003</v>
      </c>
      <c r="J55" s="59">
        <f t="shared" si="2"/>
        <v>14.400300000000001</v>
      </c>
      <c r="K55" s="230"/>
      <c r="L55" s="230"/>
      <c r="M55" s="230"/>
    </row>
    <row r="56" spans="1:13" ht="16.5" thickBot="1" x14ac:dyDescent="0.3">
      <c r="A56" s="272"/>
      <c r="B56" s="264"/>
      <c r="C56" s="64">
        <v>3</v>
      </c>
      <c r="D56" s="64">
        <v>3</v>
      </c>
      <c r="E56" s="91" t="s">
        <v>34</v>
      </c>
      <c r="F56" s="92" t="s">
        <v>35</v>
      </c>
      <c r="G56" s="93">
        <v>3.9129999999999998</v>
      </c>
      <c r="H56" s="94">
        <f t="shared" si="3"/>
        <v>11.738999999999999</v>
      </c>
      <c r="I56" s="61">
        <f t="shared" si="1"/>
        <v>1.7608499999999998</v>
      </c>
      <c r="J56" s="61">
        <f t="shared" si="2"/>
        <v>13.499849999999999</v>
      </c>
      <c r="K56" s="231"/>
      <c r="L56" s="231"/>
      <c r="M56" s="231"/>
    </row>
    <row r="57" spans="1:13" x14ac:dyDescent="0.25">
      <c r="A57" s="276">
        <v>45991</v>
      </c>
      <c r="B57" s="273" t="s">
        <v>38</v>
      </c>
      <c r="C57" s="71">
        <v>6</v>
      </c>
      <c r="D57" s="71">
        <v>6</v>
      </c>
      <c r="E57" s="72" t="s">
        <v>39</v>
      </c>
      <c r="F57" s="97" t="s">
        <v>35</v>
      </c>
      <c r="G57" s="98">
        <v>1.1738999999999999</v>
      </c>
      <c r="H57" s="99">
        <f t="shared" si="3"/>
        <v>7.0434000000000001</v>
      </c>
      <c r="I57" s="75">
        <f t="shared" si="1"/>
        <v>1.0565100000000001</v>
      </c>
      <c r="J57" s="75">
        <f t="shared" si="2"/>
        <v>8.0999099999999995</v>
      </c>
      <c r="K57" s="254">
        <f>SUM(J57:J66)</f>
        <v>85.999989999999997</v>
      </c>
      <c r="L57" s="254">
        <f>83.4+2.4</f>
        <v>85.800000000000011</v>
      </c>
      <c r="M57" s="257" t="s">
        <v>520</v>
      </c>
    </row>
    <row r="58" spans="1:13" x14ac:dyDescent="0.25">
      <c r="A58" s="277"/>
      <c r="B58" s="274"/>
      <c r="C58" s="76">
        <v>3</v>
      </c>
      <c r="D58" s="76">
        <v>3</v>
      </c>
      <c r="E58" s="100" t="s">
        <v>40</v>
      </c>
      <c r="F58" s="100" t="s">
        <v>35</v>
      </c>
      <c r="G58" s="101">
        <v>0.69569999999999999</v>
      </c>
      <c r="H58" s="102">
        <f t="shared" si="3"/>
        <v>2.0871</v>
      </c>
      <c r="I58" s="80">
        <f t="shared" si="1"/>
        <v>0.31306499999999998</v>
      </c>
      <c r="J58" s="80">
        <f t="shared" si="2"/>
        <v>2.4001649999999999</v>
      </c>
      <c r="K58" s="255"/>
      <c r="L58" s="255"/>
      <c r="M58" s="255"/>
    </row>
    <row r="59" spans="1:13" x14ac:dyDescent="0.25">
      <c r="A59" s="277"/>
      <c r="B59" s="274"/>
      <c r="C59" s="76">
        <v>5</v>
      </c>
      <c r="D59" s="76">
        <v>5</v>
      </c>
      <c r="E59" s="77" t="s">
        <v>41</v>
      </c>
      <c r="F59" s="100" t="s">
        <v>35</v>
      </c>
      <c r="G59" s="101">
        <v>1.5651999999999999</v>
      </c>
      <c r="H59" s="102">
        <f t="shared" si="3"/>
        <v>7.8259999999999996</v>
      </c>
      <c r="I59" s="80">
        <f t="shared" si="1"/>
        <v>1.1738999999999999</v>
      </c>
      <c r="J59" s="80">
        <f t="shared" si="2"/>
        <v>8.9999000000000002</v>
      </c>
      <c r="K59" s="255"/>
      <c r="L59" s="255"/>
      <c r="M59" s="255"/>
    </row>
    <row r="60" spans="1:13" x14ac:dyDescent="0.25">
      <c r="A60" s="277"/>
      <c r="B60" s="274"/>
      <c r="C60" s="76">
        <v>5</v>
      </c>
      <c r="D60" s="76">
        <v>5</v>
      </c>
      <c r="E60" s="77" t="s">
        <v>42</v>
      </c>
      <c r="F60" s="100" t="s">
        <v>35</v>
      </c>
      <c r="G60" s="101">
        <v>2.3913000000000002</v>
      </c>
      <c r="H60" s="102">
        <f t="shared" si="3"/>
        <v>11.956500000000002</v>
      </c>
      <c r="I60" s="80">
        <f t="shared" si="1"/>
        <v>1.7934750000000002</v>
      </c>
      <c r="J60" s="80">
        <f t="shared" si="2"/>
        <v>13.749975000000003</v>
      </c>
      <c r="K60" s="255"/>
      <c r="L60" s="255"/>
      <c r="M60" s="255"/>
    </row>
    <row r="61" spans="1:13" x14ac:dyDescent="0.25">
      <c r="A61" s="277"/>
      <c r="B61" s="274"/>
      <c r="C61" s="76">
        <v>2</v>
      </c>
      <c r="D61" s="76">
        <v>2</v>
      </c>
      <c r="E61" s="77" t="s">
        <v>43</v>
      </c>
      <c r="F61" s="100" t="s">
        <v>127</v>
      </c>
      <c r="G61" s="101">
        <v>1.3043</v>
      </c>
      <c r="H61" s="102">
        <f t="shared" si="3"/>
        <v>2.6086</v>
      </c>
      <c r="I61" s="80">
        <f t="shared" si="1"/>
        <v>0.39128999999999997</v>
      </c>
      <c r="J61" s="80">
        <f t="shared" si="2"/>
        <v>2.9998900000000002</v>
      </c>
      <c r="K61" s="255"/>
      <c r="L61" s="255"/>
      <c r="M61" s="255"/>
    </row>
    <row r="62" spans="1:13" x14ac:dyDescent="0.25">
      <c r="A62" s="277"/>
      <c r="B62" s="274"/>
      <c r="C62" s="76">
        <v>1</v>
      </c>
      <c r="D62" s="76"/>
      <c r="E62" s="77" t="s">
        <v>44</v>
      </c>
      <c r="F62" s="100" t="s">
        <v>35</v>
      </c>
      <c r="G62" s="101">
        <v>6.5217000000000001</v>
      </c>
      <c r="H62" s="102">
        <f t="shared" si="3"/>
        <v>6.5217000000000001</v>
      </c>
      <c r="I62" s="80">
        <f t="shared" si="1"/>
        <v>0.97825499999999999</v>
      </c>
      <c r="J62" s="80">
        <f t="shared" si="2"/>
        <v>7.4999549999999999</v>
      </c>
      <c r="K62" s="255"/>
      <c r="L62" s="255"/>
      <c r="M62" s="255"/>
    </row>
    <row r="63" spans="1:13" x14ac:dyDescent="0.25">
      <c r="A63" s="277"/>
      <c r="B63" s="274"/>
      <c r="C63" s="76">
        <v>2</v>
      </c>
      <c r="D63" s="76">
        <v>2</v>
      </c>
      <c r="E63" s="77" t="s">
        <v>45</v>
      </c>
      <c r="F63" s="100" t="s">
        <v>35</v>
      </c>
      <c r="G63" s="101">
        <v>2.6086999999999998</v>
      </c>
      <c r="H63" s="102">
        <f t="shared" si="3"/>
        <v>5.2173999999999996</v>
      </c>
      <c r="I63" s="80">
        <f t="shared" si="1"/>
        <v>0.78260999999999992</v>
      </c>
      <c r="J63" s="80">
        <f t="shared" si="2"/>
        <v>6.0000099999999996</v>
      </c>
      <c r="K63" s="255"/>
      <c r="L63" s="255"/>
      <c r="M63" s="255"/>
    </row>
    <row r="64" spans="1:13" x14ac:dyDescent="0.25">
      <c r="A64" s="277"/>
      <c r="B64" s="274"/>
      <c r="C64" s="76">
        <v>1</v>
      </c>
      <c r="D64" s="76">
        <v>1</v>
      </c>
      <c r="E64" s="77" t="s">
        <v>46</v>
      </c>
      <c r="F64" s="100" t="s">
        <v>35</v>
      </c>
      <c r="G64" s="101">
        <v>1.7391000000000001</v>
      </c>
      <c r="H64" s="102">
        <f t="shared" si="3"/>
        <v>1.7391000000000001</v>
      </c>
      <c r="I64" s="80">
        <f t="shared" si="1"/>
        <v>0.26086500000000001</v>
      </c>
      <c r="J64" s="80">
        <f t="shared" si="2"/>
        <v>1.999965</v>
      </c>
      <c r="K64" s="255"/>
      <c r="L64" s="255"/>
      <c r="M64" s="255"/>
    </row>
    <row r="65" spans="1:13" x14ac:dyDescent="0.25">
      <c r="A65" s="277"/>
      <c r="B65" s="274"/>
      <c r="C65" s="76">
        <v>3</v>
      </c>
      <c r="D65" s="76">
        <v>3</v>
      </c>
      <c r="E65" s="77" t="s">
        <v>24</v>
      </c>
      <c r="F65" s="100" t="s">
        <v>35</v>
      </c>
      <c r="G65" s="101">
        <v>7.4348000000000001</v>
      </c>
      <c r="H65" s="102">
        <f t="shared" si="3"/>
        <v>22.304400000000001</v>
      </c>
      <c r="I65" s="80">
        <f t="shared" si="1"/>
        <v>3.3456600000000001</v>
      </c>
      <c r="J65" s="80">
        <f t="shared" si="2"/>
        <v>25.65006</v>
      </c>
      <c r="K65" s="255"/>
      <c r="L65" s="255"/>
      <c r="M65" s="255"/>
    </row>
    <row r="66" spans="1:13" ht="16.5" thickBot="1" x14ac:dyDescent="0.3">
      <c r="A66" s="278"/>
      <c r="B66" s="275"/>
      <c r="C66" s="81">
        <v>4</v>
      </c>
      <c r="D66" s="81">
        <v>4</v>
      </c>
      <c r="E66" s="82" t="s">
        <v>45</v>
      </c>
      <c r="F66" s="103" t="s">
        <v>35</v>
      </c>
      <c r="G66" s="104">
        <v>1.8695999999999999</v>
      </c>
      <c r="H66" s="105">
        <f t="shared" si="3"/>
        <v>7.4783999999999997</v>
      </c>
      <c r="I66" s="85">
        <f t="shared" si="1"/>
        <v>1.1217599999999999</v>
      </c>
      <c r="J66" s="85">
        <f t="shared" si="2"/>
        <v>8.6001599999999989</v>
      </c>
      <c r="K66" s="256"/>
      <c r="L66" s="256"/>
      <c r="M66" s="256"/>
    </row>
    <row r="67" spans="1:13" ht="16.5" thickBot="1" x14ac:dyDescent="0.3">
      <c r="A67" s="258" t="s">
        <v>153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</row>
    <row r="68" spans="1:13" x14ac:dyDescent="0.25">
      <c r="A68" s="239">
        <v>45994</v>
      </c>
      <c r="B68" s="262" t="s">
        <v>47</v>
      </c>
      <c r="C68" s="62">
        <v>1</v>
      </c>
      <c r="D68" s="62">
        <v>1</v>
      </c>
      <c r="E68" s="87" t="s">
        <v>48</v>
      </c>
      <c r="F68" s="95" t="s">
        <v>128</v>
      </c>
      <c r="G68" s="96">
        <v>3.75</v>
      </c>
      <c r="H68" s="90">
        <f t="shared" si="3"/>
        <v>3.75</v>
      </c>
      <c r="I68" s="58">
        <f t="shared" ref="I68:I130" si="4">H68*0.15</f>
        <v>0.5625</v>
      </c>
      <c r="J68" s="58">
        <f t="shared" ref="J68:J130" si="5">H68+I68</f>
        <v>4.3125</v>
      </c>
      <c r="K68" s="227">
        <f>SUM(J68:J71)</f>
        <v>13.811500000000001</v>
      </c>
      <c r="L68" s="227"/>
      <c r="M68" s="227"/>
    </row>
    <row r="69" spans="1:13" x14ac:dyDescent="0.25">
      <c r="A69" s="245"/>
      <c r="B69" s="263"/>
      <c r="C69" s="48">
        <v>1</v>
      </c>
      <c r="D69" s="48">
        <v>1</v>
      </c>
      <c r="E69" s="54" t="s">
        <v>49</v>
      </c>
      <c r="F69" s="41" t="s">
        <v>128</v>
      </c>
      <c r="G69" s="66">
        <v>2.38</v>
      </c>
      <c r="H69" s="65">
        <f t="shared" si="3"/>
        <v>2.38</v>
      </c>
      <c r="I69" s="59">
        <f t="shared" si="4"/>
        <v>0.35699999999999998</v>
      </c>
      <c r="J69" s="59">
        <f t="shared" si="5"/>
        <v>2.7370000000000001</v>
      </c>
      <c r="K69" s="228"/>
      <c r="L69" s="228"/>
      <c r="M69" s="228"/>
    </row>
    <row r="70" spans="1:13" x14ac:dyDescent="0.25">
      <c r="A70" s="245"/>
      <c r="B70" s="263"/>
      <c r="C70" s="48">
        <v>1</v>
      </c>
      <c r="D70" s="48">
        <v>1</v>
      </c>
      <c r="E70" s="54" t="s">
        <v>50</v>
      </c>
      <c r="F70" s="41" t="s">
        <v>128</v>
      </c>
      <c r="G70" s="66">
        <v>1.88</v>
      </c>
      <c r="H70" s="65">
        <f t="shared" si="3"/>
        <v>1.88</v>
      </c>
      <c r="I70" s="59">
        <f t="shared" si="4"/>
        <v>0.28199999999999997</v>
      </c>
      <c r="J70" s="59">
        <f t="shared" si="5"/>
        <v>2.1619999999999999</v>
      </c>
      <c r="K70" s="228"/>
      <c r="L70" s="228"/>
      <c r="M70" s="228"/>
    </row>
    <row r="71" spans="1:13" ht="16.5" thickBot="1" x14ac:dyDescent="0.3">
      <c r="A71" s="240"/>
      <c r="B71" s="264"/>
      <c r="C71" s="64">
        <v>1</v>
      </c>
      <c r="D71" s="64">
        <v>1</v>
      </c>
      <c r="E71" s="91" t="s">
        <v>51</v>
      </c>
      <c r="F71" s="92" t="s">
        <v>128</v>
      </c>
      <c r="G71" s="93">
        <v>4</v>
      </c>
      <c r="H71" s="94">
        <f t="shared" si="3"/>
        <v>4</v>
      </c>
      <c r="I71" s="61">
        <f t="shared" si="4"/>
        <v>0.6</v>
      </c>
      <c r="J71" s="61">
        <f t="shared" si="5"/>
        <v>4.5999999999999996</v>
      </c>
      <c r="K71" s="229"/>
      <c r="L71" s="229"/>
      <c r="M71" s="229"/>
    </row>
    <row r="72" spans="1:13" x14ac:dyDescent="0.25">
      <c r="A72" s="202">
        <v>45996</v>
      </c>
      <c r="B72" s="108" t="s">
        <v>52</v>
      </c>
      <c r="C72" s="62">
        <v>1</v>
      </c>
      <c r="D72" s="62">
        <v>1</v>
      </c>
      <c r="E72" s="87" t="s">
        <v>48</v>
      </c>
      <c r="F72" s="95" t="s">
        <v>128</v>
      </c>
      <c r="G72" s="96">
        <v>3.75</v>
      </c>
      <c r="H72" s="90">
        <f t="shared" si="3"/>
        <v>3.75</v>
      </c>
      <c r="I72" s="58">
        <f t="shared" si="4"/>
        <v>0.5625</v>
      </c>
      <c r="J72" s="58">
        <f t="shared" si="5"/>
        <v>4.3125</v>
      </c>
      <c r="K72" s="227">
        <f>SUM(J72:J75)</f>
        <v>13.811500000000001</v>
      </c>
      <c r="L72" s="227"/>
      <c r="M72" s="227"/>
    </row>
    <row r="73" spans="1:13" x14ac:dyDescent="0.25">
      <c r="A73" s="203"/>
      <c r="B73" s="109"/>
      <c r="C73" s="48">
        <v>1</v>
      </c>
      <c r="D73" s="48">
        <v>1</v>
      </c>
      <c r="E73" s="54" t="s">
        <v>49</v>
      </c>
      <c r="F73" s="41" t="s">
        <v>128</v>
      </c>
      <c r="G73" s="66">
        <v>2.38</v>
      </c>
      <c r="H73" s="65">
        <f t="shared" si="3"/>
        <v>2.38</v>
      </c>
      <c r="I73" s="59">
        <f t="shared" si="4"/>
        <v>0.35699999999999998</v>
      </c>
      <c r="J73" s="59">
        <f t="shared" si="5"/>
        <v>2.7370000000000001</v>
      </c>
      <c r="K73" s="228"/>
      <c r="L73" s="228"/>
      <c r="M73" s="228"/>
    </row>
    <row r="74" spans="1:13" x14ac:dyDescent="0.25">
      <c r="A74" s="203"/>
      <c r="B74" s="109"/>
      <c r="C74" s="48">
        <v>1</v>
      </c>
      <c r="D74" s="48">
        <v>1</v>
      </c>
      <c r="E74" s="54" t="s">
        <v>50</v>
      </c>
      <c r="F74" s="41" t="s">
        <v>128</v>
      </c>
      <c r="G74" s="66">
        <v>1.88</v>
      </c>
      <c r="H74" s="65">
        <f t="shared" si="3"/>
        <v>1.88</v>
      </c>
      <c r="I74" s="59">
        <f t="shared" si="4"/>
        <v>0.28199999999999997</v>
      </c>
      <c r="J74" s="59">
        <f t="shared" si="5"/>
        <v>2.1619999999999999</v>
      </c>
      <c r="K74" s="228"/>
      <c r="L74" s="228"/>
      <c r="M74" s="228"/>
    </row>
    <row r="75" spans="1:13" ht="16.5" thickBot="1" x14ac:dyDescent="0.3">
      <c r="A75" s="204"/>
      <c r="B75" s="110"/>
      <c r="C75" s="64">
        <v>1</v>
      </c>
      <c r="D75" s="64">
        <v>1</v>
      </c>
      <c r="E75" s="91" t="s">
        <v>51</v>
      </c>
      <c r="F75" s="92" t="s">
        <v>128</v>
      </c>
      <c r="G75" s="93">
        <v>4</v>
      </c>
      <c r="H75" s="94">
        <f t="shared" si="3"/>
        <v>4</v>
      </c>
      <c r="I75" s="61">
        <f t="shared" si="4"/>
        <v>0.6</v>
      </c>
      <c r="J75" s="61">
        <f t="shared" si="5"/>
        <v>4.5999999999999996</v>
      </c>
      <c r="K75" s="229"/>
      <c r="L75" s="229"/>
      <c r="M75" s="229"/>
    </row>
    <row r="76" spans="1:13" x14ac:dyDescent="0.25">
      <c r="A76" s="239">
        <v>46007</v>
      </c>
      <c r="B76" s="262" t="s">
        <v>167</v>
      </c>
      <c r="C76" s="62">
        <v>1</v>
      </c>
      <c r="D76" s="62">
        <v>1</v>
      </c>
      <c r="E76" s="87" t="s">
        <v>53</v>
      </c>
      <c r="F76" s="95" t="s">
        <v>35</v>
      </c>
      <c r="G76" s="96">
        <v>33.478299999999997</v>
      </c>
      <c r="H76" s="90">
        <f t="shared" si="3"/>
        <v>33.478299999999997</v>
      </c>
      <c r="I76" s="58">
        <f t="shared" si="4"/>
        <v>5.0217449999999992</v>
      </c>
      <c r="J76" s="58">
        <f t="shared" si="5"/>
        <v>38.500045</v>
      </c>
      <c r="K76" s="221">
        <f>SUM(J76:J88)</f>
        <v>157.10057999999998</v>
      </c>
      <c r="L76" s="221"/>
      <c r="M76" s="221"/>
    </row>
    <row r="77" spans="1:13" x14ac:dyDescent="0.25">
      <c r="A77" s="245"/>
      <c r="B77" s="263"/>
      <c r="C77" s="48">
        <v>3</v>
      </c>
      <c r="D77" s="48">
        <v>3</v>
      </c>
      <c r="E77" s="54" t="s">
        <v>54</v>
      </c>
      <c r="F77" s="41" t="s">
        <v>35</v>
      </c>
      <c r="G77" s="66">
        <v>1.0435000000000001</v>
      </c>
      <c r="H77" s="65">
        <f t="shared" si="3"/>
        <v>3.1305000000000005</v>
      </c>
      <c r="I77" s="59">
        <f t="shared" si="4"/>
        <v>0.46957500000000008</v>
      </c>
      <c r="J77" s="59">
        <f t="shared" si="5"/>
        <v>3.6000750000000004</v>
      </c>
      <c r="K77" s="230"/>
      <c r="L77" s="230"/>
      <c r="M77" s="230"/>
    </row>
    <row r="78" spans="1:13" x14ac:dyDescent="0.25">
      <c r="A78" s="245"/>
      <c r="B78" s="263"/>
      <c r="C78" s="48">
        <v>2</v>
      </c>
      <c r="D78" s="48">
        <v>2</v>
      </c>
      <c r="E78" s="54" t="s">
        <v>55</v>
      </c>
      <c r="F78" s="41" t="s">
        <v>35</v>
      </c>
      <c r="G78" s="66">
        <v>3.4782999999999999</v>
      </c>
      <c r="H78" s="65">
        <f t="shared" si="3"/>
        <v>6.9565999999999999</v>
      </c>
      <c r="I78" s="59">
        <f t="shared" si="4"/>
        <v>1.04349</v>
      </c>
      <c r="J78" s="59">
        <f t="shared" si="5"/>
        <v>8.0000900000000001</v>
      </c>
      <c r="K78" s="230"/>
      <c r="L78" s="230"/>
      <c r="M78" s="230"/>
    </row>
    <row r="79" spans="1:13" x14ac:dyDescent="0.25">
      <c r="A79" s="245"/>
      <c r="B79" s="263"/>
      <c r="C79" s="48">
        <v>1</v>
      </c>
      <c r="D79" s="48">
        <v>1</v>
      </c>
      <c r="E79" s="54" t="s">
        <v>55</v>
      </c>
      <c r="F79" s="41" t="s">
        <v>35</v>
      </c>
      <c r="G79" s="66">
        <v>3.0434999999999999</v>
      </c>
      <c r="H79" s="65">
        <f t="shared" si="3"/>
        <v>3.0434999999999999</v>
      </c>
      <c r="I79" s="59">
        <f t="shared" si="4"/>
        <v>0.45652499999999996</v>
      </c>
      <c r="J79" s="59">
        <f t="shared" si="5"/>
        <v>3.5000249999999999</v>
      </c>
      <c r="K79" s="230"/>
      <c r="L79" s="230"/>
      <c r="M79" s="230"/>
    </row>
    <row r="80" spans="1:13" x14ac:dyDescent="0.25">
      <c r="A80" s="245"/>
      <c r="B80" s="263"/>
      <c r="C80" s="48">
        <v>1</v>
      </c>
      <c r="D80" s="48">
        <v>1</v>
      </c>
      <c r="E80" s="54" t="s">
        <v>56</v>
      </c>
      <c r="F80" s="41" t="s">
        <v>35</v>
      </c>
      <c r="G80" s="66">
        <v>5.6521999999999997</v>
      </c>
      <c r="H80" s="65">
        <f t="shared" si="3"/>
        <v>5.6521999999999997</v>
      </c>
      <c r="I80" s="59">
        <f t="shared" si="4"/>
        <v>0.84782999999999997</v>
      </c>
      <c r="J80" s="59">
        <f t="shared" si="5"/>
        <v>6.5000299999999998</v>
      </c>
      <c r="K80" s="230"/>
      <c r="L80" s="230"/>
      <c r="M80" s="230"/>
    </row>
    <row r="81" spans="1:13" x14ac:dyDescent="0.25">
      <c r="A81" s="245"/>
      <c r="B81" s="263"/>
      <c r="C81" s="48">
        <v>1</v>
      </c>
      <c r="D81" s="48">
        <v>1</v>
      </c>
      <c r="E81" s="54" t="s">
        <v>57</v>
      </c>
      <c r="F81" s="41" t="s">
        <v>35</v>
      </c>
      <c r="G81" s="66">
        <v>12.1739</v>
      </c>
      <c r="H81" s="65">
        <f t="shared" si="3"/>
        <v>12.1739</v>
      </c>
      <c r="I81" s="59">
        <f t="shared" si="4"/>
        <v>1.826085</v>
      </c>
      <c r="J81" s="59">
        <f t="shared" si="5"/>
        <v>13.999984999999999</v>
      </c>
      <c r="K81" s="230"/>
      <c r="L81" s="230"/>
      <c r="M81" s="230"/>
    </row>
    <row r="82" spans="1:13" x14ac:dyDescent="0.25">
      <c r="A82" s="245"/>
      <c r="B82" s="263"/>
      <c r="C82" s="48">
        <v>2</v>
      </c>
      <c r="D82" s="48"/>
      <c r="E82" s="54" t="s">
        <v>58</v>
      </c>
      <c r="F82" s="41" t="s">
        <v>19</v>
      </c>
      <c r="G82" s="66">
        <v>3.4782999999999999</v>
      </c>
      <c r="H82" s="65">
        <f t="shared" si="3"/>
        <v>6.9565999999999999</v>
      </c>
      <c r="I82" s="59">
        <f t="shared" si="4"/>
        <v>1.04349</v>
      </c>
      <c r="J82" s="59">
        <f t="shared" si="5"/>
        <v>8.0000900000000001</v>
      </c>
      <c r="K82" s="230"/>
      <c r="L82" s="230"/>
      <c r="M82" s="230"/>
    </row>
    <row r="83" spans="1:13" x14ac:dyDescent="0.25">
      <c r="A83" s="245"/>
      <c r="B83" s="263"/>
      <c r="C83" s="48">
        <v>1</v>
      </c>
      <c r="D83" s="48">
        <v>1</v>
      </c>
      <c r="E83" s="54" t="s">
        <v>59</v>
      </c>
      <c r="F83" s="41" t="s">
        <v>35</v>
      </c>
      <c r="G83" s="66">
        <v>3.9129999999999998</v>
      </c>
      <c r="H83" s="65">
        <f t="shared" si="3"/>
        <v>3.9129999999999998</v>
      </c>
      <c r="I83" s="59">
        <f t="shared" si="4"/>
        <v>0.58694999999999997</v>
      </c>
      <c r="J83" s="59">
        <f t="shared" si="5"/>
        <v>4.4999500000000001</v>
      </c>
      <c r="K83" s="230"/>
      <c r="L83" s="230"/>
      <c r="M83" s="230"/>
    </row>
    <row r="84" spans="1:13" x14ac:dyDescent="0.25">
      <c r="A84" s="245"/>
      <c r="B84" s="263"/>
      <c r="C84" s="48">
        <v>3</v>
      </c>
      <c r="D84" s="48">
        <v>3</v>
      </c>
      <c r="E84" s="54" t="s">
        <v>60</v>
      </c>
      <c r="F84" s="41" t="s">
        <v>35</v>
      </c>
      <c r="G84" s="66">
        <v>3.5217000000000001</v>
      </c>
      <c r="H84" s="65">
        <f t="shared" si="3"/>
        <v>10.565100000000001</v>
      </c>
      <c r="I84" s="59">
        <f t="shared" si="4"/>
        <v>1.5847650000000002</v>
      </c>
      <c r="J84" s="59">
        <f t="shared" si="5"/>
        <v>12.149865000000002</v>
      </c>
      <c r="K84" s="230"/>
      <c r="L84" s="230"/>
      <c r="M84" s="230"/>
    </row>
    <row r="85" spans="1:13" x14ac:dyDescent="0.25">
      <c r="A85" s="245"/>
      <c r="B85" s="263"/>
      <c r="C85" s="48">
        <v>3</v>
      </c>
      <c r="D85" s="48">
        <v>3</v>
      </c>
      <c r="E85" s="54" t="s">
        <v>61</v>
      </c>
      <c r="F85" s="41" t="s">
        <v>35</v>
      </c>
      <c r="G85" s="66">
        <v>3.5217000000000001</v>
      </c>
      <c r="H85" s="65">
        <f t="shared" si="3"/>
        <v>10.565100000000001</v>
      </c>
      <c r="I85" s="59">
        <f t="shared" si="4"/>
        <v>1.5847650000000002</v>
      </c>
      <c r="J85" s="59">
        <f t="shared" si="5"/>
        <v>12.149865000000002</v>
      </c>
      <c r="K85" s="230"/>
      <c r="L85" s="230"/>
      <c r="M85" s="230"/>
    </row>
    <row r="86" spans="1:13" x14ac:dyDescent="0.25">
      <c r="A86" s="245"/>
      <c r="B86" s="263"/>
      <c r="C86" s="48">
        <v>3</v>
      </c>
      <c r="D86" s="48">
        <v>3</v>
      </c>
      <c r="E86" s="54" t="s">
        <v>62</v>
      </c>
      <c r="F86" s="41" t="s">
        <v>35</v>
      </c>
      <c r="G86" s="66">
        <v>2.4782999999999999</v>
      </c>
      <c r="H86" s="65">
        <f t="shared" si="3"/>
        <v>7.4348999999999998</v>
      </c>
      <c r="I86" s="59">
        <f t="shared" si="4"/>
        <v>1.115235</v>
      </c>
      <c r="J86" s="59">
        <f t="shared" si="5"/>
        <v>8.5501349999999992</v>
      </c>
      <c r="K86" s="230"/>
      <c r="L86" s="230"/>
      <c r="M86" s="230"/>
    </row>
    <row r="87" spans="1:13" x14ac:dyDescent="0.25">
      <c r="A87" s="245"/>
      <c r="B87" s="263"/>
      <c r="C87" s="48">
        <v>21</v>
      </c>
      <c r="D87" s="48">
        <v>21</v>
      </c>
      <c r="E87" s="54" t="s">
        <v>32</v>
      </c>
      <c r="F87" s="41" t="s">
        <v>35</v>
      </c>
      <c r="G87" s="66">
        <v>1.4348000000000001</v>
      </c>
      <c r="H87" s="65">
        <f t="shared" si="3"/>
        <v>30.130800000000001</v>
      </c>
      <c r="I87" s="59">
        <f t="shared" si="4"/>
        <v>4.5196199999999997</v>
      </c>
      <c r="J87" s="59">
        <f t="shared" si="5"/>
        <v>34.650419999999997</v>
      </c>
      <c r="K87" s="230"/>
      <c r="L87" s="230"/>
      <c r="M87" s="230"/>
    </row>
    <row r="88" spans="1:13" x14ac:dyDescent="0.25">
      <c r="A88" s="245"/>
      <c r="B88" s="263"/>
      <c r="C88" s="48">
        <v>1</v>
      </c>
      <c r="D88" s="48">
        <v>1</v>
      </c>
      <c r="E88" s="54" t="s">
        <v>63</v>
      </c>
      <c r="F88" s="41" t="s">
        <v>35</v>
      </c>
      <c r="G88" s="66">
        <v>2.6086999999999998</v>
      </c>
      <c r="H88" s="65">
        <f t="shared" si="3"/>
        <v>2.6086999999999998</v>
      </c>
      <c r="I88" s="59">
        <f t="shared" si="4"/>
        <v>0.39130499999999996</v>
      </c>
      <c r="J88" s="59">
        <f t="shared" si="5"/>
        <v>3.0000049999999998</v>
      </c>
      <c r="K88" s="230"/>
      <c r="L88" s="230"/>
      <c r="M88" s="230"/>
    </row>
    <row r="89" spans="1:13" x14ac:dyDescent="0.25">
      <c r="A89" s="205">
        <v>46007</v>
      </c>
      <c r="B89" s="111" t="s">
        <v>64</v>
      </c>
      <c r="C89" s="112">
        <v>1</v>
      </c>
      <c r="D89" s="112">
        <v>1</v>
      </c>
      <c r="E89" s="113" t="s">
        <v>65</v>
      </c>
      <c r="F89" s="113" t="s">
        <v>128</v>
      </c>
      <c r="G89" s="114">
        <v>19.5</v>
      </c>
      <c r="H89" s="114">
        <f t="shared" si="3"/>
        <v>19.5</v>
      </c>
      <c r="I89" s="115">
        <f t="shared" si="4"/>
        <v>2.9249999999999998</v>
      </c>
      <c r="J89" s="115">
        <f t="shared" si="5"/>
        <v>22.425000000000001</v>
      </c>
      <c r="K89" s="195">
        <f>SUM(J89)</f>
        <v>22.425000000000001</v>
      </c>
      <c r="L89" s="195"/>
      <c r="M89" s="195"/>
    </row>
    <row r="90" spans="1:13" ht="16.5" thickBot="1" x14ac:dyDescent="0.3">
      <c r="A90" s="206">
        <v>46007</v>
      </c>
      <c r="B90" s="117" t="s">
        <v>66</v>
      </c>
      <c r="C90" s="118">
        <v>4</v>
      </c>
      <c r="D90" s="118">
        <v>4</v>
      </c>
      <c r="E90" s="119" t="s">
        <v>67</v>
      </c>
      <c r="F90" s="120" t="s">
        <v>128</v>
      </c>
      <c r="G90" s="121">
        <v>5.9</v>
      </c>
      <c r="H90" s="121">
        <f t="shared" si="3"/>
        <v>23.6</v>
      </c>
      <c r="I90" s="122">
        <f t="shared" si="4"/>
        <v>3.54</v>
      </c>
      <c r="J90" s="122">
        <f t="shared" si="5"/>
        <v>27.14</v>
      </c>
      <c r="K90" s="196">
        <f>SUM(J90)</f>
        <v>27.14</v>
      </c>
      <c r="L90" s="196"/>
      <c r="M90" s="196"/>
    </row>
    <row r="91" spans="1:13" x14ac:dyDescent="0.25">
      <c r="A91" s="239">
        <v>46009</v>
      </c>
      <c r="B91" s="237" t="s">
        <v>68</v>
      </c>
      <c r="C91" s="62">
        <v>1</v>
      </c>
      <c r="D91" s="62">
        <v>1</v>
      </c>
      <c r="E91" s="87" t="s">
        <v>69</v>
      </c>
      <c r="F91" s="95" t="s">
        <v>128</v>
      </c>
      <c r="G91" s="96">
        <v>0.52170000000000005</v>
      </c>
      <c r="H91" s="90">
        <f t="shared" si="3"/>
        <v>0.52170000000000005</v>
      </c>
      <c r="I91" s="58">
        <f t="shared" si="4"/>
        <v>7.8255000000000005E-2</v>
      </c>
      <c r="J91" s="58">
        <f t="shared" si="5"/>
        <v>0.59995500000000002</v>
      </c>
      <c r="K91" s="221">
        <f>SUM(J91:J93)</f>
        <v>24.599995</v>
      </c>
      <c r="L91" s="221"/>
      <c r="M91" s="221"/>
    </row>
    <row r="92" spans="1:13" x14ac:dyDescent="0.25">
      <c r="A92" s="245"/>
      <c r="B92" s="241"/>
      <c r="C92" s="48">
        <v>3</v>
      </c>
      <c r="D92" s="48">
        <v>3</v>
      </c>
      <c r="E92" s="54" t="s">
        <v>63</v>
      </c>
      <c r="F92" s="41" t="s">
        <v>35</v>
      </c>
      <c r="G92" s="66">
        <v>2.7826</v>
      </c>
      <c r="H92" s="65">
        <f t="shared" si="3"/>
        <v>8.3477999999999994</v>
      </c>
      <c r="I92" s="59">
        <f t="shared" si="4"/>
        <v>1.2521699999999998</v>
      </c>
      <c r="J92" s="59">
        <f t="shared" si="5"/>
        <v>9.599969999999999</v>
      </c>
      <c r="K92" s="230"/>
      <c r="L92" s="230"/>
      <c r="M92" s="230"/>
    </row>
    <row r="93" spans="1:13" x14ac:dyDescent="0.25">
      <c r="A93" s="245"/>
      <c r="B93" s="241"/>
      <c r="C93" s="48">
        <v>2</v>
      </c>
      <c r="D93" s="48">
        <v>2</v>
      </c>
      <c r="E93" s="54" t="s">
        <v>70</v>
      </c>
      <c r="F93" s="41" t="s">
        <v>129</v>
      </c>
      <c r="G93" s="66">
        <v>6.2609000000000004</v>
      </c>
      <c r="H93" s="65">
        <f t="shared" si="3"/>
        <v>12.521800000000001</v>
      </c>
      <c r="I93" s="59">
        <f t="shared" si="4"/>
        <v>1.8782700000000001</v>
      </c>
      <c r="J93" s="59">
        <f t="shared" si="5"/>
        <v>14.400070000000001</v>
      </c>
      <c r="K93" s="230"/>
      <c r="L93" s="230"/>
      <c r="M93" s="230"/>
    </row>
    <row r="94" spans="1:13" ht="16.5" thickBot="1" x14ac:dyDescent="0.3">
      <c r="A94" s="207">
        <v>46013</v>
      </c>
      <c r="B94" s="49" t="s">
        <v>71</v>
      </c>
      <c r="C94" s="47">
        <v>1</v>
      </c>
      <c r="D94" s="47">
        <v>1</v>
      </c>
      <c r="E94" s="42" t="s">
        <v>72</v>
      </c>
      <c r="F94" s="42" t="s">
        <v>128</v>
      </c>
      <c r="G94" s="67">
        <v>191.8</v>
      </c>
      <c r="H94" s="68">
        <f>G94*C94</f>
        <v>191.8</v>
      </c>
      <c r="I94" s="123">
        <f t="shared" si="4"/>
        <v>28.77</v>
      </c>
      <c r="J94" s="123">
        <f t="shared" si="5"/>
        <v>220.57000000000002</v>
      </c>
      <c r="K94" s="196">
        <f>SUM(J94)</f>
        <v>220.57000000000002</v>
      </c>
      <c r="L94" s="196"/>
      <c r="M94" s="196"/>
    </row>
    <row r="95" spans="1:13" x14ac:dyDescent="0.25">
      <c r="A95" s="265">
        <v>46021</v>
      </c>
      <c r="B95" s="237" t="s">
        <v>73</v>
      </c>
      <c r="C95" s="62">
        <v>1</v>
      </c>
      <c r="D95" s="62">
        <v>1</v>
      </c>
      <c r="E95" s="87" t="s">
        <v>74</v>
      </c>
      <c r="F95" s="95" t="s">
        <v>129</v>
      </c>
      <c r="G95" s="96">
        <v>1.3913</v>
      </c>
      <c r="H95" s="90">
        <f t="shared" si="3"/>
        <v>1.3913</v>
      </c>
      <c r="I95" s="58">
        <f t="shared" si="4"/>
        <v>0.20869499999999999</v>
      </c>
      <c r="J95" s="58">
        <f t="shared" si="5"/>
        <v>1.5999950000000001</v>
      </c>
      <c r="K95" s="250">
        <f>SUM(J95:J101)</f>
        <v>28.300235000000001</v>
      </c>
      <c r="L95" s="250">
        <v>64.3</v>
      </c>
      <c r="M95" s="253" t="s">
        <v>521</v>
      </c>
    </row>
    <row r="96" spans="1:13" x14ac:dyDescent="0.25">
      <c r="A96" s="266"/>
      <c r="B96" s="241"/>
      <c r="C96" s="48">
        <v>3</v>
      </c>
      <c r="D96" s="48">
        <v>3</v>
      </c>
      <c r="E96" s="54" t="s">
        <v>130</v>
      </c>
      <c r="F96" s="41" t="s">
        <v>129</v>
      </c>
      <c r="G96" s="66">
        <v>0.82609999999999995</v>
      </c>
      <c r="H96" s="65">
        <f t="shared" si="3"/>
        <v>2.4782999999999999</v>
      </c>
      <c r="I96" s="59">
        <f t="shared" si="4"/>
        <v>0.37174499999999999</v>
      </c>
      <c r="J96" s="59">
        <f t="shared" si="5"/>
        <v>2.8500449999999997</v>
      </c>
      <c r="K96" s="251"/>
      <c r="L96" s="251"/>
      <c r="M96" s="251"/>
    </row>
    <row r="97" spans="1:13" x14ac:dyDescent="0.25">
      <c r="A97" s="266"/>
      <c r="B97" s="241"/>
      <c r="C97" s="48">
        <v>3</v>
      </c>
      <c r="D97" s="48">
        <v>3</v>
      </c>
      <c r="E97" s="54" t="s">
        <v>75</v>
      </c>
      <c r="F97" s="41" t="s">
        <v>129</v>
      </c>
      <c r="G97" s="66">
        <v>1.0435000000000001</v>
      </c>
      <c r="H97" s="65">
        <f t="shared" si="3"/>
        <v>3.1305000000000005</v>
      </c>
      <c r="I97" s="59">
        <f t="shared" si="4"/>
        <v>0.46957500000000008</v>
      </c>
      <c r="J97" s="59">
        <f t="shared" si="5"/>
        <v>3.6000750000000004</v>
      </c>
      <c r="K97" s="251"/>
      <c r="L97" s="251"/>
      <c r="M97" s="251"/>
    </row>
    <row r="98" spans="1:13" x14ac:dyDescent="0.25">
      <c r="A98" s="266"/>
      <c r="B98" s="241"/>
      <c r="C98" s="48">
        <v>3</v>
      </c>
      <c r="D98" s="48">
        <v>3</v>
      </c>
      <c r="E98" s="54" t="s">
        <v>45</v>
      </c>
      <c r="F98" s="41" t="s">
        <v>35</v>
      </c>
      <c r="G98" s="66">
        <v>0.26090000000000002</v>
      </c>
      <c r="H98" s="65">
        <f t="shared" si="3"/>
        <v>0.78270000000000006</v>
      </c>
      <c r="I98" s="59">
        <f t="shared" si="4"/>
        <v>0.11740500000000001</v>
      </c>
      <c r="J98" s="59">
        <f t="shared" si="5"/>
        <v>0.90010500000000004</v>
      </c>
      <c r="K98" s="251"/>
      <c r="L98" s="251"/>
      <c r="M98" s="251"/>
    </row>
    <row r="99" spans="1:13" x14ac:dyDescent="0.25">
      <c r="A99" s="266"/>
      <c r="B99" s="241"/>
      <c r="C99" s="48">
        <v>3</v>
      </c>
      <c r="D99" s="48">
        <v>3</v>
      </c>
      <c r="E99" s="54" t="s">
        <v>32</v>
      </c>
      <c r="F99" s="41" t="s">
        <v>35</v>
      </c>
      <c r="G99" s="66">
        <v>1.4348000000000001</v>
      </c>
      <c r="H99" s="65">
        <f t="shared" si="3"/>
        <v>4.3044000000000002</v>
      </c>
      <c r="I99" s="59">
        <f t="shared" si="4"/>
        <v>0.64566000000000001</v>
      </c>
      <c r="J99" s="59">
        <f t="shared" si="5"/>
        <v>4.9500600000000006</v>
      </c>
      <c r="K99" s="251"/>
      <c r="L99" s="251"/>
      <c r="M99" s="251"/>
    </row>
    <row r="100" spans="1:13" x14ac:dyDescent="0.25">
      <c r="A100" s="266"/>
      <c r="B100" s="241"/>
      <c r="C100" s="48">
        <v>3</v>
      </c>
      <c r="D100" s="48">
        <v>3</v>
      </c>
      <c r="E100" s="54" t="s">
        <v>76</v>
      </c>
      <c r="F100" s="41" t="s">
        <v>35</v>
      </c>
      <c r="G100" s="66">
        <v>3.2174</v>
      </c>
      <c r="H100" s="65">
        <f t="shared" si="3"/>
        <v>9.6522000000000006</v>
      </c>
      <c r="I100" s="59">
        <f t="shared" si="4"/>
        <v>1.44783</v>
      </c>
      <c r="J100" s="59">
        <f t="shared" si="5"/>
        <v>11.10003</v>
      </c>
      <c r="K100" s="251"/>
      <c r="L100" s="251"/>
      <c r="M100" s="251"/>
    </row>
    <row r="101" spans="1:13" ht="16.5" thickBot="1" x14ac:dyDescent="0.3">
      <c r="A101" s="267"/>
      <c r="B101" s="238"/>
      <c r="C101" s="64">
        <v>3</v>
      </c>
      <c r="D101" s="64">
        <v>3</v>
      </c>
      <c r="E101" s="91" t="s">
        <v>45</v>
      </c>
      <c r="F101" s="92" t="s">
        <v>35</v>
      </c>
      <c r="G101" s="93">
        <v>0.95650000000000002</v>
      </c>
      <c r="H101" s="94">
        <f t="shared" si="3"/>
        <v>2.8694999999999999</v>
      </c>
      <c r="I101" s="61">
        <f t="shared" si="4"/>
        <v>0.430425</v>
      </c>
      <c r="J101" s="61">
        <f t="shared" si="5"/>
        <v>3.299925</v>
      </c>
      <c r="K101" s="252"/>
      <c r="L101" s="252"/>
      <c r="M101" s="252"/>
    </row>
    <row r="102" spans="1:13" x14ac:dyDescent="0.25">
      <c r="A102" s="258" t="s">
        <v>151</v>
      </c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</row>
    <row r="103" spans="1:13" x14ac:dyDescent="0.25">
      <c r="A103" s="205">
        <v>46023</v>
      </c>
      <c r="B103" s="111" t="s">
        <v>79</v>
      </c>
      <c r="C103" s="112">
        <v>1</v>
      </c>
      <c r="D103" s="112">
        <v>1</v>
      </c>
      <c r="E103" s="116" t="s">
        <v>78</v>
      </c>
      <c r="F103" s="113" t="s">
        <v>128</v>
      </c>
      <c r="G103" s="114">
        <v>0.09</v>
      </c>
      <c r="H103" s="114">
        <f t="shared" si="3"/>
        <v>0.09</v>
      </c>
      <c r="I103" s="115">
        <f t="shared" si="4"/>
        <v>1.35E-2</v>
      </c>
      <c r="J103" s="115">
        <f t="shared" si="5"/>
        <v>0.10349999999999999</v>
      </c>
      <c r="K103" s="195">
        <f>SUM(J103)</f>
        <v>0.10349999999999999</v>
      </c>
      <c r="L103" s="195"/>
      <c r="M103" s="195"/>
    </row>
    <row r="104" spans="1:13" x14ac:dyDescent="0.25">
      <c r="A104" s="205">
        <v>46023</v>
      </c>
      <c r="B104" s="111" t="s">
        <v>80</v>
      </c>
      <c r="C104" s="112">
        <v>1</v>
      </c>
      <c r="D104" s="112">
        <v>1</v>
      </c>
      <c r="E104" s="116" t="s">
        <v>78</v>
      </c>
      <c r="F104" s="113" t="s">
        <v>128</v>
      </c>
      <c r="G104" s="114">
        <v>13.95</v>
      </c>
      <c r="H104" s="114">
        <f t="shared" si="3"/>
        <v>13.95</v>
      </c>
      <c r="I104" s="115">
        <f t="shared" si="4"/>
        <v>2.0924999999999998</v>
      </c>
      <c r="J104" s="115">
        <f t="shared" si="5"/>
        <v>16.0425</v>
      </c>
      <c r="K104" s="195">
        <f t="shared" ref="K104:K106" si="6">SUM(J104)</f>
        <v>16.0425</v>
      </c>
      <c r="L104" s="195"/>
      <c r="M104" s="195"/>
    </row>
    <row r="105" spans="1:13" x14ac:dyDescent="0.25">
      <c r="A105" s="205">
        <v>46024</v>
      </c>
      <c r="B105" s="111" t="s">
        <v>81</v>
      </c>
      <c r="C105" s="112">
        <v>1</v>
      </c>
      <c r="D105" s="112">
        <v>1</v>
      </c>
      <c r="E105" s="116" t="s">
        <v>82</v>
      </c>
      <c r="F105" s="113" t="s">
        <v>128</v>
      </c>
      <c r="G105" s="114">
        <v>1.6</v>
      </c>
      <c r="H105" s="114">
        <f t="shared" si="3"/>
        <v>1.6</v>
      </c>
      <c r="I105" s="115">
        <f t="shared" si="4"/>
        <v>0.24</v>
      </c>
      <c r="J105" s="115">
        <f t="shared" si="5"/>
        <v>1.84</v>
      </c>
      <c r="K105" s="195">
        <f t="shared" si="6"/>
        <v>1.84</v>
      </c>
      <c r="L105" s="195"/>
      <c r="M105" s="195"/>
    </row>
    <row r="106" spans="1:13" ht="16.5" thickBot="1" x14ac:dyDescent="0.3">
      <c r="A106" s="206">
        <v>46024</v>
      </c>
      <c r="B106" s="117" t="s">
        <v>77</v>
      </c>
      <c r="C106" s="118">
        <v>1</v>
      </c>
      <c r="D106" s="118">
        <v>1</v>
      </c>
      <c r="E106" s="119" t="s">
        <v>78</v>
      </c>
      <c r="F106" s="120" t="s">
        <v>128</v>
      </c>
      <c r="G106" s="121">
        <v>1.24</v>
      </c>
      <c r="H106" s="121">
        <f>G106*C106</f>
        <v>1.24</v>
      </c>
      <c r="I106" s="122">
        <f t="shared" si="4"/>
        <v>0.186</v>
      </c>
      <c r="J106" s="122">
        <f t="shared" si="5"/>
        <v>1.4259999999999999</v>
      </c>
      <c r="K106" s="196">
        <f t="shared" si="6"/>
        <v>1.4259999999999999</v>
      </c>
      <c r="L106" s="196"/>
      <c r="M106" s="196"/>
    </row>
    <row r="107" spans="1:13" x14ac:dyDescent="0.25">
      <c r="A107" s="239">
        <v>46024</v>
      </c>
      <c r="B107" s="237" t="s">
        <v>83</v>
      </c>
      <c r="C107" s="62">
        <v>24</v>
      </c>
      <c r="D107" s="62">
        <v>24</v>
      </c>
      <c r="E107" s="87" t="s">
        <v>84</v>
      </c>
      <c r="F107" s="95" t="s">
        <v>128</v>
      </c>
      <c r="G107" s="96">
        <v>0.27173900000000001</v>
      </c>
      <c r="H107" s="90">
        <f t="shared" si="3"/>
        <v>6.5217360000000006</v>
      </c>
      <c r="I107" s="58">
        <f t="shared" si="4"/>
        <v>0.97826040000000003</v>
      </c>
      <c r="J107" s="58">
        <f t="shared" si="5"/>
        <v>7.4999964000000006</v>
      </c>
      <c r="K107" s="221">
        <f>SUM(J107:J108)</f>
        <v>17.499996200000002</v>
      </c>
      <c r="L107" s="221">
        <v>17.5</v>
      </c>
      <c r="M107" s="224" t="s">
        <v>523</v>
      </c>
    </row>
    <row r="108" spans="1:13" ht="16.5" thickBot="1" x14ac:dyDescent="0.3">
      <c r="A108" s="240"/>
      <c r="B108" s="238"/>
      <c r="C108" s="64">
        <v>1</v>
      </c>
      <c r="D108" s="64">
        <v>1</v>
      </c>
      <c r="E108" s="92" t="s">
        <v>85</v>
      </c>
      <c r="F108" s="92" t="s">
        <v>128</v>
      </c>
      <c r="G108" s="93">
        <v>8.6956520000000008</v>
      </c>
      <c r="H108" s="94">
        <f t="shared" si="3"/>
        <v>8.6956520000000008</v>
      </c>
      <c r="I108" s="61">
        <f t="shared" si="4"/>
        <v>1.3043478000000002</v>
      </c>
      <c r="J108" s="61">
        <f t="shared" si="5"/>
        <v>9.9999998000000012</v>
      </c>
      <c r="K108" s="231"/>
      <c r="L108" s="231"/>
      <c r="M108" s="231"/>
    </row>
    <row r="109" spans="1:13" ht="16.149999999999999" customHeight="1" x14ac:dyDescent="0.25">
      <c r="A109" s="239">
        <v>46024</v>
      </c>
      <c r="B109" s="237" t="s">
        <v>87</v>
      </c>
      <c r="C109" s="62">
        <v>3</v>
      </c>
      <c r="D109" s="62">
        <v>3</v>
      </c>
      <c r="E109" s="87" t="s">
        <v>86</v>
      </c>
      <c r="F109" s="95" t="s">
        <v>128</v>
      </c>
      <c r="G109" s="96">
        <v>2.7042999999999999</v>
      </c>
      <c r="H109" s="90">
        <f t="shared" si="3"/>
        <v>8.1128999999999998</v>
      </c>
      <c r="I109" s="58">
        <f t="shared" si="4"/>
        <v>1.2169349999999999</v>
      </c>
      <c r="J109" s="58">
        <f t="shared" si="5"/>
        <v>9.3298349999999992</v>
      </c>
      <c r="K109" s="221">
        <f>SUM(J109:J110)</f>
        <v>15.829864999999998</v>
      </c>
      <c r="L109" s="221"/>
      <c r="M109" s="221"/>
    </row>
    <row r="110" spans="1:13" ht="16.5" thickBot="1" x14ac:dyDescent="0.3">
      <c r="A110" s="240"/>
      <c r="B110" s="238"/>
      <c r="C110" s="64">
        <v>2</v>
      </c>
      <c r="D110" s="64">
        <v>2</v>
      </c>
      <c r="E110" s="91" t="s">
        <v>88</v>
      </c>
      <c r="F110" s="92" t="s">
        <v>128</v>
      </c>
      <c r="G110" s="93">
        <v>2.8260999999999998</v>
      </c>
      <c r="H110" s="94">
        <f t="shared" si="3"/>
        <v>5.6521999999999997</v>
      </c>
      <c r="I110" s="61">
        <f t="shared" si="4"/>
        <v>0.84782999999999997</v>
      </c>
      <c r="J110" s="61">
        <f t="shared" si="5"/>
        <v>6.5000299999999998</v>
      </c>
      <c r="K110" s="231"/>
      <c r="L110" s="231"/>
      <c r="M110" s="231"/>
    </row>
    <row r="111" spans="1:13" ht="32.25" thickBot="1" x14ac:dyDescent="0.3">
      <c r="A111" s="208">
        <v>46024</v>
      </c>
      <c r="B111" s="124" t="s">
        <v>89</v>
      </c>
      <c r="C111" s="125">
        <v>8</v>
      </c>
      <c r="D111" s="125">
        <v>8</v>
      </c>
      <c r="E111" s="126" t="s">
        <v>90</v>
      </c>
      <c r="F111" s="127" t="s">
        <v>128</v>
      </c>
      <c r="G111" s="128">
        <v>2</v>
      </c>
      <c r="H111" s="129">
        <f t="shared" si="3"/>
        <v>16</v>
      </c>
      <c r="I111" s="130">
        <f t="shared" si="4"/>
        <v>2.4</v>
      </c>
      <c r="J111" s="130">
        <f t="shared" si="5"/>
        <v>18.399999999999999</v>
      </c>
      <c r="K111" s="197">
        <f>SUM(J111)</f>
        <v>18.399999999999999</v>
      </c>
      <c r="L111" s="197">
        <v>18.399999999999999</v>
      </c>
      <c r="M111" s="213" t="s">
        <v>522</v>
      </c>
    </row>
    <row r="112" spans="1:13" x14ac:dyDescent="0.25">
      <c r="A112" s="239">
        <v>46024</v>
      </c>
      <c r="B112" s="262" t="s">
        <v>91</v>
      </c>
      <c r="C112" s="62">
        <v>1</v>
      </c>
      <c r="D112" s="62">
        <v>1</v>
      </c>
      <c r="E112" s="87" t="s">
        <v>92</v>
      </c>
      <c r="F112" s="95" t="s">
        <v>128</v>
      </c>
      <c r="G112" s="96">
        <v>56.478261000000003</v>
      </c>
      <c r="H112" s="90">
        <f t="shared" si="3"/>
        <v>56.478261000000003</v>
      </c>
      <c r="I112" s="58">
        <f t="shared" si="4"/>
        <v>8.4717391499999994</v>
      </c>
      <c r="J112" s="58">
        <f t="shared" si="5"/>
        <v>64.950000150000008</v>
      </c>
      <c r="K112" s="221">
        <f>SUM(J112:J118)</f>
        <v>119.86200105000002</v>
      </c>
      <c r="L112" s="221"/>
      <c r="M112" s="221"/>
    </row>
    <row r="113" spans="1:13" x14ac:dyDescent="0.25">
      <c r="A113" s="245"/>
      <c r="B113" s="263"/>
      <c r="C113" s="48">
        <v>1</v>
      </c>
      <c r="D113" s="48">
        <v>1</v>
      </c>
      <c r="E113" s="54" t="s">
        <v>93</v>
      </c>
      <c r="F113" s="41" t="s">
        <v>128</v>
      </c>
      <c r="G113" s="66">
        <v>1.0695650000000001</v>
      </c>
      <c r="H113" s="65">
        <f t="shared" si="3"/>
        <v>1.0695650000000001</v>
      </c>
      <c r="I113" s="59">
        <f t="shared" si="4"/>
        <v>0.16043475000000001</v>
      </c>
      <c r="J113" s="59">
        <f t="shared" si="5"/>
        <v>1.2299997500000002</v>
      </c>
      <c r="K113" s="230"/>
      <c r="L113" s="230"/>
      <c r="M113" s="230"/>
    </row>
    <row r="114" spans="1:13" x14ac:dyDescent="0.25">
      <c r="A114" s="245"/>
      <c r="B114" s="263"/>
      <c r="C114" s="48">
        <v>1</v>
      </c>
      <c r="D114" s="48">
        <v>1</v>
      </c>
      <c r="E114" s="54" t="s">
        <v>94</v>
      </c>
      <c r="F114" s="41" t="s">
        <v>128</v>
      </c>
      <c r="G114" s="66">
        <v>8.2608700000000006</v>
      </c>
      <c r="H114" s="65">
        <f t="shared" si="3"/>
        <v>8.2608700000000006</v>
      </c>
      <c r="I114" s="59">
        <f t="shared" si="4"/>
        <v>1.2391305000000001</v>
      </c>
      <c r="J114" s="59">
        <f t="shared" si="5"/>
        <v>9.5000005000000005</v>
      </c>
      <c r="K114" s="230"/>
      <c r="L114" s="230"/>
      <c r="M114" s="230"/>
    </row>
    <row r="115" spans="1:13" x14ac:dyDescent="0.25">
      <c r="A115" s="245"/>
      <c r="B115" s="263"/>
      <c r="C115" s="48">
        <v>2</v>
      </c>
      <c r="D115" s="48">
        <v>2</v>
      </c>
      <c r="E115" s="54" t="s">
        <v>95</v>
      </c>
      <c r="F115" s="41" t="s">
        <v>128</v>
      </c>
      <c r="G115" s="66">
        <f>4.052174-1.22</f>
        <v>2.8321740000000002</v>
      </c>
      <c r="H115" s="65">
        <v>6.88</v>
      </c>
      <c r="I115" s="59">
        <f t="shared" si="4"/>
        <v>1.032</v>
      </c>
      <c r="J115" s="59">
        <f t="shared" si="5"/>
        <v>7.9119999999999999</v>
      </c>
      <c r="K115" s="230"/>
      <c r="L115" s="230"/>
      <c r="M115" s="230"/>
    </row>
    <row r="116" spans="1:13" x14ac:dyDescent="0.25">
      <c r="A116" s="245"/>
      <c r="B116" s="263"/>
      <c r="C116" s="48">
        <v>2</v>
      </c>
      <c r="D116" s="48">
        <v>2</v>
      </c>
      <c r="E116" s="54" t="s">
        <v>96</v>
      </c>
      <c r="F116" s="41" t="s">
        <v>128</v>
      </c>
      <c r="G116" s="66">
        <v>5.7217390000000004</v>
      </c>
      <c r="H116" s="65">
        <f t="shared" si="3"/>
        <v>11.443478000000001</v>
      </c>
      <c r="I116" s="59">
        <f t="shared" si="4"/>
        <v>1.7165217000000002</v>
      </c>
      <c r="J116" s="59">
        <f t="shared" si="5"/>
        <v>13.1599997</v>
      </c>
      <c r="K116" s="230"/>
      <c r="L116" s="230"/>
      <c r="M116" s="230"/>
    </row>
    <row r="117" spans="1:13" x14ac:dyDescent="0.25">
      <c r="A117" s="245"/>
      <c r="B117" s="263"/>
      <c r="C117" s="48">
        <v>2</v>
      </c>
      <c r="D117" s="48">
        <v>2</v>
      </c>
      <c r="E117" s="54" t="s">
        <v>97</v>
      </c>
      <c r="F117" s="41" t="s">
        <v>128</v>
      </c>
      <c r="G117" s="66">
        <v>6.8608700000000002</v>
      </c>
      <c r="H117" s="65">
        <f t="shared" si="3"/>
        <v>13.72174</v>
      </c>
      <c r="I117" s="59">
        <f t="shared" si="4"/>
        <v>2.0582609999999999</v>
      </c>
      <c r="J117" s="59">
        <f t="shared" si="5"/>
        <v>15.780001</v>
      </c>
      <c r="K117" s="230"/>
      <c r="L117" s="230"/>
      <c r="M117" s="230"/>
    </row>
    <row r="118" spans="1:13" ht="16.5" thickBot="1" x14ac:dyDescent="0.3">
      <c r="A118" s="240"/>
      <c r="B118" s="264"/>
      <c r="C118" s="64">
        <v>1</v>
      </c>
      <c r="D118" s="64">
        <v>1</v>
      </c>
      <c r="E118" s="91" t="s">
        <v>98</v>
      </c>
      <c r="F118" s="92" t="s">
        <v>128</v>
      </c>
      <c r="G118" s="93">
        <v>6.3739129999999999</v>
      </c>
      <c r="H118" s="94">
        <f t="shared" si="3"/>
        <v>6.3739129999999999</v>
      </c>
      <c r="I118" s="61">
        <f t="shared" si="4"/>
        <v>0.95608694999999999</v>
      </c>
      <c r="J118" s="61">
        <f t="shared" si="5"/>
        <v>7.3299999499999995</v>
      </c>
      <c r="K118" s="231"/>
      <c r="L118" s="231"/>
      <c r="M118" s="231"/>
    </row>
    <row r="119" spans="1:13" x14ac:dyDescent="0.25">
      <c r="A119" s="265">
        <v>46025</v>
      </c>
      <c r="B119" s="237" t="s">
        <v>99</v>
      </c>
      <c r="C119" s="62">
        <v>1</v>
      </c>
      <c r="D119" s="62">
        <v>1</v>
      </c>
      <c r="E119" s="87" t="s">
        <v>100</v>
      </c>
      <c r="F119" s="95" t="s">
        <v>128</v>
      </c>
      <c r="G119" s="96">
        <v>0.45169999999999999</v>
      </c>
      <c r="H119" s="90">
        <f t="shared" si="3"/>
        <v>0.45169999999999999</v>
      </c>
      <c r="I119" s="58">
        <f t="shared" si="4"/>
        <v>6.7754999999999996E-2</v>
      </c>
      <c r="J119" s="58">
        <f t="shared" si="5"/>
        <v>0.519455</v>
      </c>
      <c r="K119" s="246">
        <f>SUM(J119:J131)</f>
        <v>23.635605000000002</v>
      </c>
      <c r="L119" s="246">
        <v>23.64</v>
      </c>
      <c r="M119" s="246" t="s">
        <v>524</v>
      </c>
    </row>
    <row r="120" spans="1:13" x14ac:dyDescent="0.25">
      <c r="A120" s="266"/>
      <c r="B120" s="241"/>
      <c r="C120" s="48">
        <v>6</v>
      </c>
      <c r="D120" s="48">
        <v>6</v>
      </c>
      <c r="E120" s="54" t="s">
        <v>101</v>
      </c>
      <c r="F120" s="41" t="s">
        <v>128</v>
      </c>
      <c r="G120" s="66">
        <v>0.1198</v>
      </c>
      <c r="H120" s="65">
        <f t="shared" si="3"/>
        <v>0.71879999999999999</v>
      </c>
      <c r="I120" s="59">
        <f t="shared" si="4"/>
        <v>0.10782</v>
      </c>
      <c r="J120" s="59">
        <f t="shared" si="5"/>
        <v>0.82662000000000002</v>
      </c>
      <c r="K120" s="247"/>
      <c r="L120" s="247"/>
      <c r="M120" s="247"/>
    </row>
    <row r="121" spans="1:13" x14ac:dyDescent="0.25">
      <c r="A121" s="266"/>
      <c r="B121" s="241"/>
      <c r="C121" s="48">
        <v>1</v>
      </c>
      <c r="D121" s="48">
        <v>1</v>
      </c>
      <c r="E121" s="54" t="s">
        <v>102</v>
      </c>
      <c r="F121" s="41" t="s">
        <v>128</v>
      </c>
      <c r="G121" s="66">
        <v>0.91300000000000003</v>
      </c>
      <c r="H121" s="65">
        <f t="shared" si="3"/>
        <v>0.91300000000000003</v>
      </c>
      <c r="I121" s="59">
        <f t="shared" si="4"/>
        <v>0.13694999999999999</v>
      </c>
      <c r="J121" s="59">
        <f t="shared" si="5"/>
        <v>1.0499499999999999</v>
      </c>
      <c r="K121" s="247"/>
      <c r="L121" s="247"/>
      <c r="M121" s="247"/>
    </row>
    <row r="122" spans="1:13" x14ac:dyDescent="0.25">
      <c r="A122" s="266"/>
      <c r="B122" s="241"/>
      <c r="C122" s="48">
        <v>1</v>
      </c>
      <c r="D122" s="48">
        <v>1</v>
      </c>
      <c r="E122" s="54" t="s">
        <v>103</v>
      </c>
      <c r="F122" s="41" t="s">
        <v>128</v>
      </c>
      <c r="G122" s="66">
        <v>0.39129999999999998</v>
      </c>
      <c r="H122" s="65">
        <f t="shared" si="3"/>
        <v>0.39129999999999998</v>
      </c>
      <c r="I122" s="59">
        <f t="shared" si="4"/>
        <v>5.8694999999999997E-2</v>
      </c>
      <c r="J122" s="59">
        <f t="shared" si="5"/>
        <v>0.44999499999999998</v>
      </c>
      <c r="K122" s="247"/>
      <c r="L122" s="247"/>
      <c r="M122" s="247"/>
    </row>
    <row r="123" spans="1:13" x14ac:dyDescent="0.25">
      <c r="A123" s="266"/>
      <c r="B123" s="241"/>
      <c r="C123" s="48">
        <v>1</v>
      </c>
      <c r="D123" s="48">
        <v>1</v>
      </c>
      <c r="E123" s="54" t="s">
        <v>104</v>
      </c>
      <c r="F123" s="41" t="s">
        <v>128</v>
      </c>
      <c r="G123" s="66">
        <v>0.30430000000000001</v>
      </c>
      <c r="H123" s="65">
        <f t="shared" si="3"/>
        <v>0.30430000000000001</v>
      </c>
      <c r="I123" s="59">
        <f t="shared" si="4"/>
        <v>4.5644999999999998E-2</v>
      </c>
      <c r="J123" s="59">
        <f t="shared" si="5"/>
        <v>0.34994500000000001</v>
      </c>
      <c r="K123" s="247"/>
      <c r="L123" s="247"/>
      <c r="M123" s="247"/>
    </row>
    <row r="124" spans="1:13" x14ac:dyDescent="0.25">
      <c r="A124" s="266"/>
      <c r="B124" s="241"/>
      <c r="C124" s="48">
        <v>1</v>
      </c>
      <c r="D124" s="48">
        <v>1</v>
      </c>
      <c r="E124" s="54" t="s">
        <v>105</v>
      </c>
      <c r="F124" s="41" t="s">
        <v>128</v>
      </c>
      <c r="G124" s="66">
        <v>1.3355999999999999</v>
      </c>
      <c r="H124" s="65">
        <f t="shared" si="3"/>
        <v>1.3355999999999999</v>
      </c>
      <c r="I124" s="59">
        <f t="shared" si="4"/>
        <v>0.20033999999999999</v>
      </c>
      <c r="J124" s="59">
        <f t="shared" si="5"/>
        <v>1.5359399999999999</v>
      </c>
      <c r="K124" s="247"/>
      <c r="L124" s="247"/>
      <c r="M124" s="247"/>
    </row>
    <row r="125" spans="1:13" x14ac:dyDescent="0.25">
      <c r="A125" s="266"/>
      <c r="B125" s="241"/>
      <c r="C125" s="48">
        <v>1</v>
      </c>
      <c r="D125" s="48">
        <v>1</v>
      </c>
      <c r="E125" s="54" t="s">
        <v>106</v>
      </c>
      <c r="F125" s="41" t="s">
        <v>128</v>
      </c>
      <c r="G125" s="66">
        <v>0.26090000000000002</v>
      </c>
      <c r="H125" s="65">
        <f t="shared" si="3"/>
        <v>0.26090000000000002</v>
      </c>
      <c r="I125" s="59">
        <f t="shared" si="4"/>
        <v>3.9135000000000003E-2</v>
      </c>
      <c r="J125" s="59">
        <f t="shared" si="5"/>
        <v>0.30003500000000005</v>
      </c>
      <c r="K125" s="247"/>
      <c r="L125" s="247"/>
      <c r="M125" s="247"/>
    </row>
    <row r="126" spans="1:13" x14ac:dyDescent="0.25">
      <c r="A126" s="266"/>
      <c r="B126" s="241"/>
      <c r="C126" s="48">
        <v>1</v>
      </c>
      <c r="D126" s="48">
        <v>1</v>
      </c>
      <c r="E126" s="54" t="s">
        <v>107</v>
      </c>
      <c r="F126" s="41" t="s">
        <v>128</v>
      </c>
      <c r="G126" s="66">
        <v>3.4348000000000001</v>
      </c>
      <c r="H126" s="65">
        <f t="shared" si="3"/>
        <v>3.4348000000000001</v>
      </c>
      <c r="I126" s="59">
        <f t="shared" si="4"/>
        <v>0.51522000000000001</v>
      </c>
      <c r="J126" s="59">
        <f t="shared" si="5"/>
        <v>3.9500200000000003</v>
      </c>
      <c r="K126" s="247"/>
      <c r="L126" s="247"/>
      <c r="M126" s="247"/>
    </row>
    <row r="127" spans="1:13" x14ac:dyDescent="0.25">
      <c r="A127" s="266"/>
      <c r="B127" s="241"/>
      <c r="C127" s="48">
        <v>1</v>
      </c>
      <c r="D127" s="48">
        <v>1</v>
      </c>
      <c r="E127" s="41" t="s">
        <v>108</v>
      </c>
      <c r="F127" s="41" t="s">
        <v>128</v>
      </c>
      <c r="G127" s="66">
        <v>0.3226</v>
      </c>
      <c r="H127" s="65">
        <f t="shared" si="3"/>
        <v>0.3226</v>
      </c>
      <c r="I127" s="59">
        <f t="shared" si="4"/>
        <v>4.8389999999999996E-2</v>
      </c>
      <c r="J127" s="59">
        <f t="shared" si="5"/>
        <v>0.37098999999999999</v>
      </c>
      <c r="K127" s="247"/>
      <c r="L127" s="247"/>
      <c r="M127" s="247"/>
    </row>
    <row r="128" spans="1:13" x14ac:dyDescent="0.25">
      <c r="A128" s="266"/>
      <c r="B128" s="241"/>
      <c r="C128" s="48">
        <v>1</v>
      </c>
      <c r="D128" s="48">
        <v>1</v>
      </c>
      <c r="E128" s="54" t="s">
        <v>109</v>
      </c>
      <c r="F128" s="41" t="s">
        <v>128</v>
      </c>
      <c r="G128" s="66">
        <v>4.0434999999999999</v>
      </c>
      <c r="H128" s="65">
        <f t="shared" si="3"/>
        <v>4.0434999999999999</v>
      </c>
      <c r="I128" s="59">
        <f t="shared" si="4"/>
        <v>0.60652499999999998</v>
      </c>
      <c r="J128" s="59">
        <f t="shared" si="5"/>
        <v>4.6500249999999994</v>
      </c>
      <c r="K128" s="247"/>
      <c r="L128" s="247"/>
      <c r="M128" s="247"/>
    </row>
    <row r="129" spans="1:13" x14ac:dyDescent="0.25">
      <c r="A129" s="266"/>
      <c r="B129" s="241"/>
      <c r="C129" s="48">
        <v>1</v>
      </c>
      <c r="D129" s="48">
        <v>1</v>
      </c>
      <c r="E129" s="54" t="s">
        <v>110</v>
      </c>
      <c r="F129" s="41" t="s">
        <v>128</v>
      </c>
      <c r="G129" s="66">
        <v>0.43480000000000002</v>
      </c>
      <c r="H129" s="65">
        <f t="shared" si="3"/>
        <v>0.43480000000000002</v>
      </c>
      <c r="I129" s="59">
        <f t="shared" si="4"/>
        <v>6.522E-2</v>
      </c>
      <c r="J129" s="59">
        <f t="shared" si="5"/>
        <v>0.50002000000000002</v>
      </c>
      <c r="K129" s="247"/>
      <c r="L129" s="247"/>
      <c r="M129" s="247"/>
    </row>
    <row r="130" spans="1:13" x14ac:dyDescent="0.25">
      <c r="A130" s="266"/>
      <c r="B130" s="241"/>
      <c r="C130" s="48">
        <v>1</v>
      </c>
      <c r="D130" s="48">
        <v>1</v>
      </c>
      <c r="E130" s="54" t="s">
        <v>111</v>
      </c>
      <c r="F130" s="41" t="s">
        <v>128</v>
      </c>
      <c r="G130" s="66">
        <v>1.4197</v>
      </c>
      <c r="H130" s="65">
        <f t="shared" si="3"/>
        <v>1.4197</v>
      </c>
      <c r="I130" s="59">
        <f t="shared" si="4"/>
        <v>0.21295499999999998</v>
      </c>
      <c r="J130" s="59">
        <f t="shared" si="5"/>
        <v>1.632655</v>
      </c>
      <c r="K130" s="247"/>
      <c r="L130" s="247"/>
      <c r="M130" s="247"/>
    </row>
    <row r="131" spans="1:13" ht="16.5" thickBot="1" x14ac:dyDescent="0.3">
      <c r="A131" s="267"/>
      <c r="B131" s="238"/>
      <c r="C131" s="64">
        <v>1</v>
      </c>
      <c r="D131" s="64">
        <v>1</v>
      </c>
      <c r="E131" s="91" t="s">
        <v>112</v>
      </c>
      <c r="F131" s="92" t="s">
        <v>128</v>
      </c>
      <c r="G131" s="93">
        <v>6.5217000000000001</v>
      </c>
      <c r="H131" s="94">
        <f t="shared" si="3"/>
        <v>6.5217000000000001</v>
      </c>
      <c r="I131" s="61">
        <f t="shared" ref="I131:I194" si="7">H131*0.15</f>
        <v>0.97825499999999999</v>
      </c>
      <c r="J131" s="61">
        <f t="shared" ref="J131:J194" si="8">H131+I131</f>
        <v>7.4999549999999999</v>
      </c>
      <c r="K131" s="248"/>
      <c r="L131" s="248"/>
      <c r="M131" s="248"/>
    </row>
    <row r="132" spans="1:13" ht="16.5" thickBot="1" x14ac:dyDescent="0.3">
      <c r="A132" s="208">
        <v>46032</v>
      </c>
      <c r="B132" s="124" t="s">
        <v>114</v>
      </c>
      <c r="C132" s="125">
        <v>1</v>
      </c>
      <c r="D132" s="125">
        <v>1</v>
      </c>
      <c r="E132" s="126" t="s">
        <v>113</v>
      </c>
      <c r="F132" s="127" t="s">
        <v>128</v>
      </c>
      <c r="G132" s="128">
        <v>1.61</v>
      </c>
      <c r="H132" s="129">
        <f t="shared" si="3"/>
        <v>1.61</v>
      </c>
      <c r="I132" s="130">
        <f t="shared" si="7"/>
        <v>0.24149999999999999</v>
      </c>
      <c r="J132" s="130">
        <f t="shared" si="8"/>
        <v>1.8515000000000001</v>
      </c>
      <c r="K132" s="198">
        <f>SUM(J132)</f>
        <v>1.8515000000000001</v>
      </c>
      <c r="L132" s="198"/>
      <c r="M132" s="198"/>
    </row>
    <row r="133" spans="1:13" x14ac:dyDescent="0.25">
      <c r="A133" s="239">
        <v>46036</v>
      </c>
      <c r="B133" s="237" t="s">
        <v>115</v>
      </c>
      <c r="C133" s="62">
        <v>1</v>
      </c>
      <c r="D133" s="62">
        <v>1</v>
      </c>
      <c r="E133" s="87" t="s">
        <v>116</v>
      </c>
      <c r="F133" s="95" t="s">
        <v>35</v>
      </c>
      <c r="G133" s="96">
        <v>0.87</v>
      </c>
      <c r="H133" s="90">
        <f t="shared" si="3"/>
        <v>0.87</v>
      </c>
      <c r="I133" s="58">
        <f t="shared" si="7"/>
        <v>0.1305</v>
      </c>
      <c r="J133" s="58">
        <f t="shared" si="8"/>
        <v>1.0004999999999999</v>
      </c>
      <c r="K133" s="227">
        <f>SUM(J133:J135)</f>
        <v>16.881999999999998</v>
      </c>
      <c r="L133" s="227">
        <v>16.899999999999999</v>
      </c>
      <c r="M133" s="249" t="s">
        <v>525</v>
      </c>
    </row>
    <row r="134" spans="1:13" x14ac:dyDescent="0.25">
      <c r="A134" s="245"/>
      <c r="B134" s="241"/>
      <c r="C134" s="48">
        <v>1</v>
      </c>
      <c r="D134" s="48">
        <v>1</v>
      </c>
      <c r="E134" s="54" t="s">
        <v>42</v>
      </c>
      <c r="F134" s="41" t="s">
        <v>35</v>
      </c>
      <c r="G134" s="66">
        <v>1.3</v>
      </c>
      <c r="H134" s="65">
        <f>G134*C134</f>
        <v>1.3</v>
      </c>
      <c r="I134" s="59">
        <f t="shared" si="7"/>
        <v>0.19500000000000001</v>
      </c>
      <c r="J134" s="59">
        <f t="shared" si="8"/>
        <v>1.4950000000000001</v>
      </c>
      <c r="K134" s="228"/>
      <c r="L134" s="228"/>
      <c r="M134" s="228"/>
    </row>
    <row r="135" spans="1:13" ht="16.5" thickBot="1" x14ac:dyDescent="0.3">
      <c r="A135" s="240"/>
      <c r="B135" s="238"/>
      <c r="C135" s="64">
        <v>3</v>
      </c>
      <c r="D135" s="64">
        <v>3</v>
      </c>
      <c r="E135" s="92" t="s">
        <v>39</v>
      </c>
      <c r="F135" s="92" t="s">
        <v>35</v>
      </c>
      <c r="G135" s="93">
        <v>4.17</v>
      </c>
      <c r="H135" s="94">
        <f>G135*C135</f>
        <v>12.51</v>
      </c>
      <c r="I135" s="61">
        <f t="shared" si="7"/>
        <v>1.8764999999999998</v>
      </c>
      <c r="J135" s="61">
        <f t="shared" si="8"/>
        <v>14.3865</v>
      </c>
      <c r="K135" s="229"/>
      <c r="L135" s="229"/>
      <c r="M135" s="229"/>
    </row>
    <row r="136" spans="1:13" x14ac:dyDescent="0.25">
      <c r="A136" s="242">
        <v>46027</v>
      </c>
      <c r="B136" s="237" t="s">
        <v>117</v>
      </c>
      <c r="C136" s="62">
        <v>1</v>
      </c>
      <c r="D136" s="62">
        <v>1</v>
      </c>
      <c r="E136" s="87" t="s">
        <v>118</v>
      </c>
      <c r="F136" s="95" t="s">
        <v>128</v>
      </c>
      <c r="G136" s="96">
        <v>7.5</v>
      </c>
      <c r="H136" s="90">
        <f t="shared" ref="H136:H149" si="9">G136*C136</f>
        <v>7.5</v>
      </c>
      <c r="I136" s="58">
        <f t="shared" si="7"/>
        <v>1.125</v>
      </c>
      <c r="J136" s="58">
        <f t="shared" si="8"/>
        <v>8.625</v>
      </c>
      <c r="K136" s="227">
        <f>SUM(J136:J139)</f>
        <v>23</v>
      </c>
      <c r="L136" s="227"/>
      <c r="M136" s="227"/>
    </row>
    <row r="137" spans="1:13" x14ac:dyDescent="0.25">
      <c r="A137" s="243"/>
      <c r="B137" s="241"/>
      <c r="C137" s="48">
        <v>1</v>
      </c>
      <c r="D137" s="48">
        <v>1</v>
      </c>
      <c r="E137" s="54" t="s">
        <v>49</v>
      </c>
      <c r="F137" s="41" t="s">
        <v>128</v>
      </c>
      <c r="G137" s="66">
        <v>4.75</v>
      </c>
      <c r="H137" s="65">
        <f t="shared" si="9"/>
        <v>4.75</v>
      </c>
      <c r="I137" s="59">
        <f t="shared" si="7"/>
        <v>0.71250000000000002</v>
      </c>
      <c r="J137" s="59">
        <f t="shared" si="8"/>
        <v>5.4625000000000004</v>
      </c>
      <c r="K137" s="228"/>
      <c r="L137" s="228"/>
      <c r="M137" s="228"/>
    </row>
    <row r="138" spans="1:13" x14ac:dyDescent="0.25">
      <c r="A138" s="243"/>
      <c r="B138" s="241"/>
      <c r="C138" s="48">
        <v>1</v>
      </c>
      <c r="D138" s="48">
        <v>1</v>
      </c>
      <c r="E138" s="54" t="s">
        <v>50</v>
      </c>
      <c r="F138" s="41" t="s">
        <v>128</v>
      </c>
      <c r="G138" s="66">
        <v>3.75</v>
      </c>
      <c r="H138" s="65">
        <f t="shared" si="9"/>
        <v>3.75</v>
      </c>
      <c r="I138" s="59">
        <f t="shared" si="7"/>
        <v>0.5625</v>
      </c>
      <c r="J138" s="59">
        <f t="shared" si="8"/>
        <v>4.3125</v>
      </c>
      <c r="K138" s="228"/>
      <c r="L138" s="228"/>
      <c r="M138" s="228"/>
    </row>
    <row r="139" spans="1:13" ht="16.5" thickBot="1" x14ac:dyDescent="0.3">
      <c r="A139" s="244"/>
      <c r="B139" s="238"/>
      <c r="C139" s="64">
        <v>1</v>
      </c>
      <c r="D139" s="64">
        <v>1</v>
      </c>
      <c r="E139" s="91" t="s">
        <v>51</v>
      </c>
      <c r="F139" s="92" t="s">
        <v>128</v>
      </c>
      <c r="G139" s="93">
        <v>4</v>
      </c>
      <c r="H139" s="94">
        <f t="shared" si="9"/>
        <v>4</v>
      </c>
      <c r="I139" s="61">
        <f t="shared" si="7"/>
        <v>0.6</v>
      </c>
      <c r="J139" s="61">
        <f t="shared" si="8"/>
        <v>4.5999999999999996</v>
      </c>
      <c r="K139" s="229"/>
      <c r="L139" s="229"/>
      <c r="M139" s="229"/>
    </row>
    <row r="140" spans="1:13" ht="16.5" thickBot="1" x14ac:dyDescent="0.3">
      <c r="A140" s="208">
        <v>46050</v>
      </c>
      <c r="B140" s="124" t="s">
        <v>119</v>
      </c>
      <c r="C140" s="125">
        <v>1</v>
      </c>
      <c r="D140" s="125">
        <v>1</v>
      </c>
      <c r="E140" s="127" t="s">
        <v>120</v>
      </c>
      <c r="F140" s="127" t="s">
        <v>128</v>
      </c>
      <c r="G140" s="128">
        <f>162.39+21.65</f>
        <v>184.04</v>
      </c>
      <c r="H140" s="129">
        <f t="shared" si="9"/>
        <v>184.04</v>
      </c>
      <c r="I140" s="130">
        <f t="shared" si="7"/>
        <v>27.605999999999998</v>
      </c>
      <c r="J140" s="130">
        <f t="shared" si="8"/>
        <v>211.64599999999999</v>
      </c>
      <c r="K140" s="198">
        <f>SUM(J140)</f>
        <v>211.64599999999999</v>
      </c>
      <c r="L140" s="198"/>
      <c r="M140" s="198"/>
    </row>
    <row r="141" spans="1:13" x14ac:dyDescent="0.25">
      <c r="A141" s="239">
        <v>46050</v>
      </c>
      <c r="B141" s="237" t="s">
        <v>121</v>
      </c>
      <c r="C141" s="62">
        <v>40</v>
      </c>
      <c r="D141" s="62">
        <v>40</v>
      </c>
      <c r="E141" s="95" t="s">
        <v>122</v>
      </c>
      <c r="F141" s="95" t="s">
        <v>35</v>
      </c>
      <c r="G141" s="96">
        <v>0.22</v>
      </c>
      <c r="H141" s="90">
        <f t="shared" si="9"/>
        <v>8.8000000000000007</v>
      </c>
      <c r="I141" s="58">
        <f t="shared" si="7"/>
        <v>1.32</v>
      </c>
      <c r="J141" s="58">
        <f t="shared" si="8"/>
        <v>10.120000000000001</v>
      </c>
      <c r="K141" s="227">
        <f>SUM(J141:J143)</f>
        <v>23.023000000000003</v>
      </c>
      <c r="L141" s="227"/>
      <c r="M141" s="227"/>
    </row>
    <row r="142" spans="1:13" x14ac:dyDescent="0.25">
      <c r="A142" s="245"/>
      <c r="B142" s="241"/>
      <c r="C142" s="48">
        <v>3</v>
      </c>
      <c r="D142" s="48">
        <v>3</v>
      </c>
      <c r="E142" s="54" t="s">
        <v>123</v>
      </c>
      <c r="F142" s="41" t="s">
        <v>35</v>
      </c>
      <c r="G142" s="66">
        <v>3.13</v>
      </c>
      <c r="H142" s="65">
        <f t="shared" si="9"/>
        <v>9.39</v>
      </c>
      <c r="I142" s="59">
        <f t="shared" si="7"/>
        <v>1.4085000000000001</v>
      </c>
      <c r="J142" s="59">
        <f t="shared" si="8"/>
        <v>10.798500000000001</v>
      </c>
      <c r="K142" s="228"/>
      <c r="L142" s="228"/>
      <c r="M142" s="228"/>
    </row>
    <row r="143" spans="1:13" ht="16.5" thickBot="1" x14ac:dyDescent="0.3">
      <c r="A143" s="240"/>
      <c r="B143" s="238"/>
      <c r="C143" s="64">
        <v>3</v>
      </c>
      <c r="D143" s="64">
        <v>3</v>
      </c>
      <c r="E143" s="91" t="s">
        <v>22</v>
      </c>
      <c r="F143" s="92" t="s">
        <v>35</v>
      </c>
      <c r="G143" s="93">
        <v>0.61</v>
      </c>
      <c r="H143" s="94">
        <f t="shared" si="9"/>
        <v>1.83</v>
      </c>
      <c r="I143" s="61">
        <f t="shared" si="7"/>
        <v>0.27450000000000002</v>
      </c>
      <c r="J143" s="61">
        <f t="shared" si="8"/>
        <v>2.1045000000000003</v>
      </c>
      <c r="K143" s="229"/>
      <c r="L143" s="229"/>
      <c r="M143" s="229"/>
    </row>
    <row r="144" spans="1:13" x14ac:dyDescent="0.25">
      <c r="A144" s="239">
        <v>46050</v>
      </c>
      <c r="B144" s="237" t="s">
        <v>168</v>
      </c>
      <c r="C144" s="62">
        <v>1</v>
      </c>
      <c r="D144" s="62">
        <v>1</v>
      </c>
      <c r="E144" s="95" t="s">
        <v>125</v>
      </c>
      <c r="F144" s="95" t="s">
        <v>128</v>
      </c>
      <c r="G144" s="96">
        <v>3.6</v>
      </c>
      <c r="H144" s="90">
        <f t="shared" si="9"/>
        <v>3.6</v>
      </c>
      <c r="I144" s="58">
        <f t="shared" si="7"/>
        <v>0.54</v>
      </c>
      <c r="J144" s="58">
        <f t="shared" si="8"/>
        <v>4.1400000000000006</v>
      </c>
      <c r="K144" s="227">
        <f>SUM(J144:J145)</f>
        <v>19.3800001</v>
      </c>
      <c r="L144" s="227"/>
      <c r="M144" s="227"/>
    </row>
    <row r="145" spans="1:13" ht="16.5" thickBot="1" x14ac:dyDescent="0.3">
      <c r="A145" s="240"/>
      <c r="B145" s="238"/>
      <c r="C145" s="64">
        <v>1</v>
      </c>
      <c r="D145" s="64">
        <v>1</v>
      </c>
      <c r="E145" s="91" t="s">
        <v>126</v>
      </c>
      <c r="F145" s="92" t="s">
        <v>128</v>
      </c>
      <c r="G145" s="93">
        <v>13.252174</v>
      </c>
      <c r="H145" s="94">
        <f t="shared" si="9"/>
        <v>13.252174</v>
      </c>
      <c r="I145" s="61">
        <f t="shared" si="7"/>
        <v>1.9878260999999999</v>
      </c>
      <c r="J145" s="61">
        <f t="shared" si="8"/>
        <v>15.2400001</v>
      </c>
      <c r="K145" s="229"/>
      <c r="L145" s="229"/>
      <c r="M145" s="229"/>
    </row>
    <row r="146" spans="1:13" x14ac:dyDescent="0.25">
      <c r="A146" s="235" t="s">
        <v>152</v>
      </c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</row>
    <row r="147" spans="1:13" x14ac:dyDescent="0.25">
      <c r="A147" s="205">
        <v>46055</v>
      </c>
      <c r="B147" s="131" t="s">
        <v>394</v>
      </c>
      <c r="C147" s="112">
        <v>1</v>
      </c>
      <c r="D147" s="112">
        <v>1</v>
      </c>
      <c r="E147" s="113" t="s">
        <v>78</v>
      </c>
      <c r="F147" s="113" t="s">
        <v>128</v>
      </c>
      <c r="G147" s="114">
        <v>7.25</v>
      </c>
      <c r="H147" s="114">
        <f t="shared" ref="H147" si="10">G147*C147</f>
        <v>7.25</v>
      </c>
      <c r="I147" s="115">
        <f t="shared" si="7"/>
        <v>1.0874999999999999</v>
      </c>
      <c r="J147" s="115">
        <f t="shared" si="8"/>
        <v>8.3375000000000004</v>
      </c>
      <c r="K147" s="195">
        <f>SUM(J147)</f>
        <v>8.3375000000000004</v>
      </c>
      <c r="L147" s="195"/>
      <c r="M147" s="195"/>
    </row>
    <row r="148" spans="1:13" x14ac:dyDescent="0.25">
      <c r="A148" s="205">
        <v>46055</v>
      </c>
      <c r="B148" s="131" t="s">
        <v>336</v>
      </c>
      <c r="C148" s="112">
        <v>1</v>
      </c>
      <c r="D148" s="112">
        <v>1</v>
      </c>
      <c r="E148" s="113" t="s">
        <v>78</v>
      </c>
      <c r="F148" s="113" t="s">
        <v>128</v>
      </c>
      <c r="G148" s="114">
        <v>10.37</v>
      </c>
      <c r="H148" s="114">
        <f t="shared" si="9"/>
        <v>10.37</v>
      </c>
      <c r="I148" s="115">
        <f t="shared" si="7"/>
        <v>1.5554999999999999</v>
      </c>
      <c r="J148" s="115">
        <f t="shared" si="8"/>
        <v>11.9255</v>
      </c>
      <c r="K148" s="195">
        <f t="shared" ref="K148:K149" si="11">SUM(J148)</f>
        <v>11.9255</v>
      </c>
      <c r="L148" s="195"/>
      <c r="M148" s="195"/>
    </row>
    <row r="149" spans="1:13" ht="16.5" thickBot="1" x14ac:dyDescent="0.3">
      <c r="A149" s="206">
        <v>46055</v>
      </c>
      <c r="B149" s="132" t="s">
        <v>337</v>
      </c>
      <c r="C149" s="118">
        <v>1</v>
      </c>
      <c r="D149" s="118">
        <v>1</v>
      </c>
      <c r="E149" s="120" t="s">
        <v>78</v>
      </c>
      <c r="F149" s="120" t="s">
        <v>128</v>
      </c>
      <c r="G149" s="121">
        <v>4.75</v>
      </c>
      <c r="H149" s="121">
        <f t="shared" si="9"/>
        <v>4.75</v>
      </c>
      <c r="I149" s="122">
        <f t="shared" si="7"/>
        <v>0.71250000000000002</v>
      </c>
      <c r="J149" s="122">
        <f t="shared" si="8"/>
        <v>5.4625000000000004</v>
      </c>
      <c r="K149" s="196">
        <f t="shared" si="11"/>
        <v>5.4625000000000004</v>
      </c>
      <c r="L149" s="196"/>
      <c r="M149" s="196"/>
    </row>
    <row r="150" spans="1:13" x14ac:dyDescent="0.25">
      <c r="A150" s="209">
        <v>46058</v>
      </c>
      <c r="B150" s="56" t="s">
        <v>338</v>
      </c>
      <c r="C150" s="62">
        <v>1</v>
      </c>
      <c r="D150" s="62">
        <v>1</v>
      </c>
      <c r="E150" s="87" t="s">
        <v>118</v>
      </c>
      <c r="F150" s="95" t="s">
        <v>128</v>
      </c>
      <c r="G150" s="96">
        <v>7.5</v>
      </c>
      <c r="H150" s="90">
        <f t="shared" ref="H150:H202" si="12">G150*C150</f>
        <v>7.5</v>
      </c>
      <c r="I150" s="58">
        <f t="shared" si="7"/>
        <v>1.125</v>
      </c>
      <c r="J150" s="58">
        <f t="shared" si="8"/>
        <v>8.625</v>
      </c>
      <c r="K150" s="227">
        <f>SUM(J150:J153)</f>
        <v>23</v>
      </c>
      <c r="L150" s="227"/>
      <c r="M150" s="227"/>
    </row>
    <row r="151" spans="1:13" x14ac:dyDescent="0.25">
      <c r="A151" s="210"/>
      <c r="B151" s="45"/>
      <c r="C151" s="48">
        <v>1</v>
      </c>
      <c r="D151" s="48">
        <v>1</v>
      </c>
      <c r="E151" s="54" t="s">
        <v>49</v>
      </c>
      <c r="F151" s="41" t="s">
        <v>128</v>
      </c>
      <c r="G151" s="66">
        <v>4.75</v>
      </c>
      <c r="H151" s="65">
        <f t="shared" si="12"/>
        <v>4.75</v>
      </c>
      <c r="I151" s="59">
        <f t="shared" si="7"/>
        <v>0.71250000000000002</v>
      </c>
      <c r="J151" s="59">
        <f t="shared" si="8"/>
        <v>5.4625000000000004</v>
      </c>
      <c r="K151" s="228"/>
      <c r="L151" s="228"/>
      <c r="M151" s="228"/>
    </row>
    <row r="152" spans="1:13" x14ac:dyDescent="0.25">
      <c r="A152" s="210"/>
      <c r="B152" s="45"/>
      <c r="C152" s="48">
        <v>1</v>
      </c>
      <c r="D152" s="48">
        <v>1</v>
      </c>
      <c r="E152" s="54" t="s">
        <v>50</v>
      </c>
      <c r="F152" s="41" t="s">
        <v>128</v>
      </c>
      <c r="G152" s="66">
        <v>3.75</v>
      </c>
      <c r="H152" s="65">
        <f t="shared" si="12"/>
        <v>3.75</v>
      </c>
      <c r="I152" s="59">
        <f t="shared" si="7"/>
        <v>0.5625</v>
      </c>
      <c r="J152" s="59">
        <f t="shared" si="8"/>
        <v>4.3125</v>
      </c>
      <c r="K152" s="228"/>
      <c r="L152" s="228"/>
      <c r="M152" s="228"/>
    </row>
    <row r="153" spans="1:13" x14ac:dyDescent="0.25">
      <c r="A153" s="210"/>
      <c r="B153" s="45"/>
      <c r="C153" s="48">
        <v>1</v>
      </c>
      <c r="D153" s="48">
        <v>1</v>
      </c>
      <c r="E153" s="54" t="s">
        <v>51</v>
      </c>
      <c r="F153" s="41" t="s">
        <v>128</v>
      </c>
      <c r="G153" s="66">
        <v>4</v>
      </c>
      <c r="H153" s="65">
        <f t="shared" si="12"/>
        <v>4</v>
      </c>
      <c r="I153" s="59">
        <f t="shared" si="7"/>
        <v>0.6</v>
      </c>
      <c r="J153" s="59">
        <f t="shared" si="8"/>
        <v>4.5999999999999996</v>
      </c>
      <c r="K153" s="228"/>
      <c r="L153" s="228"/>
      <c r="M153" s="228"/>
    </row>
    <row r="154" spans="1:13" ht="16.5" thickBot="1" x14ac:dyDescent="0.3">
      <c r="A154" s="206">
        <v>46062</v>
      </c>
      <c r="B154" s="132" t="s">
        <v>339</v>
      </c>
      <c r="C154" s="118">
        <v>1</v>
      </c>
      <c r="D154" s="118">
        <v>1</v>
      </c>
      <c r="E154" s="134" t="s">
        <v>340</v>
      </c>
      <c r="F154" s="120" t="s">
        <v>128</v>
      </c>
      <c r="G154" s="121">
        <v>1.97</v>
      </c>
      <c r="H154" s="121">
        <f t="shared" si="12"/>
        <v>1.97</v>
      </c>
      <c r="I154" s="122">
        <f t="shared" si="7"/>
        <v>0.29549999999999998</v>
      </c>
      <c r="J154" s="122">
        <f t="shared" si="8"/>
        <v>2.2654999999999998</v>
      </c>
      <c r="K154" s="196">
        <f>SUM(J154)</f>
        <v>2.2654999999999998</v>
      </c>
      <c r="L154" s="196"/>
      <c r="M154" s="196"/>
    </row>
    <row r="155" spans="1:13" x14ac:dyDescent="0.25">
      <c r="A155" s="209">
        <v>46064</v>
      </c>
      <c r="B155" s="56" t="s">
        <v>341</v>
      </c>
      <c r="C155" s="62">
        <v>4</v>
      </c>
      <c r="D155" s="62">
        <v>4</v>
      </c>
      <c r="E155" s="57" t="s">
        <v>34</v>
      </c>
      <c r="F155" s="95" t="s">
        <v>35</v>
      </c>
      <c r="G155" s="96">
        <v>3.52</v>
      </c>
      <c r="H155" s="90">
        <f t="shared" si="12"/>
        <v>14.08</v>
      </c>
      <c r="I155" s="58">
        <f t="shared" si="7"/>
        <v>2.1120000000000001</v>
      </c>
      <c r="J155" s="58">
        <f t="shared" si="8"/>
        <v>16.192</v>
      </c>
      <c r="K155" s="221">
        <f>SUM(J155:J158)</f>
        <v>29.969000000000001</v>
      </c>
      <c r="L155" s="221"/>
      <c r="M155" s="221"/>
    </row>
    <row r="156" spans="1:13" x14ac:dyDescent="0.25">
      <c r="A156" s="210"/>
      <c r="B156" s="45"/>
      <c r="C156" s="48">
        <v>3</v>
      </c>
      <c r="D156" s="48">
        <v>3</v>
      </c>
      <c r="E156" s="40" t="s">
        <v>342</v>
      </c>
      <c r="F156" s="41" t="s">
        <v>396</v>
      </c>
      <c r="G156" s="66">
        <v>2.39</v>
      </c>
      <c r="H156" s="65">
        <f t="shared" si="12"/>
        <v>7.17</v>
      </c>
      <c r="I156" s="59">
        <f t="shared" si="7"/>
        <v>1.0754999999999999</v>
      </c>
      <c r="J156" s="59">
        <f t="shared" si="8"/>
        <v>8.2454999999999998</v>
      </c>
      <c r="K156" s="230"/>
      <c r="L156" s="230"/>
      <c r="M156" s="230"/>
    </row>
    <row r="157" spans="1:13" x14ac:dyDescent="0.25">
      <c r="A157" s="210"/>
      <c r="B157" s="45"/>
      <c r="C157" s="48">
        <v>3</v>
      </c>
      <c r="D157" s="48">
        <v>3</v>
      </c>
      <c r="E157" s="40" t="s">
        <v>39</v>
      </c>
      <c r="F157" s="41" t="s">
        <v>35</v>
      </c>
      <c r="G157" s="66">
        <v>1.17</v>
      </c>
      <c r="H157" s="65">
        <f t="shared" si="12"/>
        <v>3.51</v>
      </c>
      <c r="I157" s="59">
        <f t="shared" si="7"/>
        <v>0.52649999999999997</v>
      </c>
      <c r="J157" s="59">
        <f t="shared" si="8"/>
        <v>4.0365000000000002</v>
      </c>
      <c r="K157" s="230"/>
      <c r="L157" s="230"/>
      <c r="M157" s="230"/>
    </row>
    <row r="158" spans="1:13" x14ac:dyDescent="0.25">
      <c r="A158" s="210"/>
      <c r="B158" s="45"/>
      <c r="C158" s="48">
        <v>1</v>
      </c>
      <c r="D158" s="48">
        <v>1</v>
      </c>
      <c r="E158" s="40" t="s">
        <v>343</v>
      </c>
      <c r="F158" s="41" t="s">
        <v>35</v>
      </c>
      <c r="G158" s="66">
        <v>1.3</v>
      </c>
      <c r="H158" s="65">
        <f t="shared" si="12"/>
        <v>1.3</v>
      </c>
      <c r="I158" s="59">
        <f t="shared" si="7"/>
        <v>0.19500000000000001</v>
      </c>
      <c r="J158" s="59">
        <f t="shared" si="8"/>
        <v>1.4950000000000001</v>
      </c>
      <c r="K158" s="230"/>
      <c r="L158" s="230"/>
      <c r="M158" s="230"/>
    </row>
    <row r="159" spans="1:13" x14ac:dyDescent="0.25">
      <c r="A159" s="205">
        <v>46065</v>
      </c>
      <c r="B159" s="131" t="s">
        <v>344</v>
      </c>
      <c r="C159" s="112">
        <v>1</v>
      </c>
      <c r="D159" s="112">
        <v>1</v>
      </c>
      <c r="E159" s="133" t="s">
        <v>345</v>
      </c>
      <c r="F159" s="113" t="s">
        <v>128</v>
      </c>
      <c r="G159" s="114">
        <v>210</v>
      </c>
      <c r="H159" s="114">
        <f t="shared" si="12"/>
        <v>210</v>
      </c>
      <c r="I159" s="115">
        <f t="shared" si="7"/>
        <v>31.5</v>
      </c>
      <c r="J159" s="115">
        <f t="shared" si="8"/>
        <v>241.5</v>
      </c>
      <c r="K159" s="195">
        <f>SUM(J159)</f>
        <v>241.5</v>
      </c>
      <c r="L159" s="195"/>
      <c r="M159" s="195"/>
    </row>
    <row r="160" spans="1:13" x14ac:dyDescent="0.25">
      <c r="A160" s="205">
        <v>46065</v>
      </c>
      <c r="B160" s="131" t="s">
        <v>346</v>
      </c>
      <c r="C160" s="112">
        <v>1</v>
      </c>
      <c r="D160" s="112">
        <v>1</v>
      </c>
      <c r="E160" s="133" t="s">
        <v>347</v>
      </c>
      <c r="F160" s="113" t="s">
        <v>128</v>
      </c>
      <c r="G160" s="114">
        <v>210</v>
      </c>
      <c r="H160" s="114">
        <f t="shared" si="12"/>
        <v>210</v>
      </c>
      <c r="I160" s="115">
        <f t="shared" si="7"/>
        <v>31.5</v>
      </c>
      <c r="J160" s="115">
        <f t="shared" si="8"/>
        <v>241.5</v>
      </c>
      <c r="K160" s="195">
        <f t="shared" ref="K160:K164" si="13">SUM(J160)</f>
        <v>241.5</v>
      </c>
      <c r="L160" s="195"/>
      <c r="M160" s="195"/>
    </row>
    <row r="161" spans="1:13" x14ac:dyDescent="0.25">
      <c r="A161" s="205">
        <v>46065</v>
      </c>
      <c r="B161" s="131" t="s">
        <v>348</v>
      </c>
      <c r="C161" s="112">
        <v>1</v>
      </c>
      <c r="D161" s="112">
        <v>1</v>
      </c>
      <c r="E161" s="133" t="s">
        <v>349</v>
      </c>
      <c r="F161" s="113" t="s">
        <v>128</v>
      </c>
      <c r="G161" s="114">
        <v>945</v>
      </c>
      <c r="H161" s="114">
        <f t="shared" si="12"/>
        <v>945</v>
      </c>
      <c r="I161" s="115">
        <f t="shared" si="7"/>
        <v>141.75</v>
      </c>
      <c r="J161" s="115">
        <f t="shared" si="8"/>
        <v>1086.75</v>
      </c>
      <c r="K161" s="195">
        <f t="shared" si="13"/>
        <v>1086.75</v>
      </c>
      <c r="L161" s="195"/>
      <c r="M161" s="195"/>
    </row>
    <row r="162" spans="1:13" x14ac:dyDescent="0.25">
      <c r="A162" s="205">
        <v>46065</v>
      </c>
      <c r="B162" s="131" t="s">
        <v>350</v>
      </c>
      <c r="C162" s="112">
        <v>1</v>
      </c>
      <c r="D162" s="112">
        <v>1</v>
      </c>
      <c r="E162" s="133" t="s">
        <v>349</v>
      </c>
      <c r="F162" s="113" t="s">
        <v>128</v>
      </c>
      <c r="G162" s="114">
        <v>945</v>
      </c>
      <c r="H162" s="114">
        <f t="shared" si="12"/>
        <v>945</v>
      </c>
      <c r="I162" s="115">
        <f t="shared" si="7"/>
        <v>141.75</v>
      </c>
      <c r="J162" s="115">
        <f t="shared" si="8"/>
        <v>1086.75</v>
      </c>
      <c r="K162" s="195">
        <f t="shared" si="13"/>
        <v>1086.75</v>
      </c>
      <c r="L162" s="195"/>
      <c r="M162" s="195"/>
    </row>
    <row r="163" spans="1:13" x14ac:dyDescent="0.25">
      <c r="A163" s="205">
        <v>46070</v>
      </c>
      <c r="B163" s="131" t="s">
        <v>351</v>
      </c>
      <c r="C163" s="112">
        <v>1</v>
      </c>
      <c r="D163" s="112">
        <v>1</v>
      </c>
      <c r="E163" s="133" t="s">
        <v>352</v>
      </c>
      <c r="F163" s="113" t="s">
        <v>397</v>
      </c>
      <c r="G163" s="114">
        <v>24.33</v>
      </c>
      <c r="H163" s="114">
        <f t="shared" si="12"/>
        <v>24.33</v>
      </c>
      <c r="I163" s="115">
        <f t="shared" si="7"/>
        <v>3.6494999999999997</v>
      </c>
      <c r="J163" s="115">
        <f t="shared" si="8"/>
        <v>27.979499999999998</v>
      </c>
      <c r="K163" s="195">
        <f t="shared" si="13"/>
        <v>27.979499999999998</v>
      </c>
      <c r="L163" s="195"/>
      <c r="M163" s="195"/>
    </row>
    <row r="164" spans="1:13" ht="16.5" thickBot="1" x14ac:dyDescent="0.3">
      <c r="A164" s="206">
        <v>46070</v>
      </c>
      <c r="B164" s="132" t="s">
        <v>353</v>
      </c>
      <c r="C164" s="118">
        <v>2</v>
      </c>
      <c r="D164" s="118">
        <v>2</v>
      </c>
      <c r="E164" s="134" t="s">
        <v>354</v>
      </c>
      <c r="F164" s="120" t="s">
        <v>398</v>
      </c>
      <c r="G164" s="135">
        <v>3.0434779999999999</v>
      </c>
      <c r="H164" s="121">
        <f t="shared" si="12"/>
        <v>6.0869559999999998</v>
      </c>
      <c r="I164" s="122">
        <f t="shared" si="7"/>
        <v>0.91304339999999995</v>
      </c>
      <c r="J164" s="122">
        <f t="shared" si="8"/>
        <v>6.9999994000000001</v>
      </c>
      <c r="K164" s="196">
        <f t="shared" si="13"/>
        <v>6.9999994000000001</v>
      </c>
      <c r="L164" s="196"/>
      <c r="M164" s="196"/>
    </row>
    <row r="165" spans="1:13" x14ac:dyDescent="0.25">
      <c r="A165" s="209">
        <v>46076</v>
      </c>
      <c r="B165" s="56" t="s">
        <v>355</v>
      </c>
      <c r="C165" s="62">
        <v>3</v>
      </c>
      <c r="D165" s="62">
        <v>3</v>
      </c>
      <c r="E165" s="57" t="s">
        <v>356</v>
      </c>
      <c r="F165" s="95" t="s">
        <v>397</v>
      </c>
      <c r="G165" s="96">
        <v>0.78</v>
      </c>
      <c r="H165" s="90">
        <f t="shared" si="12"/>
        <v>2.34</v>
      </c>
      <c r="I165" s="58">
        <f t="shared" si="7"/>
        <v>0.35099999999999998</v>
      </c>
      <c r="J165" s="58">
        <f t="shared" si="8"/>
        <v>2.6909999999999998</v>
      </c>
      <c r="K165" s="221">
        <f>SUM(J165:J168)</f>
        <v>51.669499999999992</v>
      </c>
      <c r="L165" s="221">
        <v>51.7</v>
      </c>
      <c r="M165" s="224" t="s">
        <v>526</v>
      </c>
    </row>
    <row r="166" spans="1:13" x14ac:dyDescent="0.25">
      <c r="A166" s="210"/>
      <c r="B166" s="45"/>
      <c r="C166" s="48">
        <v>4</v>
      </c>
      <c r="D166" s="48">
        <v>4</v>
      </c>
      <c r="E166" s="40" t="s">
        <v>357</v>
      </c>
      <c r="F166" s="41" t="s">
        <v>35</v>
      </c>
      <c r="G166" s="66">
        <v>4.3</v>
      </c>
      <c r="H166" s="65">
        <f t="shared" si="12"/>
        <v>17.2</v>
      </c>
      <c r="I166" s="59">
        <f t="shared" si="7"/>
        <v>2.5799999999999996</v>
      </c>
      <c r="J166" s="59">
        <f t="shared" si="8"/>
        <v>19.779999999999998</v>
      </c>
      <c r="K166" s="230"/>
      <c r="L166" s="230"/>
      <c r="M166" s="230"/>
    </row>
    <row r="167" spans="1:13" x14ac:dyDescent="0.25">
      <c r="A167" s="210"/>
      <c r="B167" s="45"/>
      <c r="C167" s="48">
        <v>3</v>
      </c>
      <c r="D167" s="48">
        <v>3</v>
      </c>
      <c r="E167" s="40" t="s">
        <v>358</v>
      </c>
      <c r="F167" s="41" t="s">
        <v>35</v>
      </c>
      <c r="G167" s="66">
        <v>4.26</v>
      </c>
      <c r="H167" s="65">
        <f t="shared" si="12"/>
        <v>12.78</v>
      </c>
      <c r="I167" s="59">
        <f t="shared" si="7"/>
        <v>1.9169999999999998</v>
      </c>
      <c r="J167" s="59">
        <f t="shared" si="8"/>
        <v>14.696999999999999</v>
      </c>
      <c r="K167" s="230"/>
      <c r="L167" s="230"/>
      <c r="M167" s="230"/>
    </row>
    <row r="168" spans="1:13" ht="16.5" thickBot="1" x14ac:dyDescent="0.3">
      <c r="A168" s="211"/>
      <c r="B168" s="63"/>
      <c r="C168" s="64">
        <v>1</v>
      </c>
      <c r="D168" s="64">
        <v>1</v>
      </c>
      <c r="E168" s="60" t="s">
        <v>359</v>
      </c>
      <c r="F168" s="92" t="s">
        <v>35</v>
      </c>
      <c r="G168" s="93">
        <v>12.61</v>
      </c>
      <c r="H168" s="94">
        <f t="shared" si="12"/>
        <v>12.61</v>
      </c>
      <c r="I168" s="61">
        <f t="shared" si="7"/>
        <v>1.8914999999999997</v>
      </c>
      <c r="J168" s="61">
        <f t="shared" si="8"/>
        <v>14.5015</v>
      </c>
      <c r="K168" s="231"/>
      <c r="L168" s="231"/>
      <c r="M168" s="231"/>
    </row>
    <row r="169" spans="1:13" x14ac:dyDescent="0.25">
      <c r="A169" s="209">
        <v>46077</v>
      </c>
      <c r="B169" s="56" t="s">
        <v>360</v>
      </c>
      <c r="C169" s="62">
        <v>3</v>
      </c>
      <c r="D169" s="62">
        <v>3</v>
      </c>
      <c r="E169" s="57" t="s">
        <v>361</v>
      </c>
      <c r="F169" s="95" t="s">
        <v>35</v>
      </c>
      <c r="G169" s="96">
        <v>3.13</v>
      </c>
      <c r="H169" s="90">
        <f t="shared" si="12"/>
        <v>9.39</v>
      </c>
      <c r="I169" s="58">
        <f t="shared" si="7"/>
        <v>1.4085000000000001</v>
      </c>
      <c r="J169" s="58">
        <f t="shared" si="8"/>
        <v>10.798500000000001</v>
      </c>
      <c r="K169" s="232">
        <f>SUM(J169:J177)</f>
        <v>149.48850000000002</v>
      </c>
      <c r="L169" s="232"/>
      <c r="M169" s="232"/>
    </row>
    <row r="170" spans="1:13" x14ac:dyDescent="0.25">
      <c r="A170" s="210"/>
      <c r="B170" s="45"/>
      <c r="C170" s="48">
        <v>6</v>
      </c>
      <c r="D170" s="48">
        <v>6</v>
      </c>
      <c r="E170" s="40" t="s">
        <v>41</v>
      </c>
      <c r="F170" s="41" t="s">
        <v>35</v>
      </c>
      <c r="G170" s="66">
        <v>0.43</v>
      </c>
      <c r="H170" s="65">
        <f t="shared" si="12"/>
        <v>2.58</v>
      </c>
      <c r="I170" s="59">
        <f t="shared" si="7"/>
        <v>0.38700000000000001</v>
      </c>
      <c r="J170" s="59">
        <f t="shared" si="8"/>
        <v>2.9670000000000001</v>
      </c>
      <c r="K170" s="233"/>
      <c r="L170" s="233"/>
      <c r="M170" s="233"/>
    </row>
    <row r="171" spans="1:13" x14ac:dyDescent="0.25">
      <c r="A171" s="210"/>
      <c r="B171" s="45"/>
      <c r="C171" s="48">
        <v>1</v>
      </c>
      <c r="D171" s="48">
        <v>1</v>
      </c>
      <c r="E171" s="40" t="s">
        <v>362</v>
      </c>
      <c r="F171" s="41" t="s">
        <v>19</v>
      </c>
      <c r="G171" s="66">
        <v>33.479999999999997</v>
      </c>
      <c r="H171" s="65">
        <f t="shared" si="12"/>
        <v>33.479999999999997</v>
      </c>
      <c r="I171" s="59">
        <f t="shared" si="7"/>
        <v>5.0219999999999994</v>
      </c>
      <c r="J171" s="59">
        <f t="shared" si="8"/>
        <v>38.501999999999995</v>
      </c>
      <c r="K171" s="233"/>
      <c r="L171" s="233"/>
      <c r="M171" s="233"/>
    </row>
    <row r="172" spans="1:13" x14ac:dyDescent="0.25">
      <c r="A172" s="210"/>
      <c r="B172" s="45"/>
      <c r="C172" s="48">
        <v>1</v>
      </c>
      <c r="D172" s="48">
        <v>1</v>
      </c>
      <c r="E172" s="40" t="s">
        <v>362</v>
      </c>
      <c r="F172" s="41" t="s">
        <v>396</v>
      </c>
      <c r="G172" s="66">
        <v>29.23</v>
      </c>
      <c r="H172" s="65">
        <f t="shared" si="12"/>
        <v>29.23</v>
      </c>
      <c r="I172" s="59">
        <f t="shared" si="7"/>
        <v>4.3845000000000001</v>
      </c>
      <c r="J172" s="59">
        <f t="shared" si="8"/>
        <v>33.6145</v>
      </c>
      <c r="K172" s="233"/>
      <c r="L172" s="233"/>
      <c r="M172" s="233"/>
    </row>
    <row r="173" spans="1:13" x14ac:dyDescent="0.25">
      <c r="A173" s="210"/>
      <c r="B173" s="45"/>
      <c r="C173" s="48">
        <v>3</v>
      </c>
      <c r="D173" s="48">
        <v>3</v>
      </c>
      <c r="E173" s="40" t="s">
        <v>363</v>
      </c>
      <c r="F173" s="41" t="s">
        <v>397</v>
      </c>
      <c r="G173" s="66">
        <v>4.17</v>
      </c>
      <c r="H173" s="65">
        <f t="shared" si="12"/>
        <v>12.51</v>
      </c>
      <c r="I173" s="59">
        <f t="shared" si="7"/>
        <v>1.8764999999999998</v>
      </c>
      <c r="J173" s="59">
        <f t="shared" si="8"/>
        <v>14.3865</v>
      </c>
      <c r="K173" s="233"/>
      <c r="L173" s="233"/>
      <c r="M173" s="233"/>
    </row>
    <row r="174" spans="1:13" x14ac:dyDescent="0.25">
      <c r="A174" s="210"/>
      <c r="B174" s="45"/>
      <c r="C174" s="48">
        <v>1</v>
      </c>
      <c r="D174" s="48">
        <v>1</v>
      </c>
      <c r="E174" s="40" t="s">
        <v>364</v>
      </c>
      <c r="F174" s="41" t="s">
        <v>396</v>
      </c>
      <c r="G174" s="66">
        <v>5.22</v>
      </c>
      <c r="H174" s="65">
        <f t="shared" si="12"/>
        <v>5.22</v>
      </c>
      <c r="I174" s="59">
        <f t="shared" si="7"/>
        <v>0.78299999999999992</v>
      </c>
      <c r="J174" s="59">
        <f t="shared" si="8"/>
        <v>6.0030000000000001</v>
      </c>
      <c r="K174" s="233"/>
      <c r="L174" s="233"/>
      <c r="M174" s="233"/>
    </row>
    <row r="175" spans="1:13" x14ac:dyDescent="0.25">
      <c r="A175" s="210"/>
      <c r="B175" s="45"/>
      <c r="C175" s="48">
        <v>1</v>
      </c>
      <c r="D175" s="48">
        <v>1</v>
      </c>
      <c r="E175" s="40" t="s">
        <v>75</v>
      </c>
      <c r="F175" s="41" t="s">
        <v>397</v>
      </c>
      <c r="G175" s="66">
        <v>3.13</v>
      </c>
      <c r="H175" s="65">
        <f t="shared" si="12"/>
        <v>3.13</v>
      </c>
      <c r="I175" s="59">
        <f t="shared" si="7"/>
        <v>0.46949999999999997</v>
      </c>
      <c r="J175" s="59">
        <f t="shared" si="8"/>
        <v>3.5994999999999999</v>
      </c>
      <c r="K175" s="233"/>
      <c r="L175" s="233"/>
      <c r="M175" s="233"/>
    </row>
    <row r="176" spans="1:13" x14ac:dyDescent="0.25">
      <c r="A176" s="210"/>
      <c r="B176" s="45"/>
      <c r="C176" s="48">
        <v>1</v>
      </c>
      <c r="D176" s="48">
        <v>1</v>
      </c>
      <c r="E176" s="40" t="s">
        <v>365</v>
      </c>
      <c r="F176" s="41" t="s">
        <v>396</v>
      </c>
      <c r="G176" s="66">
        <v>25.65</v>
      </c>
      <c r="H176" s="65">
        <f t="shared" si="12"/>
        <v>25.65</v>
      </c>
      <c r="I176" s="59">
        <f t="shared" si="7"/>
        <v>3.8474999999999997</v>
      </c>
      <c r="J176" s="59">
        <f t="shared" si="8"/>
        <v>29.497499999999999</v>
      </c>
      <c r="K176" s="233"/>
      <c r="L176" s="233"/>
      <c r="M176" s="233"/>
    </row>
    <row r="177" spans="1:13" ht="16.5" thickBot="1" x14ac:dyDescent="0.3">
      <c r="A177" s="211"/>
      <c r="B177" s="63"/>
      <c r="C177" s="64">
        <v>40</v>
      </c>
      <c r="D177" s="64">
        <v>40</v>
      </c>
      <c r="E177" s="60" t="s">
        <v>366</v>
      </c>
      <c r="F177" s="92" t="s">
        <v>128</v>
      </c>
      <c r="G177" s="93">
        <v>0.22</v>
      </c>
      <c r="H177" s="94">
        <f t="shared" si="12"/>
        <v>8.8000000000000007</v>
      </c>
      <c r="I177" s="61">
        <f t="shared" si="7"/>
        <v>1.32</v>
      </c>
      <c r="J177" s="61">
        <f t="shared" si="8"/>
        <v>10.120000000000001</v>
      </c>
      <c r="K177" s="234"/>
      <c r="L177" s="234"/>
      <c r="M177" s="234"/>
    </row>
    <row r="178" spans="1:13" x14ac:dyDescent="0.25">
      <c r="A178" s="258" t="s">
        <v>395</v>
      </c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</row>
    <row r="179" spans="1:13" x14ac:dyDescent="0.25">
      <c r="A179" s="205">
        <v>46083</v>
      </c>
      <c r="B179" s="131" t="s">
        <v>367</v>
      </c>
      <c r="C179" s="112">
        <v>1</v>
      </c>
      <c r="D179" s="112">
        <v>1</v>
      </c>
      <c r="E179" s="113" t="s">
        <v>78</v>
      </c>
      <c r="F179" s="113" t="s">
        <v>128</v>
      </c>
      <c r="G179" s="114">
        <v>2.09</v>
      </c>
      <c r="H179" s="114">
        <f t="shared" si="12"/>
        <v>2.09</v>
      </c>
      <c r="I179" s="115">
        <f t="shared" si="7"/>
        <v>0.31349999999999995</v>
      </c>
      <c r="J179" s="115">
        <f t="shared" si="8"/>
        <v>2.4034999999999997</v>
      </c>
      <c r="K179" s="195">
        <f>SUM(J179)</f>
        <v>2.4034999999999997</v>
      </c>
      <c r="L179" s="195"/>
      <c r="M179" s="195"/>
    </row>
    <row r="180" spans="1:13" x14ac:dyDescent="0.25">
      <c r="A180" s="205">
        <v>46083</v>
      </c>
      <c r="B180" s="131" t="s">
        <v>368</v>
      </c>
      <c r="C180" s="112">
        <v>1</v>
      </c>
      <c r="D180" s="112">
        <v>1</v>
      </c>
      <c r="E180" s="133" t="s">
        <v>369</v>
      </c>
      <c r="F180" s="113" t="s">
        <v>128</v>
      </c>
      <c r="G180" s="114">
        <v>2.66</v>
      </c>
      <c r="H180" s="114">
        <f t="shared" si="12"/>
        <v>2.66</v>
      </c>
      <c r="I180" s="115">
        <f t="shared" si="7"/>
        <v>0.39900000000000002</v>
      </c>
      <c r="J180" s="115">
        <f t="shared" si="8"/>
        <v>3.0590000000000002</v>
      </c>
      <c r="K180" s="195">
        <f t="shared" ref="K180:K184" si="14">SUM(J180)</f>
        <v>3.0590000000000002</v>
      </c>
      <c r="L180" s="195"/>
      <c r="M180" s="195"/>
    </row>
    <row r="181" spans="1:13" x14ac:dyDescent="0.25">
      <c r="A181" s="205">
        <v>46083</v>
      </c>
      <c r="B181" s="131" t="s">
        <v>370</v>
      </c>
      <c r="C181" s="112">
        <v>1</v>
      </c>
      <c r="D181" s="112">
        <v>1</v>
      </c>
      <c r="E181" s="133" t="s">
        <v>371</v>
      </c>
      <c r="F181" s="113" t="s">
        <v>128</v>
      </c>
      <c r="G181" s="114">
        <v>210</v>
      </c>
      <c r="H181" s="114">
        <f t="shared" si="12"/>
        <v>210</v>
      </c>
      <c r="I181" s="115">
        <f t="shared" si="7"/>
        <v>31.5</v>
      </c>
      <c r="J181" s="115">
        <f t="shared" si="8"/>
        <v>241.5</v>
      </c>
      <c r="K181" s="195">
        <f t="shared" si="14"/>
        <v>241.5</v>
      </c>
      <c r="L181" s="195"/>
      <c r="M181" s="195"/>
    </row>
    <row r="182" spans="1:13" x14ac:dyDescent="0.25">
      <c r="A182" s="205">
        <v>46083</v>
      </c>
      <c r="B182" s="131" t="s">
        <v>372</v>
      </c>
      <c r="C182" s="112">
        <v>1</v>
      </c>
      <c r="D182" s="112">
        <v>1</v>
      </c>
      <c r="E182" s="113" t="s">
        <v>78</v>
      </c>
      <c r="F182" s="113" t="s">
        <v>128</v>
      </c>
      <c r="G182" s="114">
        <v>11.37</v>
      </c>
      <c r="H182" s="114">
        <f t="shared" si="12"/>
        <v>11.37</v>
      </c>
      <c r="I182" s="115">
        <f t="shared" si="7"/>
        <v>1.7054999999999998</v>
      </c>
      <c r="J182" s="115">
        <f t="shared" si="8"/>
        <v>13.075499999999998</v>
      </c>
      <c r="K182" s="195">
        <f t="shared" si="14"/>
        <v>13.075499999999998</v>
      </c>
      <c r="L182" s="195"/>
      <c r="M182" s="195"/>
    </row>
    <row r="183" spans="1:13" x14ac:dyDescent="0.25">
      <c r="A183" s="205">
        <v>46083</v>
      </c>
      <c r="B183" s="131" t="s">
        <v>373</v>
      </c>
      <c r="C183" s="112">
        <v>1</v>
      </c>
      <c r="D183" s="112">
        <v>1</v>
      </c>
      <c r="E183" s="113" t="s">
        <v>78</v>
      </c>
      <c r="F183" s="113" t="s">
        <v>128</v>
      </c>
      <c r="G183" s="114">
        <v>2.57</v>
      </c>
      <c r="H183" s="114">
        <f t="shared" si="12"/>
        <v>2.57</v>
      </c>
      <c r="I183" s="115">
        <f t="shared" si="7"/>
        <v>0.38549999999999995</v>
      </c>
      <c r="J183" s="115">
        <f t="shared" si="8"/>
        <v>2.9554999999999998</v>
      </c>
      <c r="K183" s="195">
        <f t="shared" si="14"/>
        <v>2.9554999999999998</v>
      </c>
      <c r="L183" s="195"/>
      <c r="M183" s="195"/>
    </row>
    <row r="184" spans="1:13" ht="16.5" thickBot="1" x14ac:dyDescent="0.3">
      <c r="A184" s="206">
        <v>46085</v>
      </c>
      <c r="B184" s="132" t="s">
        <v>374</v>
      </c>
      <c r="C184" s="118">
        <v>1</v>
      </c>
      <c r="D184" s="118">
        <v>1</v>
      </c>
      <c r="E184" s="120" t="s">
        <v>349</v>
      </c>
      <c r="F184" s="120" t="s">
        <v>128</v>
      </c>
      <c r="G184" s="121">
        <v>945</v>
      </c>
      <c r="H184" s="121">
        <f t="shared" si="12"/>
        <v>945</v>
      </c>
      <c r="I184" s="122">
        <f t="shared" si="7"/>
        <v>141.75</v>
      </c>
      <c r="J184" s="122">
        <f t="shared" si="8"/>
        <v>1086.75</v>
      </c>
      <c r="K184" s="196">
        <f t="shared" si="14"/>
        <v>1086.75</v>
      </c>
      <c r="L184" s="196"/>
      <c r="M184" s="196"/>
    </row>
    <row r="185" spans="1:13" x14ac:dyDescent="0.25">
      <c r="A185" s="209">
        <v>46086</v>
      </c>
      <c r="B185" s="56" t="s">
        <v>375</v>
      </c>
      <c r="C185" s="62">
        <v>1</v>
      </c>
      <c r="D185" s="62">
        <v>1</v>
      </c>
      <c r="E185" s="136" t="s">
        <v>118</v>
      </c>
      <c r="F185" s="137" t="s">
        <v>128</v>
      </c>
      <c r="G185" s="137">
        <v>7.5</v>
      </c>
      <c r="H185" s="90">
        <f t="shared" si="12"/>
        <v>7.5</v>
      </c>
      <c r="I185" s="58">
        <f t="shared" si="7"/>
        <v>1.125</v>
      </c>
      <c r="J185" s="58">
        <f t="shared" si="8"/>
        <v>8.625</v>
      </c>
      <c r="K185" s="227">
        <f>SUM(J185:J188)</f>
        <v>23</v>
      </c>
      <c r="L185" s="227"/>
      <c r="M185" s="227"/>
    </row>
    <row r="186" spans="1:13" x14ac:dyDescent="0.25">
      <c r="A186" s="210"/>
      <c r="B186" s="45"/>
      <c r="C186" s="48">
        <v>1</v>
      </c>
      <c r="D186" s="48">
        <v>1</v>
      </c>
      <c r="E186" s="36" t="s">
        <v>49</v>
      </c>
      <c r="F186" s="37" t="s">
        <v>128</v>
      </c>
      <c r="G186" s="37">
        <v>4.75</v>
      </c>
      <c r="H186" s="65">
        <f t="shared" si="12"/>
        <v>4.75</v>
      </c>
      <c r="I186" s="59">
        <f t="shared" si="7"/>
        <v>0.71250000000000002</v>
      </c>
      <c r="J186" s="59">
        <f t="shared" si="8"/>
        <v>5.4625000000000004</v>
      </c>
      <c r="K186" s="228"/>
      <c r="L186" s="228"/>
      <c r="M186" s="228"/>
    </row>
    <row r="187" spans="1:13" x14ac:dyDescent="0.25">
      <c r="A187" s="210"/>
      <c r="B187" s="45"/>
      <c r="C187" s="48">
        <v>1</v>
      </c>
      <c r="D187" s="48">
        <v>1</v>
      </c>
      <c r="E187" s="36" t="s">
        <v>50</v>
      </c>
      <c r="F187" s="37" t="s">
        <v>128</v>
      </c>
      <c r="G187" s="37">
        <v>3.75</v>
      </c>
      <c r="H187" s="65">
        <f t="shared" si="12"/>
        <v>3.75</v>
      </c>
      <c r="I187" s="59">
        <f t="shared" si="7"/>
        <v>0.5625</v>
      </c>
      <c r="J187" s="59">
        <f t="shared" si="8"/>
        <v>4.3125</v>
      </c>
      <c r="K187" s="228"/>
      <c r="L187" s="228"/>
      <c r="M187" s="228"/>
    </row>
    <row r="188" spans="1:13" ht="16.5" thickBot="1" x14ac:dyDescent="0.3">
      <c r="A188" s="211"/>
      <c r="B188" s="63"/>
      <c r="C188" s="64">
        <v>1</v>
      </c>
      <c r="D188" s="64">
        <v>1</v>
      </c>
      <c r="E188" s="138" t="s">
        <v>51</v>
      </c>
      <c r="F188" s="139" t="s">
        <v>128</v>
      </c>
      <c r="G188" s="139">
        <v>4</v>
      </c>
      <c r="H188" s="94">
        <f t="shared" si="12"/>
        <v>4</v>
      </c>
      <c r="I188" s="61">
        <f t="shared" si="7"/>
        <v>0.6</v>
      </c>
      <c r="J188" s="61">
        <f t="shared" si="8"/>
        <v>4.5999999999999996</v>
      </c>
      <c r="K188" s="229"/>
      <c r="L188" s="229"/>
      <c r="M188" s="229"/>
    </row>
    <row r="189" spans="1:13" ht="32.25" thickBot="1" x14ac:dyDescent="0.3">
      <c r="A189" s="212">
        <v>46090</v>
      </c>
      <c r="B189" s="51" t="s">
        <v>376</v>
      </c>
      <c r="C189" s="46">
        <v>200</v>
      </c>
      <c r="D189" s="46">
        <v>200</v>
      </c>
      <c r="E189" s="23" t="s">
        <v>399</v>
      </c>
      <c r="F189" s="39" t="s">
        <v>35</v>
      </c>
      <c r="G189" s="66">
        <v>3.705E-2</v>
      </c>
      <c r="H189" s="65">
        <f t="shared" si="12"/>
        <v>7.41</v>
      </c>
      <c r="I189" s="53">
        <f t="shared" si="7"/>
        <v>1.1114999999999999</v>
      </c>
      <c r="J189" s="53">
        <f t="shared" si="8"/>
        <v>8.5214999999999996</v>
      </c>
      <c r="K189" s="196">
        <f>SUM(J189)</f>
        <v>8.5214999999999996</v>
      </c>
      <c r="L189" s="196">
        <v>8.52</v>
      </c>
      <c r="M189" s="214" t="s">
        <v>527</v>
      </c>
    </row>
    <row r="190" spans="1:13" x14ac:dyDescent="0.25">
      <c r="A190" s="209">
        <v>46088</v>
      </c>
      <c r="B190" s="56" t="s">
        <v>377</v>
      </c>
      <c r="C190" s="62">
        <v>1</v>
      </c>
      <c r="D190" s="62">
        <v>1</v>
      </c>
      <c r="E190" s="57" t="s">
        <v>378</v>
      </c>
      <c r="F190" s="95" t="s">
        <v>128</v>
      </c>
      <c r="G190" s="96">
        <v>13.13913</v>
      </c>
      <c r="H190" s="90">
        <f t="shared" si="12"/>
        <v>13.13913</v>
      </c>
      <c r="I190" s="58">
        <f t="shared" si="7"/>
        <v>1.9708694999999998</v>
      </c>
      <c r="J190" s="58">
        <f t="shared" si="8"/>
        <v>15.109999499999999</v>
      </c>
      <c r="K190" s="227">
        <f>SUM(J190:J191)</f>
        <v>19.009999099999998</v>
      </c>
      <c r="L190" s="227"/>
      <c r="M190" s="227"/>
    </row>
    <row r="191" spans="1:13" x14ac:dyDescent="0.25">
      <c r="A191" s="210"/>
      <c r="B191" s="45"/>
      <c r="C191" s="48">
        <v>1</v>
      </c>
      <c r="D191" s="48">
        <v>1</v>
      </c>
      <c r="E191" s="40" t="s">
        <v>379</v>
      </c>
      <c r="F191" s="41" t="s">
        <v>128</v>
      </c>
      <c r="G191" s="66">
        <v>3.3913039999999999</v>
      </c>
      <c r="H191" s="65">
        <f t="shared" si="12"/>
        <v>3.3913039999999999</v>
      </c>
      <c r="I191" s="59">
        <f t="shared" si="7"/>
        <v>0.50869559999999991</v>
      </c>
      <c r="J191" s="59">
        <f t="shared" si="8"/>
        <v>3.8999995999999997</v>
      </c>
      <c r="K191" s="228"/>
      <c r="L191" s="228"/>
      <c r="M191" s="228"/>
    </row>
    <row r="192" spans="1:13" x14ac:dyDescent="0.25">
      <c r="A192" s="205">
        <v>46114</v>
      </c>
      <c r="B192" s="131" t="s">
        <v>400</v>
      </c>
      <c r="C192" s="112">
        <v>1</v>
      </c>
      <c r="D192" s="112">
        <v>1</v>
      </c>
      <c r="E192" s="133" t="s">
        <v>78</v>
      </c>
      <c r="F192" s="113" t="s">
        <v>128</v>
      </c>
      <c r="G192" s="114">
        <v>1.73</v>
      </c>
      <c r="H192" s="114">
        <f t="shared" si="12"/>
        <v>1.73</v>
      </c>
      <c r="I192" s="115">
        <f t="shared" si="7"/>
        <v>0.25950000000000001</v>
      </c>
      <c r="J192" s="115">
        <f t="shared" si="8"/>
        <v>1.9895</v>
      </c>
      <c r="K192" s="195">
        <f>SUM(J192)</f>
        <v>1.9895</v>
      </c>
      <c r="L192" s="195"/>
      <c r="M192" s="195"/>
    </row>
    <row r="193" spans="1:13" x14ac:dyDescent="0.25">
      <c r="A193" s="215">
        <v>46113</v>
      </c>
      <c r="B193" s="131" t="s">
        <v>401</v>
      </c>
      <c r="C193" s="112">
        <v>1</v>
      </c>
      <c r="D193" s="112">
        <v>1</v>
      </c>
      <c r="E193" s="113" t="s">
        <v>402</v>
      </c>
      <c r="F193" s="113" t="s">
        <v>128</v>
      </c>
      <c r="G193" s="114">
        <v>2.36</v>
      </c>
      <c r="H193" s="114">
        <f t="shared" si="12"/>
        <v>2.36</v>
      </c>
      <c r="I193" s="115">
        <f t="shared" si="7"/>
        <v>0.35399999999999998</v>
      </c>
      <c r="J193" s="115">
        <f t="shared" si="8"/>
        <v>2.714</v>
      </c>
      <c r="K193" s="195">
        <f t="shared" ref="K193:K250" si="15">SUM(J193)</f>
        <v>2.714</v>
      </c>
      <c r="L193" s="195"/>
      <c r="M193" s="195"/>
    </row>
    <row r="194" spans="1:13" ht="16.5" thickBot="1" x14ac:dyDescent="0.3">
      <c r="A194" s="216">
        <v>46113</v>
      </c>
      <c r="B194" s="132" t="s">
        <v>403</v>
      </c>
      <c r="C194" s="118">
        <v>1</v>
      </c>
      <c r="D194" s="118">
        <v>1</v>
      </c>
      <c r="E194" s="120" t="s">
        <v>404</v>
      </c>
      <c r="F194" s="120" t="s">
        <v>128</v>
      </c>
      <c r="G194" s="121">
        <v>210</v>
      </c>
      <c r="H194" s="121">
        <f t="shared" si="12"/>
        <v>210</v>
      </c>
      <c r="I194" s="122">
        <f t="shared" si="7"/>
        <v>31.5</v>
      </c>
      <c r="J194" s="122">
        <f t="shared" si="8"/>
        <v>241.5</v>
      </c>
      <c r="K194" s="196">
        <f t="shared" si="15"/>
        <v>241.5</v>
      </c>
      <c r="L194" s="196"/>
      <c r="M194" s="196"/>
    </row>
    <row r="195" spans="1:13" x14ac:dyDescent="0.25">
      <c r="A195" s="209">
        <v>46096</v>
      </c>
      <c r="B195" s="56" t="s">
        <v>405</v>
      </c>
      <c r="C195" s="62">
        <v>1</v>
      </c>
      <c r="D195" s="62">
        <v>1</v>
      </c>
      <c r="E195" s="57" t="s">
        <v>406</v>
      </c>
      <c r="F195" s="95" t="s">
        <v>397</v>
      </c>
      <c r="G195" s="96">
        <v>3.91</v>
      </c>
      <c r="H195" s="90">
        <f t="shared" si="12"/>
        <v>3.91</v>
      </c>
      <c r="I195" s="58">
        <f t="shared" ref="I195:I273" si="16">H195*0.15</f>
        <v>0.58650000000000002</v>
      </c>
      <c r="J195" s="58">
        <f t="shared" ref="J195:J273" si="17">H195+I195</f>
        <v>4.4965000000000002</v>
      </c>
      <c r="K195" s="221">
        <f>SUM(J195:J200)</f>
        <v>126.9485</v>
      </c>
      <c r="L195" s="221">
        <f>102.05+8.5</f>
        <v>110.55</v>
      </c>
      <c r="M195" s="224" t="s">
        <v>528</v>
      </c>
    </row>
    <row r="196" spans="1:13" x14ac:dyDescent="0.25">
      <c r="A196" s="210"/>
      <c r="B196" s="45"/>
      <c r="C196" s="48">
        <v>18</v>
      </c>
      <c r="D196" s="48">
        <v>18</v>
      </c>
      <c r="E196" s="40" t="s">
        <v>32</v>
      </c>
      <c r="F196" s="41" t="s">
        <v>35</v>
      </c>
      <c r="G196" s="66">
        <v>1.43</v>
      </c>
      <c r="H196" s="65">
        <f t="shared" si="12"/>
        <v>25.74</v>
      </c>
      <c r="I196" s="59">
        <f t="shared" si="16"/>
        <v>3.8609999999999998</v>
      </c>
      <c r="J196" s="59">
        <f t="shared" si="17"/>
        <v>29.600999999999999</v>
      </c>
      <c r="K196" s="222"/>
      <c r="L196" s="222"/>
      <c r="M196" s="222"/>
    </row>
    <row r="197" spans="1:13" x14ac:dyDescent="0.25">
      <c r="A197" s="210"/>
      <c r="B197" s="45"/>
      <c r="C197" s="48">
        <v>3</v>
      </c>
      <c r="D197" s="48">
        <v>3</v>
      </c>
      <c r="E197" s="40" t="s">
        <v>408</v>
      </c>
      <c r="F197" s="41" t="s">
        <v>35</v>
      </c>
      <c r="G197" s="66">
        <v>4.17</v>
      </c>
      <c r="H197" s="65">
        <f t="shared" si="12"/>
        <v>12.51</v>
      </c>
      <c r="I197" s="59">
        <f t="shared" si="16"/>
        <v>1.8764999999999998</v>
      </c>
      <c r="J197" s="59">
        <f t="shared" si="17"/>
        <v>14.3865</v>
      </c>
      <c r="K197" s="222"/>
      <c r="L197" s="222"/>
      <c r="M197" s="222"/>
    </row>
    <row r="198" spans="1:13" x14ac:dyDescent="0.25">
      <c r="A198" s="210"/>
      <c r="B198" s="45"/>
      <c r="C198" s="48">
        <v>7</v>
      </c>
      <c r="D198" s="48">
        <v>7</v>
      </c>
      <c r="E198" s="40" t="s">
        <v>407</v>
      </c>
      <c r="F198" s="41" t="s">
        <v>35</v>
      </c>
      <c r="G198" s="66">
        <v>1.17</v>
      </c>
      <c r="H198" s="65">
        <f t="shared" si="12"/>
        <v>8.19</v>
      </c>
      <c r="I198" s="59">
        <f t="shared" si="16"/>
        <v>1.2284999999999999</v>
      </c>
      <c r="J198" s="59">
        <f t="shared" si="17"/>
        <v>9.4184999999999999</v>
      </c>
      <c r="K198" s="222"/>
      <c r="L198" s="222"/>
      <c r="M198" s="222"/>
    </row>
    <row r="199" spans="1:13" x14ac:dyDescent="0.25">
      <c r="A199" s="210"/>
      <c r="B199" s="45"/>
      <c r="C199" s="48">
        <v>1</v>
      </c>
      <c r="D199" s="48">
        <v>1</v>
      </c>
      <c r="E199" s="40" t="s">
        <v>409</v>
      </c>
      <c r="F199" s="41" t="s">
        <v>397</v>
      </c>
      <c r="G199" s="66">
        <v>56.52</v>
      </c>
      <c r="H199" s="65">
        <f t="shared" si="12"/>
        <v>56.52</v>
      </c>
      <c r="I199" s="59">
        <f t="shared" si="16"/>
        <v>8.4779999999999998</v>
      </c>
      <c r="J199" s="59">
        <f t="shared" si="17"/>
        <v>64.998000000000005</v>
      </c>
      <c r="K199" s="222"/>
      <c r="L199" s="222"/>
      <c r="M199" s="222"/>
    </row>
    <row r="200" spans="1:13" ht="16.5" thickBot="1" x14ac:dyDescent="0.3">
      <c r="A200" s="211"/>
      <c r="B200" s="63"/>
      <c r="C200" s="64">
        <v>16</v>
      </c>
      <c r="D200" s="64">
        <v>16</v>
      </c>
      <c r="E200" s="60" t="s">
        <v>366</v>
      </c>
      <c r="F200" s="92" t="s">
        <v>128</v>
      </c>
      <c r="G200" s="93">
        <v>0.22</v>
      </c>
      <c r="H200" s="94">
        <f t="shared" si="12"/>
        <v>3.52</v>
      </c>
      <c r="I200" s="61">
        <f t="shared" si="16"/>
        <v>0.52800000000000002</v>
      </c>
      <c r="J200" s="61">
        <f t="shared" si="17"/>
        <v>4.048</v>
      </c>
      <c r="K200" s="223"/>
      <c r="L200" s="223"/>
      <c r="M200" s="223"/>
    </row>
    <row r="201" spans="1:13" x14ac:dyDescent="0.25">
      <c r="A201" s="209">
        <v>46106</v>
      </c>
      <c r="B201" s="56" t="s">
        <v>410</v>
      </c>
      <c r="C201" s="62">
        <v>1</v>
      </c>
      <c r="D201" s="62">
        <v>1</v>
      </c>
      <c r="E201" s="57" t="s">
        <v>411</v>
      </c>
      <c r="F201" s="95" t="s">
        <v>35</v>
      </c>
      <c r="G201" s="96">
        <v>7.5</v>
      </c>
      <c r="H201" s="90">
        <f t="shared" si="12"/>
        <v>7.5</v>
      </c>
      <c r="I201" s="58">
        <f t="shared" si="16"/>
        <v>1.125</v>
      </c>
      <c r="J201" s="58">
        <f t="shared" si="17"/>
        <v>8.625</v>
      </c>
      <c r="K201" s="221">
        <f>SUM(J201:J202)</f>
        <v>28.865000000000002</v>
      </c>
      <c r="L201" s="221"/>
      <c r="M201" s="221"/>
    </row>
    <row r="202" spans="1:13" ht="16.5" thickBot="1" x14ac:dyDescent="0.3">
      <c r="A202" s="211"/>
      <c r="B202" s="63"/>
      <c r="C202" s="64">
        <v>80</v>
      </c>
      <c r="D202" s="64">
        <v>80</v>
      </c>
      <c r="E202" s="92" t="s">
        <v>122</v>
      </c>
      <c r="F202" s="92" t="s">
        <v>128</v>
      </c>
      <c r="G202" s="93">
        <v>0.22</v>
      </c>
      <c r="H202" s="94">
        <f t="shared" si="12"/>
        <v>17.600000000000001</v>
      </c>
      <c r="I202" s="61">
        <f t="shared" si="16"/>
        <v>2.64</v>
      </c>
      <c r="J202" s="61">
        <f t="shared" si="17"/>
        <v>20.240000000000002</v>
      </c>
      <c r="K202" s="223"/>
      <c r="L202" s="223"/>
      <c r="M202" s="223"/>
    </row>
    <row r="203" spans="1:13" ht="16.5" thickBot="1" x14ac:dyDescent="0.3">
      <c r="A203" s="258" t="s">
        <v>491</v>
      </c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</row>
    <row r="204" spans="1:13" x14ac:dyDescent="0.25">
      <c r="A204" s="209">
        <v>46117</v>
      </c>
      <c r="B204" s="56" t="s">
        <v>412</v>
      </c>
      <c r="C204" s="62">
        <v>1</v>
      </c>
      <c r="D204" s="62">
        <v>1</v>
      </c>
      <c r="E204" s="136" t="s">
        <v>118</v>
      </c>
      <c r="F204" s="137" t="s">
        <v>128</v>
      </c>
      <c r="G204" s="137">
        <v>7.5</v>
      </c>
      <c r="H204" s="90">
        <f t="shared" ref="H204:H233" si="18">G204*C204</f>
        <v>7.5</v>
      </c>
      <c r="I204" s="58">
        <f t="shared" si="16"/>
        <v>1.125</v>
      </c>
      <c r="J204" s="58">
        <f t="shared" si="17"/>
        <v>8.625</v>
      </c>
      <c r="K204" s="221">
        <f>SUM(J204:J207)</f>
        <v>23</v>
      </c>
      <c r="L204" s="221"/>
      <c r="M204" s="221"/>
    </row>
    <row r="205" spans="1:13" x14ac:dyDescent="0.25">
      <c r="A205" s="210"/>
      <c r="B205" s="45"/>
      <c r="C205" s="48">
        <v>1</v>
      </c>
      <c r="D205" s="48">
        <v>1</v>
      </c>
      <c r="E205" s="36" t="s">
        <v>49</v>
      </c>
      <c r="F205" s="37" t="s">
        <v>128</v>
      </c>
      <c r="G205" s="37">
        <v>4.75</v>
      </c>
      <c r="H205" s="65">
        <f t="shared" si="18"/>
        <v>4.75</v>
      </c>
      <c r="I205" s="59">
        <f t="shared" si="16"/>
        <v>0.71250000000000002</v>
      </c>
      <c r="J205" s="59">
        <f t="shared" si="17"/>
        <v>5.4625000000000004</v>
      </c>
      <c r="K205" s="222"/>
      <c r="L205" s="222"/>
      <c r="M205" s="222"/>
    </row>
    <row r="206" spans="1:13" x14ac:dyDescent="0.25">
      <c r="A206" s="210"/>
      <c r="B206" s="45"/>
      <c r="C206" s="48">
        <v>1</v>
      </c>
      <c r="D206" s="48">
        <v>1</v>
      </c>
      <c r="E206" s="36" t="s">
        <v>50</v>
      </c>
      <c r="F206" s="37" t="s">
        <v>128</v>
      </c>
      <c r="G206" s="37">
        <v>3.75</v>
      </c>
      <c r="H206" s="65">
        <f t="shared" si="18"/>
        <v>3.75</v>
      </c>
      <c r="I206" s="59">
        <f t="shared" si="16"/>
        <v>0.5625</v>
      </c>
      <c r="J206" s="59">
        <f t="shared" si="17"/>
        <v>4.3125</v>
      </c>
      <c r="K206" s="222"/>
      <c r="L206" s="222"/>
      <c r="M206" s="222"/>
    </row>
    <row r="207" spans="1:13" x14ac:dyDescent="0.25">
      <c r="A207" s="210"/>
      <c r="B207" s="45"/>
      <c r="C207" s="48">
        <v>1</v>
      </c>
      <c r="D207" s="48">
        <v>1</v>
      </c>
      <c r="E207" s="36" t="s">
        <v>51</v>
      </c>
      <c r="F207" s="37" t="s">
        <v>128</v>
      </c>
      <c r="G207" s="37">
        <v>4</v>
      </c>
      <c r="H207" s="65">
        <f t="shared" si="18"/>
        <v>4</v>
      </c>
      <c r="I207" s="59">
        <f t="shared" si="16"/>
        <v>0.6</v>
      </c>
      <c r="J207" s="59">
        <f t="shared" si="17"/>
        <v>4.5999999999999996</v>
      </c>
      <c r="K207" s="222"/>
      <c r="L207" s="222"/>
      <c r="M207" s="222"/>
    </row>
    <row r="208" spans="1:13" x14ac:dyDescent="0.25">
      <c r="A208" s="205">
        <v>46113</v>
      </c>
      <c r="B208" s="131" t="s">
        <v>413</v>
      </c>
      <c r="C208" s="112">
        <v>1</v>
      </c>
      <c r="D208" s="112">
        <v>1</v>
      </c>
      <c r="E208" s="113" t="s">
        <v>349</v>
      </c>
      <c r="F208" s="113" t="s">
        <v>128</v>
      </c>
      <c r="G208" s="114">
        <v>945</v>
      </c>
      <c r="H208" s="114">
        <f t="shared" si="18"/>
        <v>945</v>
      </c>
      <c r="I208" s="115">
        <f t="shared" si="16"/>
        <v>141.75</v>
      </c>
      <c r="J208" s="115">
        <f t="shared" si="17"/>
        <v>1086.75</v>
      </c>
      <c r="K208" s="195">
        <f t="shared" si="15"/>
        <v>1086.75</v>
      </c>
      <c r="L208" s="195"/>
      <c r="M208" s="195"/>
    </row>
    <row r="209" spans="1:13" x14ac:dyDescent="0.25">
      <c r="A209" s="205">
        <v>46113</v>
      </c>
      <c r="B209" s="131" t="s">
        <v>414</v>
      </c>
      <c r="C209" s="112">
        <v>1</v>
      </c>
      <c r="D209" s="112">
        <v>1</v>
      </c>
      <c r="E209" s="113" t="s">
        <v>78</v>
      </c>
      <c r="F209" s="113" t="s">
        <v>128</v>
      </c>
      <c r="G209" s="114">
        <v>11.77</v>
      </c>
      <c r="H209" s="114">
        <f t="shared" si="18"/>
        <v>11.77</v>
      </c>
      <c r="I209" s="115">
        <f t="shared" si="16"/>
        <v>1.7654999999999998</v>
      </c>
      <c r="J209" s="115">
        <f t="shared" si="17"/>
        <v>13.535499999999999</v>
      </c>
      <c r="K209" s="195">
        <f t="shared" si="15"/>
        <v>13.535499999999999</v>
      </c>
      <c r="L209" s="195"/>
      <c r="M209" s="195"/>
    </row>
    <row r="210" spans="1:13" ht="16.5" thickBot="1" x14ac:dyDescent="0.3">
      <c r="A210" s="206">
        <v>46113</v>
      </c>
      <c r="B210" s="132" t="s">
        <v>415</v>
      </c>
      <c r="C210" s="118">
        <v>1</v>
      </c>
      <c r="D210" s="118">
        <v>1</v>
      </c>
      <c r="E210" s="120" t="s">
        <v>78</v>
      </c>
      <c r="F210" s="120" t="s">
        <v>128</v>
      </c>
      <c r="G210" s="121">
        <v>1.84</v>
      </c>
      <c r="H210" s="121">
        <f t="shared" si="18"/>
        <v>1.84</v>
      </c>
      <c r="I210" s="122">
        <f t="shared" si="16"/>
        <v>0.27600000000000002</v>
      </c>
      <c r="J210" s="122">
        <f t="shared" si="17"/>
        <v>2.1160000000000001</v>
      </c>
      <c r="K210" s="196">
        <f t="shared" si="15"/>
        <v>2.1160000000000001</v>
      </c>
      <c r="L210" s="196"/>
      <c r="M210" s="196"/>
    </row>
    <row r="211" spans="1:13" x14ac:dyDescent="0.25">
      <c r="A211" s="209">
        <v>46128</v>
      </c>
      <c r="B211" s="56" t="s">
        <v>416</v>
      </c>
      <c r="C211" s="62">
        <v>1</v>
      </c>
      <c r="D211" s="62">
        <v>1</v>
      </c>
      <c r="E211" s="57" t="s">
        <v>417</v>
      </c>
      <c r="F211" s="95" t="s">
        <v>35</v>
      </c>
      <c r="G211" s="96">
        <v>6.96</v>
      </c>
      <c r="H211" s="90">
        <f t="shared" si="18"/>
        <v>6.96</v>
      </c>
      <c r="I211" s="58">
        <f t="shared" si="16"/>
        <v>1.044</v>
      </c>
      <c r="J211" s="58">
        <f t="shared" si="17"/>
        <v>8.0039999999999996</v>
      </c>
      <c r="K211" s="221">
        <f>SUM(J211:J213)</f>
        <v>33.0625</v>
      </c>
      <c r="L211" s="221">
        <v>33.06</v>
      </c>
      <c r="M211" s="224" t="s">
        <v>529</v>
      </c>
    </row>
    <row r="212" spans="1:13" x14ac:dyDescent="0.25">
      <c r="A212" s="210"/>
      <c r="B212" s="45"/>
      <c r="C212" s="48">
        <v>1</v>
      </c>
      <c r="D212" s="48">
        <v>1</v>
      </c>
      <c r="E212" s="40" t="s">
        <v>418</v>
      </c>
      <c r="F212" s="41" t="s">
        <v>35</v>
      </c>
      <c r="G212" s="66">
        <v>1.3</v>
      </c>
      <c r="H212" s="65">
        <f t="shared" si="18"/>
        <v>1.3</v>
      </c>
      <c r="I212" s="59">
        <f t="shared" si="16"/>
        <v>0.19500000000000001</v>
      </c>
      <c r="J212" s="59">
        <f t="shared" si="17"/>
        <v>1.4950000000000001</v>
      </c>
      <c r="K212" s="222"/>
      <c r="L212" s="222"/>
      <c r="M212" s="222"/>
    </row>
    <row r="213" spans="1:13" ht="16.5" thickBot="1" x14ac:dyDescent="0.3">
      <c r="A213" s="211"/>
      <c r="B213" s="63"/>
      <c r="C213" s="64">
        <v>3</v>
      </c>
      <c r="D213" s="64">
        <v>3</v>
      </c>
      <c r="E213" s="60" t="s">
        <v>419</v>
      </c>
      <c r="F213" s="92" t="s">
        <v>35</v>
      </c>
      <c r="G213" s="93">
        <v>6.83</v>
      </c>
      <c r="H213" s="94">
        <f t="shared" si="18"/>
        <v>20.490000000000002</v>
      </c>
      <c r="I213" s="61">
        <f t="shared" si="16"/>
        <v>3.0735000000000001</v>
      </c>
      <c r="J213" s="61">
        <f t="shared" si="17"/>
        <v>23.563500000000001</v>
      </c>
      <c r="K213" s="223"/>
      <c r="L213" s="223"/>
      <c r="M213" s="223"/>
    </row>
    <row r="214" spans="1:13" x14ac:dyDescent="0.25">
      <c r="A214" s="209">
        <v>46124</v>
      </c>
      <c r="B214" s="56" t="s">
        <v>420</v>
      </c>
      <c r="C214" s="62">
        <v>1</v>
      </c>
      <c r="D214" s="62">
        <v>1</v>
      </c>
      <c r="E214" s="57" t="s">
        <v>421</v>
      </c>
      <c r="F214" s="95" t="s">
        <v>35</v>
      </c>
      <c r="G214" s="96">
        <v>19.13</v>
      </c>
      <c r="H214" s="90">
        <f t="shared" si="18"/>
        <v>19.13</v>
      </c>
      <c r="I214" s="58">
        <f t="shared" si="16"/>
        <v>2.8694999999999999</v>
      </c>
      <c r="J214" s="58">
        <f t="shared" si="17"/>
        <v>21.999499999999998</v>
      </c>
      <c r="K214" s="221">
        <f>SUM(J214:J220)</f>
        <v>142.577</v>
      </c>
      <c r="L214" s="221"/>
      <c r="M214" s="221"/>
    </row>
    <row r="215" spans="1:13" x14ac:dyDescent="0.25">
      <c r="A215" s="210"/>
      <c r="B215" s="45"/>
      <c r="C215" s="48">
        <v>3</v>
      </c>
      <c r="D215" s="48">
        <v>3</v>
      </c>
      <c r="E215" s="40" t="s">
        <v>422</v>
      </c>
      <c r="F215" s="41" t="s">
        <v>35</v>
      </c>
      <c r="G215" s="66">
        <v>5</v>
      </c>
      <c r="H215" s="65">
        <f t="shared" si="18"/>
        <v>15</v>
      </c>
      <c r="I215" s="59">
        <f t="shared" si="16"/>
        <v>2.25</v>
      </c>
      <c r="J215" s="59">
        <f t="shared" si="17"/>
        <v>17.25</v>
      </c>
      <c r="K215" s="222"/>
      <c r="L215" s="222"/>
      <c r="M215" s="222"/>
    </row>
    <row r="216" spans="1:13" x14ac:dyDescent="0.25">
      <c r="A216" s="210"/>
      <c r="B216" s="45"/>
      <c r="C216" s="48">
        <v>5</v>
      </c>
      <c r="D216" s="48">
        <v>5</v>
      </c>
      <c r="E216" s="40" t="s">
        <v>408</v>
      </c>
      <c r="F216" s="41" t="s">
        <v>35</v>
      </c>
      <c r="G216" s="66">
        <v>6.22</v>
      </c>
      <c r="H216" s="65">
        <f t="shared" si="18"/>
        <v>31.099999999999998</v>
      </c>
      <c r="I216" s="59">
        <f t="shared" si="16"/>
        <v>4.6649999999999991</v>
      </c>
      <c r="J216" s="59">
        <f t="shared" si="17"/>
        <v>35.765000000000001</v>
      </c>
      <c r="K216" s="222"/>
      <c r="L216" s="222"/>
      <c r="M216" s="222"/>
    </row>
    <row r="217" spans="1:13" x14ac:dyDescent="0.25">
      <c r="A217" s="210"/>
      <c r="B217" s="45"/>
      <c r="C217" s="48">
        <v>1</v>
      </c>
      <c r="D217" s="48">
        <v>1</v>
      </c>
      <c r="E217" s="40" t="s">
        <v>174</v>
      </c>
      <c r="F217" s="41" t="s">
        <v>35</v>
      </c>
      <c r="G217" s="66">
        <v>12.57</v>
      </c>
      <c r="H217" s="65">
        <f t="shared" si="18"/>
        <v>12.57</v>
      </c>
      <c r="I217" s="59">
        <f t="shared" si="16"/>
        <v>1.8855</v>
      </c>
      <c r="J217" s="59">
        <f t="shared" si="17"/>
        <v>14.455500000000001</v>
      </c>
      <c r="K217" s="222"/>
      <c r="L217" s="222"/>
      <c r="M217" s="222"/>
    </row>
    <row r="218" spans="1:13" x14ac:dyDescent="0.25">
      <c r="A218" s="210"/>
      <c r="B218" s="45"/>
      <c r="C218" s="48">
        <v>1</v>
      </c>
      <c r="D218" s="48">
        <v>1</v>
      </c>
      <c r="E218" s="41" t="s">
        <v>57</v>
      </c>
      <c r="F218" s="41" t="s">
        <v>128</v>
      </c>
      <c r="G218" s="66">
        <v>3.91</v>
      </c>
      <c r="H218" s="65">
        <f t="shared" si="18"/>
        <v>3.91</v>
      </c>
      <c r="I218" s="59">
        <f t="shared" si="16"/>
        <v>0.58650000000000002</v>
      </c>
      <c r="J218" s="59">
        <f t="shared" si="17"/>
        <v>4.4965000000000002</v>
      </c>
      <c r="K218" s="222"/>
      <c r="L218" s="222"/>
      <c r="M218" s="222"/>
    </row>
    <row r="219" spans="1:13" x14ac:dyDescent="0.25">
      <c r="A219" s="210"/>
      <c r="B219" s="45"/>
      <c r="C219" s="48">
        <v>3</v>
      </c>
      <c r="D219" s="48">
        <v>3</v>
      </c>
      <c r="E219" s="40" t="s">
        <v>423</v>
      </c>
      <c r="F219" s="41" t="s">
        <v>35</v>
      </c>
      <c r="G219" s="66">
        <v>7.83</v>
      </c>
      <c r="H219" s="65">
        <f t="shared" si="18"/>
        <v>23.490000000000002</v>
      </c>
      <c r="I219" s="59">
        <f t="shared" si="16"/>
        <v>3.5235000000000003</v>
      </c>
      <c r="J219" s="59">
        <f t="shared" si="17"/>
        <v>27.013500000000001</v>
      </c>
      <c r="K219" s="222"/>
      <c r="L219" s="222"/>
      <c r="M219" s="222"/>
    </row>
    <row r="220" spans="1:13" x14ac:dyDescent="0.25">
      <c r="A220" s="210"/>
      <c r="B220" s="45"/>
      <c r="C220" s="48">
        <v>6</v>
      </c>
      <c r="D220" s="48">
        <v>6</v>
      </c>
      <c r="E220" s="40" t="s">
        <v>361</v>
      </c>
      <c r="F220" s="41" t="s">
        <v>36</v>
      </c>
      <c r="G220" s="66">
        <v>3.13</v>
      </c>
      <c r="H220" s="65">
        <f t="shared" si="18"/>
        <v>18.78</v>
      </c>
      <c r="I220" s="59">
        <f t="shared" si="16"/>
        <v>2.8170000000000002</v>
      </c>
      <c r="J220" s="59">
        <f t="shared" si="17"/>
        <v>21.597000000000001</v>
      </c>
      <c r="K220" s="222"/>
      <c r="L220" s="222"/>
      <c r="M220" s="222"/>
    </row>
    <row r="221" spans="1:13" x14ac:dyDescent="0.25">
      <c r="A221" s="205">
        <v>46128</v>
      </c>
      <c r="B221" s="131" t="s">
        <v>416</v>
      </c>
      <c r="C221" s="112">
        <v>1</v>
      </c>
      <c r="D221" s="112"/>
      <c r="E221" s="133" t="s">
        <v>417</v>
      </c>
      <c r="F221" s="113" t="s">
        <v>35</v>
      </c>
      <c r="G221" s="114">
        <v>6.96</v>
      </c>
      <c r="H221" s="114">
        <f t="shared" si="18"/>
        <v>6.96</v>
      </c>
      <c r="I221" s="59">
        <f t="shared" si="16"/>
        <v>1.044</v>
      </c>
      <c r="J221" s="115">
        <f t="shared" si="17"/>
        <v>8.0039999999999996</v>
      </c>
      <c r="K221" s="195">
        <f t="shared" si="15"/>
        <v>8.0039999999999996</v>
      </c>
      <c r="L221" s="195"/>
      <c r="M221" s="195"/>
    </row>
    <row r="222" spans="1:13" x14ac:dyDescent="0.25">
      <c r="A222" s="205">
        <v>46128</v>
      </c>
      <c r="B222" s="131" t="s">
        <v>416</v>
      </c>
      <c r="C222" s="112">
        <v>1</v>
      </c>
      <c r="D222" s="112">
        <v>1</v>
      </c>
      <c r="E222" s="133" t="s">
        <v>418</v>
      </c>
      <c r="F222" s="113" t="s">
        <v>396</v>
      </c>
      <c r="G222" s="114">
        <v>1.3</v>
      </c>
      <c r="H222" s="114">
        <f t="shared" si="18"/>
        <v>1.3</v>
      </c>
      <c r="I222" s="59">
        <f t="shared" si="16"/>
        <v>0.19500000000000001</v>
      </c>
      <c r="J222" s="115">
        <f t="shared" si="17"/>
        <v>1.4950000000000001</v>
      </c>
      <c r="K222" s="195">
        <f t="shared" si="15"/>
        <v>1.4950000000000001</v>
      </c>
      <c r="L222" s="195"/>
      <c r="M222" s="195"/>
    </row>
    <row r="223" spans="1:13" x14ac:dyDescent="0.25">
      <c r="A223" s="205">
        <v>46128</v>
      </c>
      <c r="B223" s="131" t="s">
        <v>416</v>
      </c>
      <c r="C223" s="112">
        <v>3</v>
      </c>
      <c r="D223" s="112">
        <v>3</v>
      </c>
      <c r="E223" s="133" t="s">
        <v>431</v>
      </c>
      <c r="F223" s="113" t="s">
        <v>35</v>
      </c>
      <c r="G223" s="114">
        <v>6.83</v>
      </c>
      <c r="H223" s="114">
        <f t="shared" si="18"/>
        <v>20.490000000000002</v>
      </c>
      <c r="I223" s="59">
        <f t="shared" si="16"/>
        <v>3.0735000000000001</v>
      </c>
      <c r="J223" s="115">
        <f t="shared" si="17"/>
        <v>23.563500000000001</v>
      </c>
      <c r="K223" s="195">
        <f t="shared" si="15"/>
        <v>23.563500000000001</v>
      </c>
      <c r="L223" s="195"/>
      <c r="M223" s="195"/>
    </row>
    <row r="224" spans="1:13" x14ac:dyDescent="0.25">
      <c r="A224" s="205">
        <v>46135</v>
      </c>
      <c r="B224" s="131" t="s">
        <v>432</v>
      </c>
      <c r="C224" s="112">
        <v>1</v>
      </c>
      <c r="D224" s="112">
        <v>1</v>
      </c>
      <c r="E224" s="133" t="s">
        <v>433</v>
      </c>
      <c r="F224" s="113" t="s">
        <v>35</v>
      </c>
      <c r="G224" s="114">
        <v>3.91</v>
      </c>
      <c r="H224" s="114">
        <f t="shared" si="18"/>
        <v>3.91</v>
      </c>
      <c r="I224" s="59">
        <f t="shared" si="16"/>
        <v>0.58650000000000002</v>
      </c>
      <c r="J224" s="115">
        <f t="shared" si="17"/>
        <v>4.4965000000000002</v>
      </c>
      <c r="K224" s="195">
        <f t="shared" si="15"/>
        <v>4.4965000000000002</v>
      </c>
      <c r="L224" s="195"/>
      <c r="M224" s="195"/>
    </row>
    <row r="225" spans="1:13" x14ac:dyDescent="0.25">
      <c r="A225" s="205">
        <v>46135</v>
      </c>
      <c r="B225" s="131" t="s">
        <v>432</v>
      </c>
      <c r="C225" s="112">
        <v>1</v>
      </c>
      <c r="D225" s="112">
        <v>1</v>
      </c>
      <c r="E225" s="133" t="s">
        <v>434</v>
      </c>
      <c r="F225" s="113"/>
      <c r="G225" s="114">
        <v>2.17</v>
      </c>
      <c r="H225" s="114">
        <f t="shared" si="18"/>
        <v>2.17</v>
      </c>
      <c r="I225" s="59">
        <f t="shared" si="16"/>
        <v>0.32549999999999996</v>
      </c>
      <c r="J225" s="115">
        <f t="shared" si="17"/>
        <v>2.4954999999999998</v>
      </c>
      <c r="K225" s="195">
        <f t="shared" si="15"/>
        <v>2.4954999999999998</v>
      </c>
      <c r="L225" s="195"/>
      <c r="M225" s="195"/>
    </row>
    <row r="226" spans="1:13" x14ac:dyDescent="0.25">
      <c r="A226" s="205">
        <v>46135</v>
      </c>
      <c r="B226" s="131" t="s">
        <v>432</v>
      </c>
      <c r="C226" s="112">
        <v>1</v>
      </c>
      <c r="D226" s="112"/>
      <c r="E226" s="133" t="s">
        <v>20</v>
      </c>
      <c r="F226" s="113" t="s">
        <v>19</v>
      </c>
      <c r="G226" s="114">
        <v>9.1300000000000008</v>
      </c>
      <c r="H226" s="114">
        <f t="shared" si="18"/>
        <v>9.1300000000000008</v>
      </c>
      <c r="I226" s="59">
        <f t="shared" si="16"/>
        <v>1.3695000000000002</v>
      </c>
      <c r="J226" s="115">
        <f t="shared" si="17"/>
        <v>10.499500000000001</v>
      </c>
      <c r="K226" s="195">
        <f t="shared" si="15"/>
        <v>10.499500000000001</v>
      </c>
      <c r="L226" s="195"/>
      <c r="M226" s="195"/>
    </row>
    <row r="227" spans="1:13" x14ac:dyDescent="0.25">
      <c r="A227" s="205">
        <v>46140</v>
      </c>
      <c r="B227" s="131" t="s">
        <v>435</v>
      </c>
      <c r="C227" s="112">
        <v>2</v>
      </c>
      <c r="D227" s="112">
        <v>2</v>
      </c>
      <c r="E227" s="113" t="s">
        <v>436</v>
      </c>
      <c r="F227" s="113" t="s">
        <v>35</v>
      </c>
      <c r="G227" s="114">
        <v>10.87</v>
      </c>
      <c r="H227" s="114">
        <f t="shared" si="18"/>
        <v>21.74</v>
      </c>
      <c r="I227" s="59">
        <f t="shared" si="16"/>
        <v>3.2609999999999997</v>
      </c>
      <c r="J227" s="115">
        <f t="shared" si="17"/>
        <v>25.000999999999998</v>
      </c>
      <c r="K227" s="195">
        <f t="shared" si="15"/>
        <v>25.000999999999998</v>
      </c>
      <c r="L227" s="195"/>
      <c r="M227" s="195"/>
    </row>
    <row r="228" spans="1:13" x14ac:dyDescent="0.25">
      <c r="A228" s="205">
        <v>46140</v>
      </c>
      <c r="B228" s="131" t="s">
        <v>438</v>
      </c>
      <c r="C228" s="112">
        <v>1</v>
      </c>
      <c r="D228" s="112">
        <v>1</v>
      </c>
      <c r="E228" s="133" t="s">
        <v>437</v>
      </c>
      <c r="F228" s="113" t="s">
        <v>128</v>
      </c>
      <c r="G228" s="114">
        <v>291.3</v>
      </c>
      <c r="H228" s="114">
        <f t="shared" si="18"/>
        <v>291.3</v>
      </c>
      <c r="I228" s="59">
        <f t="shared" si="16"/>
        <v>43.695</v>
      </c>
      <c r="J228" s="115">
        <f t="shared" si="17"/>
        <v>334.995</v>
      </c>
      <c r="K228" s="195">
        <f t="shared" si="15"/>
        <v>334.995</v>
      </c>
      <c r="L228" s="195"/>
      <c r="M228" s="195"/>
    </row>
    <row r="229" spans="1:13" x14ac:dyDescent="0.25">
      <c r="A229" s="225" t="s">
        <v>492</v>
      </c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</row>
    <row r="230" spans="1:13" x14ac:dyDescent="0.25">
      <c r="A230" s="205">
        <v>46143</v>
      </c>
      <c r="B230" s="131" t="s">
        <v>439</v>
      </c>
      <c r="C230" s="112">
        <v>1</v>
      </c>
      <c r="D230" s="112">
        <v>1</v>
      </c>
      <c r="E230" s="133" t="s">
        <v>78</v>
      </c>
      <c r="F230" s="113" t="s">
        <v>128</v>
      </c>
      <c r="G230" s="114">
        <v>6.23</v>
      </c>
      <c r="H230" s="114">
        <f t="shared" si="18"/>
        <v>6.23</v>
      </c>
      <c r="I230" s="59">
        <f t="shared" si="16"/>
        <v>0.9345</v>
      </c>
      <c r="J230" s="115">
        <f t="shared" si="17"/>
        <v>7.1645000000000003</v>
      </c>
      <c r="K230" s="195">
        <f t="shared" si="15"/>
        <v>7.1645000000000003</v>
      </c>
      <c r="L230" s="195"/>
      <c r="M230" s="195"/>
    </row>
    <row r="231" spans="1:13" x14ac:dyDescent="0.25">
      <c r="A231" s="205">
        <v>46143</v>
      </c>
      <c r="B231" s="131" t="s">
        <v>440</v>
      </c>
      <c r="C231" s="112">
        <v>1</v>
      </c>
      <c r="D231" s="112">
        <v>1</v>
      </c>
      <c r="E231" s="113" t="s">
        <v>78</v>
      </c>
      <c r="F231" s="113" t="s">
        <v>128</v>
      </c>
      <c r="G231" s="114">
        <v>3.98</v>
      </c>
      <c r="H231" s="114">
        <f t="shared" si="18"/>
        <v>3.98</v>
      </c>
      <c r="I231" s="59">
        <f t="shared" si="16"/>
        <v>0.59699999999999998</v>
      </c>
      <c r="J231" s="115">
        <f t="shared" si="17"/>
        <v>4.577</v>
      </c>
      <c r="K231" s="195">
        <f t="shared" si="15"/>
        <v>4.577</v>
      </c>
      <c r="L231" s="195"/>
      <c r="M231" s="195"/>
    </row>
    <row r="232" spans="1:13" x14ac:dyDescent="0.25">
      <c r="A232" s="205">
        <v>46146</v>
      </c>
      <c r="B232" s="131" t="s">
        <v>441</v>
      </c>
      <c r="C232" s="112">
        <v>1</v>
      </c>
      <c r="D232" s="112">
        <v>1</v>
      </c>
      <c r="E232" s="133" t="s">
        <v>442</v>
      </c>
      <c r="F232" s="113" t="s">
        <v>128</v>
      </c>
      <c r="G232" s="114">
        <v>4.1100000000000003</v>
      </c>
      <c r="H232" s="114">
        <f t="shared" si="18"/>
        <v>4.1100000000000003</v>
      </c>
      <c r="I232" s="59">
        <f t="shared" si="16"/>
        <v>0.61650000000000005</v>
      </c>
      <c r="J232" s="115">
        <f t="shared" si="17"/>
        <v>4.7265000000000006</v>
      </c>
      <c r="K232" s="195">
        <f t="shared" si="15"/>
        <v>4.7265000000000006</v>
      </c>
      <c r="L232" s="195"/>
      <c r="M232" s="195"/>
    </row>
    <row r="233" spans="1:13" ht="16.5" thickBot="1" x14ac:dyDescent="0.3">
      <c r="A233" s="206">
        <v>46147</v>
      </c>
      <c r="B233" s="132" t="s">
        <v>443</v>
      </c>
      <c r="C233" s="118">
        <v>1</v>
      </c>
      <c r="D233" s="118">
        <v>1</v>
      </c>
      <c r="E233" s="134" t="s">
        <v>444</v>
      </c>
      <c r="F233" s="120" t="s">
        <v>128</v>
      </c>
      <c r="G233" s="121">
        <v>210</v>
      </c>
      <c r="H233" s="121">
        <f t="shared" si="18"/>
        <v>210</v>
      </c>
      <c r="I233" s="59">
        <f t="shared" si="16"/>
        <v>31.5</v>
      </c>
      <c r="J233" s="122">
        <f t="shared" si="17"/>
        <v>241.5</v>
      </c>
      <c r="K233" s="196">
        <f t="shared" si="15"/>
        <v>241.5</v>
      </c>
      <c r="L233" s="196"/>
      <c r="M233" s="196"/>
    </row>
    <row r="234" spans="1:13" x14ac:dyDescent="0.25">
      <c r="A234" s="209">
        <v>46147</v>
      </c>
      <c r="B234" s="56" t="s">
        <v>445</v>
      </c>
      <c r="C234" s="62">
        <v>1</v>
      </c>
      <c r="D234" s="62">
        <v>1</v>
      </c>
      <c r="E234" s="136" t="s">
        <v>118</v>
      </c>
      <c r="F234" s="137" t="s">
        <v>128</v>
      </c>
      <c r="G234" s="137">
        <v>7.5</v>
      </c>
      <c r="H234" s="90">
        <f t="shared" ref="H234:H244" si="19">G234*C234</f>
        <v>7.5</v>
      </c>
      <c r="I234" s="58">
        <f t="shared" si="16"/>
        <v>1.125</v>
      </c>
      <c r="J234" s="58">
        <f t="shared" si="17"/>
        <v>8.625</v>
      </c>
      <c r="K234" s="221">
        <f>SUM(J234:J237)</f>
        <v>23</v>
      </c>
      <c r="L234" s="221"/>
      <c r="M234" s="221"/>
    </row>
    <row r="235" spans="1:13" x14ac:dyDescent="0.25">
      <c r="A235" s="210"/>
      <c r="B235" s="45"/>
      <c r="C235" s="48">
        <v>1</v>
      </c>
      <c r="D235" s="48">
        <v>1</v>
      </c>
      <c r="E235" s="36" t="s">
        <v>49</v>
      </c>
      <c r="F235" s="37" t="s">
        <v>128</v>
      </c>
      <c r="G235" s="37">
        <v>4.75</v>
      </c>
      <c r="H235" s="65">
        <f t="shared" si="19"/>
        <v>4.75</v>
      </c>
      <c r="I235" s="59">
        <f t="shared" si="16"/>
        <v>0.71250000000000002</v>
      </c>
      <c r="J235" s="59">
        <f t="shared" si="17"/>
        <v>5.4625000000000004</v>
      </c>
      <c r="K235" s="222"/>
      <c r="L235" s="222"/>
      <c r="M235" s="222"/>
    </row>
    <row r="236" spans="1:13" x14ac:dyDescent="0.25">
      <c r="A236" s="210"/>
      <c r="B236" s="45"/>
      <c r="C236" s="48">
        <v>1</v>
      </c>
      <c r="D236" s="48">
        <v>1</v>
      </c>
      <c r="E236" s="36" t="s">
        <v>50</v>
      </c>
      <c r="F236" s="37" t="s">
        <v>128</v>
      </c>
      <c r="G236" s="37">
        <v>3.75</v>
      </c>
      <c r="H236" s="65">
        <f t="shared" si="19"/>
        <v>3.75</v>
      </c>
      <c r="I236" s="59">
        <f t="shared" si="16"/>
        <v>0.5625</v>
      </c>
      <c r="J236" s="59">
        <f t="shared" si="17"/>
        <v>4.3125</v>
      </c>
      <c r="K236" s="222"/>
      <c r="L236" s="222"/>
      <c r="M236" s="222"/>
    </row>
    <row r="237" spans="1:13" x14ac:dyDescent="0.25">
      <c r="A237" s="210"/>
      <c r="B237" s="45"/>
      <c r="C237" s="48">
        <v>1</v>
      </c>
      <c r="D237" s="48">
        <v>1</v>
      </c>
      <c r="E237" s="36" t="s">
        <v>51</v>
      </c>
      <c r="F237" s="37" t="s">
        <v>128</v>
      </c>
      <c r="G237" s="37">
        <v>4</v>
      </c>
      <c r="H237" s="65">
        <f t="shared" si="19"/>
        <v>4</v>
      </c>
      <c r="I237" s="59">
        <f t="shared" si="16"/>
        <v>0.6</v>
      </c>
      <c r="J237" s="59">
        <f t="shared" si="17"/>
        <v>4.5999999999999996</v>
      </c>
      <c r="K237" s="222"/>
      <c r="L237" s="222"/>
      <c r="M237" s="222"/>
    </row>
    <row r="238" spans="1:13" x14ac:dyDescent="0.25">
      <c r="A238" s="205">
        <v>46147</v>
      </c>
      <c r="B238" s="131" t="s">
        <v>446</v>
      </c>
      <c r="C238" s="112">
        <v>1</v>
      </c>
      <c r="D238" s="112">
        <v>1</v>
      </c>
      <c r="E238" s="133" t="s">
        <v>447</v>
      </c>
      <c r="F238" s="113" t="s">
        <v>128</v>
      </c>
      <c r="G238" s="114">
        <v>945</v>
      </c>
      <c r="H238" s="114">
        <f t="shared" si="19"/>
        <v>945</v>
      </c>
      <c r="I238" s="115">
        <f t="shared" si="16"/>
        <v>141.75</v>
      </c>
      <c r="J238" s="115">
        <f t="shared" si="17"/>
        <v>1086.75</v>
      </c>
      <c r="K238" s="195">
        <f t="shared" si="15"/>
        <v>1086.75</v>
      </c>
      <c r="L238" s="195"/>
      <c r="M238" s="195"/>
    </row>
    <row r="239" spans="1:13" ht="32.25" thickBot="1" x14ac:dyDescent="0.3">
      <c r="A239" s="206">
        <v>46150</v>
      </c>
      <c r="B239" s="132" t="s">
        <v>448</v>
      </c>
      <c r="C239" s="118">
        <v>40</v>
      </c>
      <c r="D239" s="118">
        <v>40</v>
      </c>
      <c r="E239" s="134" t="s">
        <v>366</v>
      </c>
      <c r="F239" s="120" t="s">
        <v>128</v>
      </c>
      <c r="G239" s="121">
        <v>0.22</v>
      </c>
      <c r="H239" s="121">
        <f t="shared" si="19"/>
        <v>8.8000000000000007</v>
      </c>
      <c r="I239" s="122">
        <f t="shared" si="16"/>
        <v>1.32</v>
      </c>
      <c r="J239" s="122">
        <f t="shared" si="17"/>
        <v>10.120000000000001</v>
      </c>
      <c r="K239" s="196">
        <f t="shared" si="15"/>
        <v>10.120000000000001</v>
      </c>
      <c r="L239" s="196">
        <v>10</v>
      </c>
      <c r="M239" s="214" t="s">
        <v>530</v>
      </c>
    </row>
    <row r="240" spans="1:13" x14ac:dyDescent="0.25">
      <c r="A240" s="209">
        <v>46151</v>
      </c>
      <c r="B240" s="56" t="s">
        <v>449</v>
      </c>
      <c r="C240" s="62">
        <v>1</v>
      </c>
      <c r="D240" s="62">
        <v>1</v>
      </c>
      <c r="E240" s="57" t="s">
        <v>450</v>
      </c>
      <c r="F240" s="95" t="s">
        <v>19</v>
      </c>
      <c r="G240" s="96">
        <v>4.78</v>
      </c>
      <c r="H240" s="90">
        <f t="shared" si="19"/>
        <v>4.78</v>
      </c>
      <c r="I240" s="58">
        <f t="shared" si="16"/>
        <v>0.71699999999999997</v>
      </c>
      <c r="J240" s="58">
        <f t="shared" si="17"/>
        <v>5.4969999999999999</v>
      </c>
      <c r="K240" s="221">
        <f>SUM(J240:J244)</f>
        <v>32.970500000000001</v>
      </c>
      <c r="L240" s="221"/>
      <c r="M240" s="221"/>
    </row>
    <row r="241" spans="1:13" x14ac:dyDescent="0.25">
      <c r="A241" s="210"/>
      <c r="B241" s="45"/>
      <c r="C241" s="48">
        <v>2</v>
      </c>
      <c r="D241" s="48">
        <v>2</v>
      </c>
      <c r="E241" s="40" t="s">
        <v>451</v>
      </c>
      <c r="F241" s="41" t="s">
        <v>19</v>
      </c>
      <c r="G241" s="66">
        <v>4.78</v>
      </c>
      <c r="H241" s="65">
        <f t="shared" si="19"/>
        <v>9.56</v>
      </c>
      <c r="I241" s="59">
        <f t="shared" si="16"/>
        <v>1.4339999999999999</v>
      </c>
      <c r="J241" s="59">
        <f t="shared" si="17"/>
        <v>10.994</v>
      </c>
      <c r="K241" s="222"/>
      <c r="L241" s="222"/>
      <c r="M241" s="222"/>
    </row>
    <row r="242" spans="1:13" x14ac:dyDescent="0.25">
      <c r="A242" s="210"/>
      <c r="B242" s="45"/>
      <c r="C242" s="48">
        <v>2</v>
      </c>
      <c r="D242" s="48">
        <v>2</v>
      </c>
      <c r="E242" s="40" t="s">
        <v>452</v>
      </c>
      <c r="F242" s="41" t="s">
        <v>35</v>
      </c>
      <c r="G242" s="66">
        <v>1.74</v>
      </c>
      <c r="H242" s="65">
        <f t="shared" si="19"/>
        <v>3.48</v>
      </c>
      <c r="I242" s="59">
        <f t="shared" si="16"/>
        <v>0.52200000000000002</v>
      </c>
      <c r="J242" s="59">
        <f t="shared" si="17"/>
        <v>4.0019999999999998</v>
      </c>
      <c r="K242" s="222"/>
      <c r="L242" s="222"/>
      <c r="M242" s="222"/>
    </row>
    <row r="243" spans="1:13" x14ac:dyDescent="0.25">
      <c r="A243" s="210"/>
      <c r="B243" s="45"/>
      <c r="C243" s="48">
        <v>6</v>
      </c>
      <c r="D243" s="48">
        <v>6</v>
      </c>
      <c r="E243" s="40" t="s">
        <v>32</v>
      </c>
      <c r="F243" s="41" t="s">
        <v>35</v>
      </c>
      <c r="G243" s="66">
        <v>1.7</v>
      </c>
      <c r="H243" s="65">
        <f t="shared" si="19"/>
        <v>10.199999999999999</v>
      </c>
      <c r="I243" s="59">
        <f t="shared" si="16"/>
        <v>1.5299999999999998</v>
      </c>
      <c r="J243" s="59">
        <f t="shared" si="17"/>
        <v>11.729999999999999</v>
      </c>
      <c r="K243" s="222"/>
      <c r="L243" s="222"/>
      <c r="M243" s="222"/>
    </row>
    <row r="244" spans="1:13" ht="16.5" thickBot="1" x14ac:dyDescent="0.3">
      <c r="A244" s="211"/>
      <c r="B244" s="63"/>
      <c r="C244" s="64">
        <v>1</v>
      </c>
      <c r="D244" s="64">
        <v>1</v>
      </c>
      <c r="E244" s="60" t="s">
        <v>453</v>
      </c>
      <c r="F244" s="92" t="s">
        <v>35</v>
      </c>
      <c r="G244" s="93">
        <v>0.65</v>
      </c>
      <c r="H244" s="94">
        <f t="shared" si="19"/>
        <v>0.65</v>
      </c>
      <c r="I244" s="61">
        <f t="shared" si="16"/>
        <v>9.7500000000000003E-2</v>
      </c>
      <c r="J244" s="61">
        <f t="shared" si="17"/>
        <v>0.74750000000000005</v>
      </c>
      <c r="K244" s="223"/>
      <c r="L244" s="223"/>
      <c r="M244" s="223"/>
    </row>
    <row r="245" spans="1:13" x14ac:dyDescent="0.25">
      <c r="A245" s="209">
        <v>46160</v>
      </c>
      <c r="B245" s="140" t="s">
        <v>465</v>
      </c>
      <c r="C245" s="62">
        <v>1</v>
      </c>
      <c r="D245" s="62">
        <v>6</v>
      </c>
      <c r="E245" s="95" t="s">
        <v>466</v>
      </c>
      <c r="F245" s="95" t="s">
        <v>128</v>
      </c>
      <c r="G245" s="96">
        <f>4.7/6</f>
        <v>0.78333333333333333</v>
      </c>
      <c r="H245" s="96">
        <f>D245*G245</f>
        <v>4.7</v>
      </c>
      <c r="I245" s="58">
        <f t="shared" si="16"/>
        <v>0.70499999999999996</v>
      </c>
      <c r="J245" s="58">
        <f t="shared" si="17"/>
        <v>5.4050000000000002</v>
      </c>
      <c r="K245" s="221">
        <f>SUM(J245:J248)</f>
        <v>42.906500000000001</v>
      </c>
      <c r="L245" s="221"/>
      <c r="M245" s="221"/>
    </row>
    <row r="246" spans="1:13" x14ac:dyDescent="0.25">
      <c r="A246" s="210"/>
      <c r="B246" s="45"/>
      <c r="C246" s="48">
        <v>2</v>
      </c>
      <c r="D246" s="48">
        <v>2</v>
      </c>
      <c r="E246" s="41" t="s">
        <v>467</v>
      </c>
      <c r="F246" s="41" t="s">
        <v>128</v>
      </c>
      <c r="G246" s="66">
        <v>4.3499999999999996</v>
      </c>
      <c r="H246" s="66">
        <f t="shared" ref="H246:H273" si="20">D246*G246</f>
        <v>8.6999999999999993</v>
      </c>
      <c r="I246" s="59">
        <f t="shared" si="16"/>
        <v>1.3049999999999999</v>
      </c>
      <c r="J246" s="59">
        <f t="shared" si="17"/>
        <v>10.004999999999999</v>
      </c>
      <c r="K246" s="222"/>
      <c r="L246" s="222"/>
      <c r="M246" s="222"/>
    </row>
    <row r="247" spans="1:13" x14ac:dyDescent="0.25">
      <c r="A247" s="210"/>
      <c r="B247" s="45"/>
      <c r="C247" s="48">
        <v>1</v>
      </c>
      <c r="D247" s="48">
        <v>1</v>
      </c>
      <c r="E247" s="41" t="s">
        <v>468</v>
      </c>
      <c r="F247" s="41" t="s">
        <v>128</v>
      </c>
      <c r="G247" s="66">
        <v>4.3499999999999996</v>
      </c>
      <c r="H247" s="66">
        <f t="shared" si="20"/>
        <v>4.3499999999999996</v>
      </c>
      <c r="I247" s="59">
        <f t="shared" si="16"/>
        <v>0.65249999999999997</v>
      </c>
      <c r="J247" s="59">
        <f t="shared" si="17"/>
        <v>5.0024999999999995</v>
      </c>
      <c r="K247" s="222"/>
      <c r="L247" s="222"/>
      <c r="M247" s="222"/>
    </row>
    <row r="248" spans="1:13" x14ac:dyDescent="0.25">
      <c r="A248" s="210"/>
      <c r="B248" s="45"/>
      <c r="C248" s="48">
        <v>3</v>
      </c>
      <c r="D248" s="48">
        <v>3</v>
      </c>
      <c r="E248" s="41" t="s">
        <v>469</v>
      </c>
      <c r="F248" s="41" t="s">
        <v>128</v>
      </c>
      <c r="G248" s="66">
        <v>6.52</v>
      </c>
      <c r="H248" s="66">
        <f t="shared" si="20"/>
        <v>19.559999999999999</v>
      </c>
      <c r="I248" s="59">
        <f t="shared" si="16"/>
        <v>2.9339999999999997</v>
      </c>
      <c r="J248" s="59">
        <f t="shared" si="17"/>
        <v>22.494</v>
      </c>
      <c r="K248" s="222"/>
      <c r="L248" s="222"/>
      <c r="M248" s="222"/>
    </row>
    <row r="249" spans="1:13" x14ac:dyDescent="0.25">
      <c r="A249" s="205">
        <v>46160</v>
      </c>
      <c r="B249" s="141" t="s">
        <v>470</v>
      </c>
      <c r="C249" s="112">
        <v>12</v>
      </c>
      <c r="D249" s="112">
        <v>12</v>
      </c>
      <c r="E249" s="113" t="s">
        <v>471</v>
      </c>
      <c r="F249" s="113" t="s">
        <v>128</v>
      </c>
      <c r="G249" s="114">
        <v>0.43</v>
      </c>
      <c r="H249" s="114">
        <f t="shared" si="20"/>
        <v>5.16</v>
      </c>
      <c r="I249" s="115">
        <f t="shared" si="16"/>
        <v>0.77400000000000002</v>
      </c>
      <c r="J249" s="115">
        <f t="shared" si="17"/>
        <v>5.9340000000000002</v>
      </c>
      <c r="K249" s="195">
        <f t="shared" si="15"/>
        <v>5.9340000000000002</v>
      </c>
      <c r="L249" s="195"/>
      <c r="M249" s="195"/>
    </row>
    <row r="250" spans="1:13" ht="32.25" thickBot="1" x14ac:dyDescent="0.3">
      <c r="A250" s="206">
        <v>46163</v>
      </c>
      <c r="B250" s="142" t="s">
        <v>472</v>
      </c>
      <c r="C250" s="118">
        <v>3</v>
      </c>
      <c r="D250" s="118">
        <v>3</v>
      </c>
      <c r="E250" s="120" t="s">
        <v>473</v>
      </c>
      <c r="F250" s="120" t="s">
        <v>35</v>
      </c>
      <c r="G250" s="121">
        <v>3.48</v>
      </c>
      <c r="H250" s="121">
        <f t="shared" si="20"/>
        <v>10.44</v>
      </c>
      <c r="I250" s="122">
        <f t="shared" si="16"/>
        <v>1.5659999999999998</v>
      </c>
      <c r="J250" s="122">
        <f t="shared" si="17"/>
        <v>12.006</v>
      </c>
      <c r="K250" s="196">
        <f t="shared" si="15"/>
        <v>12.006</v>
      </c>
      <c r="L250" s="196">
        <v>12</v>
      </c>
      <c r="M250" s="214" t="s">
        <v>531</v>
      </c>
    </row>
    <row r="251" spans="1:13" x14ac:dyDescent="0.25">
      <c r="A251" s="209">
        <v>46168</v>
      </c>
      <c r="B251" s="140" t="s">
        <v>474</v>
      </c>
      <c r="C251" s="62">
        <v>1</v>
      </c>
      <c r="D251" s="62">
        <v>1</v>
      </c>
      <c r="E251" s="95" t="s">
        <v>475</v>
      </c>
      <c r="F251" s="95" t="s">
        <v>35</v>
      </c>
      <c r="G251" s="96">
        <v>13.04</v>
      </c>
      <c r="H251" s="96">
        <f t="shared" si="20"/>
        <v>13.04</v>
      </c>
      <c r="I251" s="58">
        <f t="shared" si="16"/>
        <v>1.9559999999999997</v>
      </c>
      <c r="J251" s="58">
        <f t="shared" si="17"/>
        <v>14.995999999999999</v>
      </c>
      <c r="K251" s="221">
        <f>SUM(J251:J260)</f>
        <v>112.47</v>
      </c>
      <c r="L251" s="221">
        <v>12.45</v>
      </c>
      <c r="M251" s="224" t="s">
        <v>532</v>
      </c>
    </row>
    <row r="252" spans="1:13" x14ac:dyDescent="0.25">
      <c r="A252" s="210"/>
      <c r="B252" s="45"/>
      <c r="C252" s="48">
        <v>1</v>
      </c>
      <c r="D252" s="48">
        <v>1</v>
      </c>
      <c r="E252" s="41" t="s">
        <v>476</v>
      </c>
      <c r="F252" s="41" t="s">
        <v>35</v>
      </c>
      <c r="G252" s="66">
        <v>6.96</v>
      </c>
      <c r="H252" s="66">
        <f t="shared" si="20"/>
        <v>6.96</v>
      </c>
      <c r="I252" s="59">
        <f t="shared" si="16"/>
        <v>1.044</v>
      </c>
      <c r="J252" s="59">
        <f t="shared" si="17"/>
        <v>8.0039999999999996</v>
      </c>
      <c r="K252" s="222"/>
      <c r="L252" s="222"/>
      <c r="M252" s="222"/>
    </row>
    <row r="253" spans="1:13" x14ac:dyDescent="0.25">
      <c r="A253" s="210"/>
      <c r="B253" s="45"/>
      <c r="C253" s="48">
        <v>1</v>
      </c>
      <c r="D253" s="48">
        <v>1</v>
      </c>
      <c r="E253" s="41" t="s">
        <v>477</v>
      </c>
      <c r="F253" s="41" t="s">
        <v>19</v>
      </c>
      <c r="G253" s="66">
        <v>10</v>
      </c>
      <c r="H253" s="66">
        <f t="shared" si="20"/>
        <v>10</v>
      </c>
      <c r="I253" s="59">
        <f t="shared" si="16"/>
        <v>1.5</v>
      </c>
      <c r="J253" s="59">
        <f t="shared" si="17"/>
        <v>11.5</v>
      </c>
      <c r="K253" s="222"/>
      <c r="L253" s="222"/>
      <c r="M253" s="222"/>
    </row>
    <row r="254" spans="1:13" x14ac:dyDescent="0.25">
      <c r="A254" s="210"/>
      <c r="B254" s="45"/>
      <c r="C254" s="48">
        <v>3</v>
      </c>
      <c r="D254" s="48">
        <v>3</v>
      </c>
      <c r="E254" s="41" t="s">
        <v>478</v>
      </c>
      <c r="F254" s="41" t="s">
        <v>35</v>
      </c>
      <c r="G254" s="66">
        <v>1.1299999999999999</v>
      </c>
      <c r="H254" s="66">
        <f t="shared" si="20"/>
        <v>3.3899999999999997</v>
      </c>
      <c r="I254" s="59">
        <f t="shared" si="16"/>
        <v>0.50849999999999995</v>
      </c>
      <c r="J254" s="59">
        <f t="shared" si="17"/>
        <v>3.8984999999999994</v>
      </c>
      <c r="K254" s="222"/>
      <c r="L254" s="222"/>
      <c r="M254" s="222"/>
    </row>
    <row r="255" spans="1:13" x14ac:dyDescent="0.25">
      <c r="A255" s="210"/>
      <c r="B255" s="45"/>
      <c r="C255" s="48">
        <v>2</v>
      </c>
      <c r="D255" s="48">
        <v>120</v>
      </c>
      <c r="E255" s="41" t="s">
        <v>479</v>
      </c>
      <c r="F255" s="41" t="s">
        <v>19</v>
      </c>
      <c r="G255" s="66">
        <f>3.91/60</f>
        <v>6.5166666666666664E-2</v>
      </c>
      <c r="H255" s="66">
        <f t="shared" si="20"/>
        <v>7.8199999999999994</v>
      </c>
      <c r="I255" s="59">
        <f t="shared" si="16"/>
        <v>1.1729999999999998</v>
      </c>
      <c r="J255" s="59">
        <f t="shared" si="17"/>
        <v>8.9929999999999986</v>
      </c>
      <c r="K255" s="222"/>
      <c r="L255" s="222"/>
      <c r="M255" s="222"/>
    </row>
    <row r="256" spans="1:13" x14ac:dyDescent="0.25">
      <c r="A256" s="210"/>
      <c r="B256" s="45"/>
      <c r="C256" s="48">
        <v>6</v>
      </c>
      <c r="D256" s="48">
        <v>6</v>
      </c>
      <c r="E256" s="41" t="s">
        <v>480</v>
      </c>
      <c r="F256" s="41" t="s">
        <v>35</v>
      </c>
      <c r="G256" s="66">
        <v>1.3</v>
      </c>
      <c r="H256" s="66">
        <f t="shared" si="20"/>
        <v>7.8000000000000007</v>
      </c>
      <c r="I256" s="59">
        <f t="shared" si="16"/>
        <v>1.1700000000000002</v>
      </c>
      <c r="J256" s="59">
        <f t="shared" si="17"/>
        <v>8.9700000000000006</v>
      </c>
      <c r="K256" s="222"/>
      <c r="L256" s="222"/>
      <c r="M256" s="222"/>
    </row>
    <row r="257" spans="1:20" x14ac:dyDescent="0.25">
      <c r="A257" s="210"/>
      <c r="B257" s="45"/>
      <c r="C257" s="48">
        <v>3</v>
      </c>
      <c r="D257" s="48">
        <v>3</v>
      </c>
      <c r="E257" s="41" t="s">
        <v>407</v>
      </c>
      <c r="F257" s="41" t="s">
        <v>35</v>
      </c>
      <c r="G257" s="66">
        <v>1.17</v>
      </c>
      <c r="H257" s="66">
        <f t="shared" si="20"/>
        <v>3.51</v>
      </c>
      <c r="I257" s="59">
        <f t="shared" si="16"/>
        <v>0.52649999999999997</v>
      </c>
      <c r="J257" s="59">
        <f t="shared" si="17"/>
        <v>4.0365000000000002</v>
      </c>
      <c r="K257" s="222"/>
      <c r="L257" s="222"/>
      <c r="M257" s="222"/>
      <c r="S257" s="39">
        <v>10</v>
      </c>
      <c r="T257" s="107" t="s">
        <v>485</v>
      </c>
    </row>
    <row r="258" spans="1:20" x14ac:dyDescent="0.25">
      <c r="A258" s="210"/>
      <c r="B258" s="45"/>
      <c r="C258" s="48">
        <v>6</v>
      </c>
      <c r="D258" s="48">
        <v>6</v>
      </c>
      <c r="E258" s="41" t="s">
        <v>481</v>
      </c>
      <c r="F258" s="41" t="s">
        <v>35</v>
      </c>
      <c r="G258" s="66">
        <v>1.74</v>
      </c>
      <c r="H258" s="66">
        <f t="shared" si="20"/>
        <v>10.44</v>
      </c>
      <c r="I258" s="59">
        <f t="shared" si="16"/>
        <v>1.5659999999999998</v>
      </c>
      <c r="J258" s="59">
        <f t="shared" si="17"/>
        <v>12.006</v>
      </c>
      <c r="K258" s="222"/>
      <c r="L258" s="222"/>
      <c r="M258" s="222"/>
      <c r="S258" s="39">
        <v>32.200000000000003</v>
      </c>
      <c r="T258" s="107" t="s">
        <v>486</v>
      </c>
    </row>
    <row r="259" spans="1:20" x14ac:dyDescent="0.25">
      <c r="A259" s="210"/>
      <c r="B259" s="45"/>
      <c r="C259" s="48">
        <v>12</v>
      </c>
      <c r="D259" s="48">
        <v>12</v>
      </c>
      <c r="E259" s="41" t="s">
        <v>482</v>
      </c>
      <c r="F259" s="41" t="s">
        <v>35</v>
      </c>
      <c r="G259" s="66">
        <v>2.17</v>
      </c>
      <c r="H259" s="66">
        <f t="shared" si="20"/>
        <v>26.04</v>
      </c>
      <c r="I259" s="59">
        <f t="shared" si="16"/>
        <v>3.9059999999999997</v>
      </c>
      <c r="J259" s="59">
        <f t="shared" si="17"/>
        <v>29.945999999999998</v>
      </c>
      <c r="K259" s="222"/>
      <c r="L259" s="222"/>
      <c r="M259" s="222"/>
      <c r="S259" s="39">
        <v>10</v>
      </c>
      <c r="T259" s="107" t="s">
        <v>487</v>
      </c>
    </row>
    <row r="260" spans="1:20" x14ac:dyDescent="0.25">
      <c r="A260" s="210"/>
      <c r="B260" s="45"/>
      <c r="C260" s="48">
        <v>40</v>
      </c>
      <c r="D260" s="48">
        <v>40</v>
      </c>
      <c r="E260" s="41" t="s">
        <v>483</v>
      </c>
      <c r="F260" s="41" t="s">
        <v>128</v>
      </c>
      <c r="G260" s="66">
        <v>0.22</v>
      </c>
      <c r="H260" s="66">
        <f t="shared" si="20"/>
        <v>8.8000000000000007</v>
      </c>
      <c r="I260" s="59">
        <f t="shared" si="16"/>
        <v>1.32</v>
      </c>
      <c r="J260" s="59">
        <f t="shared" si="17"/>
        <v>10.120000000000001</v>
      </c>
      <c r="K260" s="222"/>
      <c r="L260" s="222"/>
      <c r="M260" s="222"/>
      <c r="S260" s="39">
        <v>130</v>
      </c>
      <c r="T260" s="107" t="s">
        <v>488</v>
      </c>
    </row>
    <row r="261" spans="1:20" x14ac:dyDescent="0.25">
      <c r="A261" s="45"/>
      <c r="B261" s="45"/>
      <c r="C261" s="48"/>
      <c r="D261" s="48"/>
      <c r="E261" s="41"/>
      <c r="F261" s="41"/>
      <c r="G261" s="66"/>
      <c r="H261" s="66"/>
      <c r="I261" s="59"/>
      <c r="J261" s="59"/>
      <c r="K261" s="194"/>
      <c r="L261" s="194"/>
      <c r="M261" s="194"/>
      <c r="T261" s="107"/>
    </row>
    <row r="262" spans="1:20" x14ac:dyDescent="0.25">
      <c r="A262" s="225" t="s">
        <v>517</v>
      </c>
      <c r="B262" s="226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T262" s="107"/>
    </row>
    <row r="263" spans="1:20" ht="47.25" x14ac:dyDescent="0.25">
      <c r="A263" s="205">
        <v>46174</v>
      </c>
      <c r="B263" s="141" t="s">
        <v>500</v>
      </c>
      <c r="C263" s="112">
        <v>1</v>
      </c>
      <c r="D263" s="112">
        <v>1</v>
      </c>
      <c r="E263" s="193" t="s">
        <v>501</v>
      </c>
      <c r="F263" s="113" t="s">
        <v>128</v>
      </c>
      <c r="G263" s="114">
        <v>210</v>
      </c>
      <c r="H263" s="114">
        <f t="shared" si="20"/>
        <v>210</v>
      </c>
      <c r="I263" s="113">
        <f t="shared" si="16"/>
        <v>31.5</v>
      </c>
      <c r="J263" s="113">
        <f t="shared" si="17"/>
        <v>241.5</v>
      </c>
      <c r="K263" s="199">
        <f>J263</f>
        <v>241.5</v>
      </c>
      <c r="L263" s="199"/>
      <c r="M263" s="199"/>
      <c r="S263" s="39">
        <v>60</v>
      </c>
      <c r="T263" s="107" t="s">
        <v>489</v>
      </c>
    </row>
    <row r="264" spans="1:20" x14ac:dyDescent="0.25">
      <c r="A264" s="205">
        <v>46174</v>
      </c>
      <c r="B264" s="141" t="s">
        <v>502</v>
      </c>
      <c r="C264" s="112">
        <v>3</v>
      </c>
      <c r="D264" s="112">
        <v>3</v>
      </c>
      <c r="E264" s="113" t="s">
        <v>503</v>
      </c>
      <c r="F264" s="113" t="s">
        <v>35</v>
      </c>
      <c r="G264" s="114">
        <v>1.83</v>
      </c>
      <c r="H264" s="114">
        <f t="shared" si="20"/>
        <v>5.49</v>
      </c>
      <c r="I264" s="113">
        <f t="shared" si="16"/>
        <v>0.82350000000000001</v>
      </c>
      <c r="J264" s="113">
        <f t="shared" si="17"/>
        <v>6.3135000000000003</v>
      </c>
      <c r="K264" s="219">
        <f>J264+J265</f>
        <v>7.8085000000000004</v>
      </c>
      <c r="L264" s="219">
        <v>7.8</v>
      </c>
      <c r="M264" s="220" t="s">
        <v>533</v>
      </c>
      <c r="T264" s="107"/>
    </row>
    <row r="265" spans="1:20" x14ac:dyDescent="0.25">
      <c r="A265" s="141"/>
      <c r="B265" s="141"/>
      <c r="C265" s="112">
        <v>1</v>
      </c>
      <c r="D265" s="112">
        <v>1</v>
      </c>
      <c r="E265" s="113" t="s">
        <v>504</v>
      </c>
      <c r="F265" s="113" t="s">
        <v>129</v>
      </c>
      <c r="G265" s="114">
        <v>1.3</v>
      </c>
      <c r="H265" s="114">
        <f t="shared" si="20"/>
        <v>1.3</v>
      </c>
      <c r="I265" s="113">
        <f t="shared" si="16"/>
        <v>0.19500000000000001</v>
      </c>
      <c r="J265" s="113">
        <f t="shared" si="17"/>
        <v>1.4950000000000001</v>
      </c>
      <c r="K265" s="219"/>
      <c r="L265" s="219"/>
      <c r="M265" s="219"/>
    </row>
    <row r="266" spans="1:20" x14ac:dyDescent="0.25">
      <c r="A266" s="205">
        <v>46174</v>
      </c>
      <c r="B266" s="141" t="s">
        <v>505</v>
      </c>
      <c r="C266" s="112">
        <v>1</v>
      </c>
      <c r="D266" s="112">
        <v>1</v>
      </c>
      <c r="E266" s="113" t="s">
        <v>506</v>
      </c>
      <c r="F266" s="113" t="s">
        <v>128</v>
      </c>
      <c r="G266" s="114">
        <v>1.61</v>
      </c>
      <c r="H266" s="114">
        <f t="shared" si="20"/>
        <v>1.61</v>
      </c>
      <c r="I266" s="113">
        <f t="shared" si="16"/>
        <v>0.24149999999999999</v>
      </c>
      <c r="J266" s="113">
        <f t="shared" si="17"/>
        <v>1.8515000000000001</v>
      </c>
      <c r="K266" s="199">
        <f>J266</f>
        <v>1.8515000000000001</v>
      </c>
      <c r="L266" s="199"/>
      <c r="M266" s="199"/>
    </row>
    <row r="267" spans="1:20" x14ac:dyDescent="0.25">
      <c r="A267" s="205">
        <v>46174</v>
      </c>
      <c r="B267" s="141" t="s">
        <v>507</v>
      </c>
      <c r="C267" s="112">
        <v>1</v>
      </c>
      <c r="D267" s="112">
        <v>1</v>
      </c>
      <c r="E267" s="113" t="s">
        <v>508</v>
      </c>
      <c r="F267" s="113" t="s">
        <v>128</v>
      </c>
      <c r="G267" s="114">
        <v>945</v>
      </c>
      <c r="H267" s="114">
        <f t="shared" si="20"/>
        <v>945</v>
      </c>
      <c r="I267" s="113">
        <f t="shared" si="16"/>
        <v>141.75</v>
      </c>
      <c r="J267" s="113">
        <f t="shared" si="17"/>
        <v>1086.75</v>
      </c>
      <c r="K267" s="199">
        <f>J267</f>
        <v>1086.75</v>
      </c>
      <c r="L267" s="199"/>
      <c r="M267" s="199"/>
    </row>
    <row r="268" spans="1:20" x14ac:dyDescent="0.25">
      <c r="A268" s="205">
        <v>46174</v>
      </c>
      <c r="B268" s="141" t="s">
        <v>509</v>
      </c>
      <c r="C268" s="112">
        <v>100</v>
      </c>
      <c r="D268" s="112">
        <v>1</v>
      </c>
      <c r="E268" s="113" t="s">
        <v>510</v>
      </c>
      <c r="F268" s="113" t="s">
        <v>397</v>
      </c>
      <c r="G268" s="114">
        <v>2.17</v>
      </c>
      <c r="H268" s="114">
        <f t="shared" si="20"/>
        <v>2.17</v>
      </c>
      <c r="I268" s="113">
        <f t="shared" si="16"/>
        <v>0.32549999999999996</v>
      </c>
      <c r="J268" s="113">
        <f t="shared" si="17"/>
        <v>2.4954999999999998</v>
      </c>
      <c r="K268" s="219">
        <f>SUM(J268:J271)</f>
        <v>33.453499999999998</v>
      </c>
      <c r="L268" s="219"/>
      <c r="M268" s="219"/>
    </row>
    <row r="269" spans="1:20" x14ac:dyDescent="0.25">
      <c r="A269" s="141"/>
      <c r="B269" s="141"/>
      <c r="C269" s="112">
        <v>1</v>
      </c>
      <c r="D269" s="112">
        <v>1</v>
      </c>
      <c r="E269" s="113" t="s">
        <v>511</v>
      </c>
      <c r="F269" s="113" t="s">
        <v>397</v>
      </c>
      <c r="G269" s="114">
        <v>6.52</v>
      </c>
      <c r="H269" s="114">
        <f t="shared" si="20"/>
        <v>6.52</v>
      </c>
      <c r="I269" s="113">
        <f t="shared" si="16"/>
        <v>0.97799999999999987</v>
      </c>
      <c r="J269" s="113">
        <f t="shared" si="17"/>
        <v>7.4979999999999993</v>
      </c>
      <c r="K269" s="219"/>
      <c r="L269" s="219"/>
      <c r="M269" s="219"/>
    </row>
    <row r="270" spans="1:20" x14ac:dyDescent="0.25">
      <c r="A270" s="141"/>
      <c r="B270" s="141"/>
      <c r="C270" s="112">
        <v>1</v>
      </c>
      <c r="D270" s="112">
        <v>1</v>
      </c>
      <c r="E270" s="113" t="s">
        <v>512</v>
      </c>
      <c r="F270" s="113" t="s">
        <v>397</v>
      </c>
      <c r="G270" s="114">
        <v>1.74</v>
      </c>
      <c r="H270" s="114">
        <f t="shared" si="20"/>
        <v>1.74</v>
      </c>
      <c r="I270" s="113">
        <f t="shared" si="16"/>
        <v>0.26100000000000001</v>
      </c>
      <c r="J270" s="113">
        <f t="shared" si="17"/>
        <v>2.0009999999999999</v>
      </c>
      <c r="K270" s="219"/>
      <c r="L270" s="219"/>
      <c r="M270" s="219"/>
    </row>
    <row r="271" spans="1:20" x14ac:dyDescent="0.25">
      <c r="A271" s="141"/>
      <c r="B271" s="141"/>
      <c r="C271" s="112">
        <v>3</v>
      </c>
      <c r="D271" s="112">
        <v>3</v>
      </c>
      <c r="E271" s="113" t="s">
        <v>513</v>
      </c>
      <c r="F271" s="113" t="s">
        <v>36</v>
      </c>
      <c r="G271" s="114">
        <v>6.22</v>
      </c>
      <c r="H271" s="114">
        <f t="shared" si="20"/>
        <v>18.66</v>
      </c>
      <c r="I271" s="113">
        <f t="shared" si="16"/>
        <v>2.7989999999999999</v>
      </c>
      <c r="J271" s="113">
        <f t="shared" si="17"/>
        <v>21.459</v>
      </c>
      <c r="K271" s="219"/>
      <c r="L271" s="219"/>
      <c r="M271" s="219"/>
    </row>
    <row r="272" spans="1:20" ht="31.5" x14ac:dyDescent="0.25">
      <c r="A272" s="205">
        <v>46174</v>
      </c>
      <c r="B272" s="141" t="s">
        <v>514</v>
      </c>
      <c r="C272" s="112">
        <v>1</v>
      </c>
      <c r="D272" s="112">
        <v>1</v>
      </c>
      <c r="E272" s="193" t="s">
        <v>515</v>
      </c>
      <c r="F272" s="113" t="s">
        <v>128</v>
      </c>
      <c r="G272" s="114">
        <v>5.81</v>
      </c>
      <c r="H272" s="114">
        <f t="shared" si="20"/>
        <v>5.81</v>
      </c>
      <c r="I272" s="113">
        <f t="shared" si="16"/>
        <v>0.87149999999999994</v>
      </c>
      <c r="J272" s="113">
        <f t="shared" si="17"/>
        <v>6.6814999999999998</v>
      </c>
      <c r="K272" s="200">
        <f>J272</f>
        <v>6.6814999999999998</v>
      </c>
      <c r="L272" s="200"/>
      <c r="M272" s="200"/>
    </row>
    <row r="273" spans="1:13" x14ac:dyDescent="0.25">
      <c r="A273" s="205">
        <v>46174</v>
      </c>
      <c r="B273" s="141" t="s">
        <v>516</v>
      </c>
      <c r="C273" s="112">
        <v>1</v>
      </c>
      <c r="D273" s="112">
        <v>1</v>
      </c>
      <c r="E273" s="113" t="s">
        <v>506</v>
      </c>
      <c r="F273" s="113" t="s">
        <v>128</v>
      </c>
      <c r="G273" s="114">
        <v>14.08</v>
      </c>
      <c r="H273" s="114">
        <f t="shared" si="20"/>
        <v>14.08</v>
      </c>
      <c r="I273" s="113">
        <f t="shared" si="16"/>
        <v>2.1120000000000001</v>
      </c>
      <c r="J273" s="113">
        <f t="shared" si="17"/>
        <v>16.192</v>
      </c>
      <c r="K273" s="200">
        <f>J273</f>
        <v>16.192</v>
      </c>
      <c r="L273" s="200"/>
      <c r="M273" s="200"/>
    </row>
    <row r="275" spans="1:13" x14ac:dyDescent="0.25">
      <c r="K275" s="217">
        <f>SUM(K2:K274)</f>
        <v>10956.455120849998</v>
      </c>
    </row>
  </sheetData>
  <autoFilter ref="A1:H260" xr:uid="{00000000-0009-0000-0000-000001000000}"/>
  <mergeCells count="136">
    <mergeCell ref="A2:A38"/>
    <mergeCell ref="K211:K213"/>
    <mergeCell ref="K214:K220"/>
    <mergeCell ref="K234:K237"/>
    <mergeCell ref="K240:K244"/>
    <mergeCell ref="K245:K248"/>
    <mergeCell ref="A229:M229"/>
    <mergeCell ref="L234:L237"/>
    <mergeCell ref="L240:L244"/>
    <mergeCell ref="L245:L248"/>
    <mergeCell ref="K165:K168"/>
    <mergeCell ref="K169:K177"/>
    <mergeCell ref="A178:M178"/>
    <mergeCell ref="K185:K188"/>
    <mergeCell ref="K190:K191"/>
    <mergeCell ref="K195:K200"/>
    <mergeCell ref="K201:K202"/>
    <mergeCell ref="K204:K207"/>
    <mergeCell ref="A203:M203"/>
    <mergeCell ref="L204:L207"/>
    <mergeCell ref="K107:K108"/>
    <mergeCell ref="K109:K110"/>
    <mergeCell ref="K112:K118"/>
    <mergeCell ref="K119:K131"/>
    <mergeCell ref="B107:B108"/>
    <mergeCell ref="A107:A108"/>
    <mergeCell ref="A109:A110"/>
    <mergeCell ref="B109:B110"/>
    <mergeCell ref="K133:K135"/>
    <mergeCell ref="B133:B135"/>
    <mergeCell ref="A133:A135"/>
    <mergeCell ref="B39:B56"/>
    <mergeCell ref="A39:A56"/>
    <mergeCell ref="B57:B66"/>
    <mergeCell ref="A57:A66"/>
    <mergeCell ref="K68:K71"/>
    <mergeCell ref="K72:K75"/>
    <mergeCell ref="K76:K88"/>
    <mergeCell ref="K91:K93"/>
    <mergeCell ref="K95:K101"/>
    <mergeCell ref="L2:L38"/>
    <mergeCell ref="M2:M38"/>
    <mergeCell ref="L39:L56"/>
    <mergeCell ref="M39:M56"/>
    <mergeCell ref="B68:B71"/>
    <mergeCell ref="A68:A71"/>
    <mergeCell ref="B119:B131"/>
    <mergeCell ref="A119:A131"/>
    <mergeCell ref="B76:B88"/>
    <mergeCell ref="A76:A88"/>
    <mergeCell ref="B91:B93"/>
    <mergeCell ref="A91:A93"/>
    <mergeCell ref="B112:B118"/>
    <mergeCell ref="A112:A118"/>
    <mergeCell ref="B95:B101"/>
    <mergeCell ref="A95:A101"/>
    <mergeCell ref="A102:M102"/>
    <mergeCell ref="L107:L108"/>
    <mergeCell ref="L109:L110"/>
    <mergeCell ref="L112:L118"/>
    <mergeCell ref="K2:K38"/>
    <mergeCell ref="B2:B38"/>
    <mergeCell ref="K39:K56"/>
    <mergeCell ref="K57:K66"/>
    <mergeCell ref="L76:L88"/>
    <mergeCell ref="L91:L93"/>
    <mergeCell ref="L95:L101"/>
    <mergeCell ref="M76:M88"/>
    <mergeCell ref="M91:M93"/>
    <mergeCell ref="M95:M101"/>
    <mergeCell ref="L72:L75"/>
    <mergeCell ref="M72:M75"/>
    <mergeCell ref="L57:L66"/>
    <mergeCell ref="M57:M66"/>
    <mergeCell ref="A67:M67"/>
    <mergeCell ref="L68:L71"/>
    <mergeCell ref="M68:M71"/>
    <mergeCell ref="M107:M108"/>
    <mergeCell ref="M109:M110"/>
    <mergeCell ref="M112:M118"/>
    <mergeCell ref="M119:M131"/>
    <mergeCell ref="M133:M135"/>
    <mergeCell ref="L119:L131"/>
    <mergeCell ref="L133:L135"/>
    <mergeCell ref="L136:L139"/>
    <mergeCell ref="L141:L143"/>
    <mergeCell ref="L155:L158"/>
    <mergeCell ref="L165:L168"/>
    <mergeCell ref="L169:L177"/>
    <mergeCell ref="M150:M153"/>
    <mergeCell ref="M155:M158"/>
    <mergeCell ref="M165:M168"/>
    <mergeCell ref="M169:M177"/>
    <mergeCell ref="M136:M139"/>
    <mergeCell ref="M141:M143"/>
    <mergeCell ref="M144:M145"/>
    <mergeCell ref="A146:M146"/>
    <mergeCell ref="L150:L153"/>
    <mergeCell ref="L144:L145"/>
    <mergeCell ref="K136:K139"/>
    <mergeCell ref="K141:K143"/>
    <mergeCell ref="K144:K145"/>
    <mergeCell ref="B144:B145"/>
    <mergeCell ref="A144:A145"/>
    <mergeCell ref="B136:B139"/>
    <mergeCell ref="A136:A139"/>
    <mergeCell ref="B141:B143"/>
    <mergeCell ref="A141:A143"/>
    <mergeCell ref="K150:K153"/>
    <mergeCell ref="K155:K158"/>
    <mergeCell ref="L211:L213"/>
    <mergeCell ref="L214:L220"/>
    <mergeCell ref="M204:M207"/>
    <mergeCell ref="M211:M213"/>
    <mergeCell ref="M214:M220"/>
    <mergeCell ref="L185:L188"/>
    <mergeCell ref="L190:L191"/>
    <mergeCell ref="L195:L200"/>
    <mergeCell ref="L201:L202"/>
    <mergeCell ref="M185:M188"/>
    <mergeCell ref="M190:M191"/>
    <mergeCell ref="M195:M200"/>
    <mergeCell ref="M201:M202"/>
    <mergeCell ref="L264:L265"/>
    <mergeCell ref="L268:L271"/>
    <mergeCell ref="M264:M265"/>
    <mergeCell ref="M268:M271"/>
    <mergeCell ref="M234:M237"/>
    <mergeCell ref="M240:M244"/>
    <mergeCell ref="M245:M248"/>
    <mergeCell ref="M251:M260"/>
    <mergeCell ref="A262:M262"/>
    <mergeCell ref="K251:K260"/>
    <mergeCell ref="K264:K265"/>
    <mergeCell ref="K268:K271"/>
    <mergeCell ref="L251:L26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9.9978637043366805E-2"/>
  </sheetPr>
  <dimension ref="A1:M197"/>
  <sheetViews>
    <sheetView zoomScale="70" zoomScaleNormal="70" workbookViewId="0">
      <pane ySplit="1" topLeftCell="A88" activePane="bottomLeft" state="frozen"/>
      <selection activeCell="F1" sqref="F1"/>
      <selection pane="bottomLeft" activeCell="J199" sqref="J199"/>
    </sheetView>
  </sheetViews>
  <sheetFormatPr baseColWidth="10" defaultColWidth="10.75" defaultRowHeight="15.75" x14ac:dyDescent="0.25"/>
  <cols>
    <col min="1" max="1" width="11.75" style="27" bestFit="1" customWidth="1"/>
    <col min="2" max="2" width="20.25" style="27" bestFit="1" customWidth="1"/>
    <col min="3" max="4" width="23.25" style="24" customWidth="1"/>
    <col min="5" max="5" width="29" style="3" customWidth="1"/>
    <col min="6" max="6" width="23.25" style="3" customWidth="1"/>
    <col min="7" max="7" width="23.25" style="12" customWidth="1"/>
    <col min="8" max="8" width="15.75" style="12" customWidth="1"/>
    <col min="9" max="9" width="10.75" style="3"/>
    <col min="10" max="10" width="18.25" style="3" customWidth="1"/>
    <col min="11" max="11" width="41.5" style="166" customWidth="1"/>
    <col min="12" max="12" width="21.125" style="3" bestFit="1" customWidth="1"/>
    <col min="13" max="13" width="10.875" style="3" bestFit="1" customWidth="1"/>
    <col min="14" max="16384" width="10.75" style="3"/>
  </cols>
  <sheetData>
    <row r="1" spans="1:13" x14ac:dyDescent="0.25">
      <c r="A1" s="30" t="s">
        <v>1</v>
      </c>
      <c r="B1" s="30" t="s">
        <v>14</v>
      </c>
      <c r="C1" s="1" t="s">
        <v>16</v>
      </c>
      <c r="D1" s="1" t="s">
        <v>17</v>
      </c>
      <c r="E1" s="1" t="s">
        <v>0</v>
      </c>
      <c r="F1" s="1" t="s">
        <v>3</v>
      </c>
      <c r="G1" s="2" t="s">
        <v>18</v>
      </c>
      <c r="H1" s="2" t="s">
        <v>2</v>
      </c>
      <c r="I1" s="143" t="s">
        <v>137</v>
      </c>
      <c r="J1" s="143" t="s">
        <v>490</v>
      </c>
      <c r="K1" s="106" t="s">
        <v>493</v>
      </c>
      <c r="L1" s="143" t="s">
        <v>494</v>
      </c>
      <c r="M1" s="143" t="s">
        <v>495</v>
      </c>
    </row>
    <row r="2" spans="1:13" x14ac:dyDescent="0.25">
      <c r="A2" s="284" t="s">
        <v>154</v>
      </c>
      <c r="B2" s="285"/>
      <c r="C2" s="285"/>
      <c r="D2" s="285"/>
      <c r="E2" s="285"/>
      <c r="F2" s="285"/>
      <c r="G2" s="285"/>
      <c r="H2" s="286"/>
    </row>
    <row r="3" spans="1:13" x14ac:dyDescent="0.25">
      <c r="A3" s="287">
        <v>45916</v>
      </c>
      <c r="B3" s="289" t="s">
        <v>155</v>
      </c>
      <c r="C3" s="25" t="s">
        <v>14</v>
      </c>
      <c r="D3" s="25"/>
      <c r="E3" s="4"/>
      <c r="F3" s="26"/>
      <c r="G3" s="10"/>
      <c r="H3" s="5"/>
    </row>
    <row r="4" spans="1:13" x14ac:dyDescent="0.25">
      <c r="A4" s="288"/>
      <c r="B4" s="290"/>
      <c r="C4" s="24">
        <v>33</v>
      </c>
      <c r="E4" s="6"/>
      <c r="G4" s="9"/>
      <c r="H4" s="8"/>
    </row>
    <row r="5" spans="1:13" x14ac:dyDescent="0.25">
      <c r="A5" s="288"/>
      <c r="B5" s="290"/>
      <c r="E5" s="6"/>
      <c r="G5" s="9"/>
      <c r="H5" s="8"/>
    </row>
    <row r="6" spans="1:13" x14ac:dyDescent="0.25">
      <c r="A6" s="288"/>
      <c r="B6" s="290"/>
      <c r="E6" s="6"/>
      <c r="G6" s="9"/>
      <c r="H6" s="8"/>
    </row>
    <row r="7" spans="1:13" ht="16.149999999999999" customHeight="1" x14ac:dyDescent="0.25">
      <c r="A7" s="146">
        <v>45927</v>
      </c>
      <c r="B7" s="147" t="s">
        <v>156</v>
      </c>
      <c r="C7" s="148">
        <v>1</v>
      </c>
      <c r="D7" s="148">
        <v>1</v>
      </c>
      <c r="E7" s="148" t="s">
        <v>161</v>
      </c>
      <c r="F7" s="20" t="s">
        <v>128</v>
      </c>
      <c r="G7" s="149">
        <v>42.28</v>
      </c>
      <c r="H7" s="149">
        <f>G7*C7</f>
        <v>42.28</v>
      </c>
      <c r="I7" s="38">
        <f>H7*0.15</f>
        <v>6.3419999999999996</v>
      </c>
      <c r="J7" s="38">
        <f>H7+I7</f>
        <v>48.622</v>
      </c>
      <c r="K7" s="167">
        <f>J7</f>
        <v>48.622</v>
      </c>
    </row>
    <row r="8" spans="1:13" ht="16.149999999999999" customHeight="1" x14ac:dyDescent="0.25">
      <c r="A8" s="146">
        <v>45939</v>
      </c>
      <c r="B8" s="147" t="s">
        <v>204</v>
      </c>
      <c r="C8" s="148">
        <v>1</v>
      </c>
      <c r="D8" s="148">
        <v>1</v>
      </c>
      <c r="E8" s="148" t="s">
        <v>161</v>
      </c>
      <c r="F8" s="20" t="s">
        <v>128</v>
      </c>
      <c r="G8" s="149">
        <v>173.38</v>
      </c>
      <c r="H8" s="149">
        <f>G8*C8</f>
        <v>173.38</v>
      </c>
      <c r="I8" s="38">
        <f t="shared" ref="I8:I71" si="0">H8*0.15</f>
        <v>26.006999999999998</v>
      </c>
      <c r="J8" s="38">
        <f t="shared" ref="J8:J71" si="1">H8+I8</f>
        <v>199.387</v>
      </c>
      <c r="K8" s="167">
        <f t="shared" ref="K8:K59" si="2">J8</f>
        <v>199.387</v>
      </c>
    </row>
    <row r="9" spans="1:13" ht="16.149999999999999" customHeight="1" x14ac:dyDescent="0.25">
      <c r="A9" s="146">
        <v>45936</v>
      </c>
      <c r="B9" s="147" t="s">
        <v>203</v>
      </c>
      <c r="C9" s="148">
        <v>1</v>
      </c>
      <c r="D9" s="148">
        <v>1</v>
      </c>
      <c r="E9" s="148" t="s">
        <v>161</v>
      </c>
      <c r="F9" s="20" t="s">
        <v>128</v>
      </c>
      <c r="G9" s="149">
        <v>58.27</v>
      </c>
      <c r="H9" s="149">
        <v>58.27</v>
      </c>
      <c r="I9" s="38">
        <f t="shared" si="0"/>
        <v>8.7405000000000008</v>
      </c>
      <c r="J9" s="38">
        <f t="shared" si="1"/>
        <v>67.010500000000008</v>
      </c>
      <c r="K9" s="167">
        <f t="shared" si="2"/>
        <v>67.010500000000008</v>
      </c>
    </row>
    <row r="10" spans="1:13" ht="16.149999999999999" customHeight="1" thickBot="1" x14ac:dyDescent="0.3">
      <c r="A10" s="150">
        <v>45939</v>
      </c>
      <c r="B10" s="117" t="s">
        <v>205</v>
      </c>
      <c r="C10" s="151">
        <v>1</v>
      </c>
      <c r="D10" s="151">
        <v>1</v>
      </c>
      <c r="E10" s="151" t="s">
        <v>161</v>
      </c>
      <c r="F10" s="152" t="s">
        <v>128</v>
      </c>
      <c r="G10" s="153">
        <v>30.75</v>
      </c>
      <c r="H10" s="153">
        <v>30.75</v>
      </c>
      <c r="I10" s="154">
        <f t="shared" si="0"/>
        <v>4.6124999999999998</v>
      </c>
      <c r="J10" s="154">
        <f t="shared" si="1"/>
        <v>35.362499999999997</v>
      </c>
      <c r="K10" s="168">
        <f t="shared" si="2"/>
        <v>35.362499999999997</v>
      </c>
    </row>
    <row r="11" spans="1:13" ht="16.149999999999999" customHeight="1" x14ac:dyDescent="0.25">
      <c r="A11" s="282">
        <v>45939</v>
      </c>
      <c r="B11" s="292" t="s">
        <v>206</v>
      </c>
      <c r="C11" s="155">
        <v>73</v>
      </c>
      <c r="D11" s="155">
        <v>73</v>
      </c>
      <c r="E11" s="155" t="s">
        <v>207</v>
      </c>
      <c r="F11" s="156" t="s">
        <v>128</v>
      </c>
      <c r="G11" s="157">
        <v>1.1738999999999999</v>
      </c>
      <c r="H11" s="158">
        <f>G11*D11</f>
        <v>85.694699999999997</v>
      </c>
      <c r="I11" s="159">
        <f t="shared" si="0"/>
        <v>12.854204999999999</v>
      </c>
      <c r="J11" s="159">
        <f t="shared" si="1"/>
        <v>98.548904999999991</v>
      </c>
      <c r="K11" s="297">
        <f>SUM(J11:J58)</f>
        <v>979.3226350000001</v>
      </c>
    </row>
    <row r="12" spans="1:13" ht="16.149999999999999" customHeight="1" x14ac:dyDescent="0.25">
      <c r="A12" s="283"/>
      <c r="B12" s="293"/>
      <c r="C12" s="144">
        <v>36</v>
      </c>
      <c r="D12" s="144">
        <v>36</v>
      </c>
      <c r="E12" s="144" t="s">
        <v>211</v>
      </c>
      <c r="F12" s="145" t="s">
        <v>128</v>
      </c>
      <c r="G12" s="9">
        <v>4.1738999999999997</v>
      </c>
      <c r="H12" s="8">
        <f t="shared" ref="H12:H86" si="3">G12*D12</f>
        <v>150.2604</v>
      </c>
      <c r="I12" s="160">
        <f t="shared" si="0"/>
        <v>22.539059999999999</v>
      </c>
      <c r="J12" s="160">
        <f t="shared" si="1"/>
        <v>172.79946000000001</v>
      </c>
      <c r="K12" s="298"/>
    </row>
    <row r="13" spans="1:13" ht="16.149999999999999" customHeight="1" x14ac:dyDescent="0.25">
      <c r="A13" s="283"/>
      <c r="B13" s="293"/>
      <c r="C13" s="144">
        <v>5</v>
      </c>
      <c r="D13" s="144">
        <v>5</v>
      </c>
      <c r="E13" s="144" t="s">
        <v>208</v>
      </c>
      <c r="F13" s="145" t="s">
        <v>128</v>
      </c>
      <c r="G13" s="9">
        <v>3.5217000000000001</v>
      </c>
      <c r="H13" s="8">
        <f t="shared" si="3"/>
        <v>17.608499999999999</v>
      </c>
      <c r="I13" s="160">
        <f t="shared" si="0"/>
        <v>2.6412749999999998</v>
      </c>
      <c r="J13" s="160">
        <f t="shared" si="1"/>
        <v>20.249775</v>
      </c>
      <c r="K13" s="298"/>
    </row>
    <row r="14" spans="1:13" ht="16.149999999999999" customHeight="1" x14ac:dyDescent="0.25">
      <c r="A14" s="283"/>
      <c r="B14" s="293"/>
      <c r="C14" s="144">
        <v>1</v>
      </c>
      <c r="D14" s="144">
        <v>1</v>
      </c>
      <c r="E14" s="144" t="s">
        <v>209</v>
      </c>
      <c r="F14" s="145" t="s">
        <v>128</v>
      </c>
      <c r="G14" s="9">
        <v>22.608699999999999</v>
      </c>
      <c r="H14" s="8">
        <f t="shared" si="3"/>
        <v>22.608699999999999</v>
      </c>
      <c r="I14" s="160">
        <f t="shared" si="0"/>
        <v>3.3913049999999996</v>
      </c>
      <c r="J14" s="160">
        <f t="shared" si="1"/>
        <v>26.000004999999998</v>
      </c>
      <c r="K14" s="298"/>
    </row>
    <row r="15" spans="1:13" ht="16.149999999999999" customHeight="1" x14ac:dyDescent="0.25">
      <c r="A15" s="283"/>
      <c r="B15" s="293"/>
      <c r="C15" s="144">
        <v>1</v>
      </c>
      <c r="D15" s="144">
        <v>1</v>
      </c>
      <c r="E15" s="144" t="s">
        <v>210</v>
      </c>
      <c r="F15" s="145" t="s">
        <v>128</v>
      </c>
      <c r="G15" s="9">
        <v>33.478299999999997</v>
      </c>
      <c r="H15" s="8">
        <f t="shared" si="3"/>
        <v>33.478299999999997</v>
      </c>
      <c r="I15" s="160">
        <f t="shared" si="0"/>
        <v>5.0217449999999992</v>
      </c>
      <c r="J15" s="160">
        <f t="shared" si="1"/>
        <v>38.500045</v>
      </c>
      <c r="K15" s="298"/>
    </row>
    <row r="16" spans="1:13" ht="16.149999999999999" customHeight="1" x14ac:dyDescent="0.25">
      <c r="A16" s="283"/>
      <c r="B16" s="293"/>
      <c r="C16" s="144">
        <v>1</v>
      </c>
      <c r="D16" s="144">
        <v>1</v>
      </c>
      <c r="E16" s="144" t="s">
        <v>212</v>
      </c>
      <c r="F16" s="145" t="s">
        <v>128</v>
      </c>
      <c r="G16" s="9">
        <v>54.347799999999999</v>
      </c>
      <c r="H16" s="8">
        <f t="shared" si="3"/>
        <v>54.347799999999999</v>
      </c>
      <c r="I16" s="160">
        <f t="shared" si="0"/>
        <v>8.1521699999999999</v>
      </c>
      <c r="J16" s="160">
        <f t="shared" si="1"/>
        <v>62.499969999999998</v>
      </c>
      <c r="K16" s="298"/>
    </row>
    <row r="17" spans="1:11" ht="16.149999999999999" customHeight="1" x14ac:dyDescent="0.25">
      <c r="A17" s="283"/>
      <c r="B17" s="293"/>
      <c r="C17" s="144">
        <v>1</v>
      </c>
      <c r="D17" s="144">
        <v>1</v>
      </c>
      <c r="E17" s="144" t="s">
        <v>213</v>
      </c>
      <c r="F17" s="145" t="s">
        <v>128</v>
      </c>
      <c r="G17" s="9">
        <v>14.347799999999999</v>
      </c>
      <c r="H17" s="8">
        <f t="shared" si="3"/>
        <v>14.347799999999999</v>
      </c>
      <c r="I17" s="160">
        <f t="shared" si="0"/>
        <v>2.1521699999999999</v>
      </c>
      <c r="J17" s="160">
        <f t="shared" si="1"/>
        <v>16.499969999999998</v>
      </c>
      <c r="K17" s="298"/>
    </row>
    <row r="18" spans="1:11" ht="16.149999999999999" customHeight="1" x14ac:dyDescent="0.25">
      <c r="A18" s="283"/>
      <c r="B18" s="293"/>
      <c r="C18" s="144">
        <v>1</v>
      </c>
      <c r="D18" s="144">
        <v>1</v>
      </c>
      <c r="E18" s="144" t="s">
        <v>214</v>
      </c>
      <c r="F18" s="145" t="s">
        <v>128</v>
      </c>
      <c r="G18" s="9">
        <v>19.130400000000002</v>
      </c>
      <c r="H18" s="8">
        <f t="shared" si="3"/>
        <v>19.130400000000002</v>
      </c>
      <c r="I18" s="160">
        <f t="shared" si="0"/>
        <v>2.8695600000000003</v>
      </c>
      <c r="J18" s="160">
        <f t="shared" si="1"/>
        <v>21.999960000000002</v>
      </c>
      <c r="K18" s="298"/>
    </row>
    <row r="19" spans="1:11" ht="16.149999999999999" customHeight="1" x14ac:dyDescent="0.25">
      <c r="A19" s="283"/>
      <c r="B19" s="293"/>
      <c r="C19" s="144">
        <v>1</v>
      </c>
      <c r="D19" s="144">
        <v>1</v>
      </c>
      <c r="E19" s="144" t="s">
        <v>215</v>
      </c>
      <c r="F19" s="145" t="s">
        <v>128</v>
      </c>
      <c r="G19" s="9">
        <v>7.5</v>
      </c>
      <c r="H19" s="8">
        <f t="shared" si="3"/>
        <v>7.5</v>
      </c>
      <c r="I19" s="160">
        <f t="shared" si="0"/>
        <v>1.125</v>
      </c>
      <c r="J19" s="160">
        <f t="shared" si="1"/>
        <v>8.625</v>
      </c>
      <c r="K19" s="298"/>
    </row>
    <row r="20" spans="1:11" ht="16.149999999999999" customHeight="1" x14ac:dyDescent="0.25">
      <c r="A20" s="283"/>
      <c r="B20" s="293"/>
      <c r="C20" s="144">
        <v>1</v>
      </c>
      <c r="D20" s="144">
        <v>1</v>
      </c>
      <c r="E20" s="144" t="s">
        <v>216</v>
      </c>
      <c r="F20" s="145" t="s">
        <v>128</v>
      </c>
      <c r="G20" s="9">
        <v>6.5217000000000001</v>
      </c>
      <c r="H20" s="8">
        <f t="shared" si="3"/>
        <v>6.5217000000000001</v>
      </c>
      <c r="I20" s="160">
        <f t="shared" si="0"/>
        <v>0.97825499999999999</v>
      </c>
      <c r="J20" s="160">
        <f t="shared" si="1"/>
        <v>7.4999549999999999</v>
      </c>
      <c r="K20" s="298"/>
    </row>
    <row r="21" spans="1:11" ht="16.149999999999999" customHeight="1" x14ac:dyDescent="0.25">
      <c r="A21" s="283"/>
      <c r="B21" s="293"/>
      <c r="C21" s="144">
        <v>1</v>
      </c>
      <c r="D21" s="144">
        <v>1</v>
      </c>
      <c r="E21" s="144" t="s">
        <v>217</v>
      </c>
      <c r="F21" s="145" t="s">
        <v>128</v>
      </c>
      <c r="G21" s="9">
        <v>5.2173999999999996</v>
      </c>
      <c r="H21" s="8">
        <f t="shared" si="3"/>
        <v>5.2173999999999996</v>
      </c>
      <c r="I21" s="160">
        <f t="shared" si="0"/>
        <v>0.78260999999999992</v>
      </c>
      <c r="J21" s="160">
        <f t="shared" si="1"/>
        <v>6.0000099999999996</v>
      </c>
      <c r="K21" s="298"/>
    </row>
    <row r="22" spans="1:11" ht="16.149999999999999" customHeight="1" x14ac:dyDescent="0.25">
      <c r="A22" s="283"/>
      <c r="B22" s="293"/>
      <c r="C22" s="144">
        <v>1</v>
      </c>
      <c r="D22" s="144">
        <v>1</v>
      </c>
      <c r="E22" s="144" t="s">
        <v>218</v>
      </c>
      <c r="F22" s="145" t="s">
        <v>128</v>
      </c>
      <c r="G22" s="9">
        <v>5.2173999999999996</v>
      </c>
      <c r="H22" s="8">
        <f t="shared" si="3"/>
        <v>5.2173999999999996</v>
      </c>
      <c r="I22" s="160">
        <f t="shared" si="0"/>
        <v>0.78260999999999992</v>
      </c>
      <c r="J22" s="160">
        <f t="shared" si="1"/>
        <v>6.0000099999999996</v>
      </c>
      <c r="K22" s="298"/>
    </row>
    <row r="23" spans="1:11" ht="16.149999999999999" customHeight="1" x14ac:dyDescent="0.25">
      <c r="A23" s="283"/>
      <c r="B23" s="293"/>
      <c r="C23" s="144">
        <v>1</v>
      </c>
      <c r="D23" s="144">
        <v>1</v>
      </c>
      <c r="E23" s="144" t="s">
        <v>219</v>
      </c>
      <c r="F23" s="145" t="s">
        <v>128</v>
      </c>
      <c r="G23" s="9">
        <v>4.7826000000000004</v>
      </c>
      <c r="H23" s="8">
        <f t="shared" si="3"/>
        <v>4.7826000000000004</v>
      </c>
      <c r="I23" s="160">
        <f t="shared" si="0"/>
        <v>0.71739000000000008</v>
      </c>
      <c r="J23" s="160">
        <f t="shared" si="1"/>
        <v>5.4999900000000004</v>
      </c>
      <c r="K23" s="298"/>
    </row>
    <row r="24" spans="1:11" ht="16.149999999999999" customHeight="1" x14ac:dyDescent="0.25">
      <c r="A24" s="283"/>
      <c r="B24" s="293"/>
      <c r="C24" s="144">
        <v>5</v>
      </c>
      <c r="D24" s="144">
        <v>5</v>
      </c>
      <c r="E24" s="144" t="s">
        <v>220</v>
      </c>
      <c r="F24" s="145" t="s">
        <v>128</v>
      </c>
      <c r="G24" s="9">
        <v>2.9129999999999998</v>
      </c>
      <c r="H24" s="8">
        <f t="shared" si="3"/>
        <v>14.565</v>
      </c>
      <c r="I24" s="160">
        <f t="shared" si="0"/>
        <v>2.1847499999999997</v>
      </c>
      <c r="J24" s="160">
        <f t="shared" si="1"/>
        <v>16.749749999999999</v>
      </c>
      <c r="K24" s="298"/>
    </row>
    <row r="25" spans="1:11" ht="16.149999999999999" customHeight="1" x14ac:dyDescent="0.25">
      <c r="A25" s="283"/>
      <c r="B25" s="293"/>
      <c r="C25" s="144">
        <v>1</v>
      </c>
      <c r="D25" s="144">
        <v>1</v>
      </c>
      <c r="E25" s="144" t="s">
        <v>221</v>
      </c>
      <c r="F25" s="145" t="s">
        <v>128</v>
      </c>
      <c r="G25" s="9">
        <v>12.565200000000001</v>
      </c>
      <c r="H25" s="8">
        <f t="shared" si="3"/>
        <v>12.565200000000001</v>
      </c>
      <c r="I25" s="160">
        <f t="shared" si="0"/>
        <v>1.8847800000000001</v>
      </c>
      <c r="J25" s="160">
        <f t="shared" si="1"/>
        <v>14.44998</v>
      </c>
      <c r="K25" s="298"/>
    </row>
    <row r="26" spans="1:11" ht="16.149999999999999" customHeight="1" x14ac:dyDescent="0.25">
      <c r="A26" s="283"/>
      <c r="B26" s="293"/>
      <c r="C26" s="144">
        <v>1</v>
      </c>
      <c r="D26" s="144">
        <v>1</v>
      </c>
      <c r="E26" s="144" t="s">
        <v>221</v>
      </c>
      <c r="F26" s="145" t="s">
        <v>128</v>
      </c>
      <c r="G26" s="9">
        <v>6.5217000000000001</v>
      </c>
      <c r="H26" s="8">
        <f t="shared" si="3"/>
        <v>6.5217000000000001</v>
      </c>
      <c r="I26" s="160">
        <f t="shared" si="0"/>
        <v>0.97825499999999999</v>
      </c>
      <c r="J26" s="160">
        <f t="shared" si="1"/>
        <v>7.4999549999999999</v>
      </c>
      <c r="K26" s="298"/>
    </row>
    <row r="27" spans="1:11" ht="16.149999999999999" customHeight="1" x14ac:dyDescent="0.25">
      <c r="A27" s="283"/>
      <c r="B27" s="293"/>
      <c r="C27" s="144">
        <v>1</v>
      </c>
      <c r="D27" s="144">
        <v>1</v>
      </c>
      <c r="E27" s="144" t="s">
        <v>222</v>
      </c>
      <c r="F27" s="145" t="s">
        <v>128</v>
      </c>
      <c r="G27" s="9">
        <v>7.4348000000000001</v>
      </c>
      <c r="H27" s="8">
        <f t="shared" si="3"/>
        <v>7.4348000000000001</v>
      </c>
      <c r="I27" s="160">
        <f t="shared" si="0"/>
        <v>1.1152199999999999</v>
      </c>
      <c r="J27" s="160">
        <f t="shared" si="1"/>
        <v>8.55002</v>
      </c>
      <c r="K27" s="298"/>
    </row>
    <row r="28" spans="1:11" ht="16.149999999999999" customHeight="1" x14ac:dyDescent="0.25">
      <c r="A28" s="283"/>
      <c r="B28" s="293"/>
      <c r="C28" s="144">
        <v>1</v>
      </c>
      <c r="D28" s="144">
        <v>1</v>
      </c>
      <c r="E28" s="144" t="s">
        <v>223</v>
      </c>
      <c r="F28" s="145" t="s">
        <v>128</v>
      </c>
      <c r="G28" s="9">
        <v>8.2608999999999995</v>
      </c>
      <c r="H28" s="8">
        <f t="shared" si="3"/>
        <v>8.2608999999999995</v>
      </c>
      <c r="I28" s="160">
        <f t="shared" si="0"/>
        <v>1.2391349999999999</v>
      </c>
      <c r="J28" s="160">
        <f t="shared" si="1"/>
        <v>9.5000349999999987</v>
      </c>
      <c r="K28" s="298"/>
    </row>
    <row r="29" spans="1:11" ht="16.149999999999999" customHeight="1" x14ac:dyDescent="0.25">
      <c r="A29" s="283"/>
      <c r="B29" s="293"/>
      <c r="C29" s="144">
        <v>2</v>
      </c>
      <c r="D29" s="144">
        <v>2</v>
      </c>
      <c r="E29" s="144" t="s">
        <v>224</v>
      </c>
      <c r="F29" s="145" t="s">
        <v>128</v>
      </c>
      <c r="G29" s="9">
        <v>4.7826000000000004</v>
      </c>
      <c r="H29" s="8">
        <f t="shared" si="3"/>
        <v>9.5652000000000008</v>
      </c>
      <c r="I29" s="160">
        <f t="shared" si="0"/>
        <v>1.4347800000000002</v>
      </c>
      <c r="J29" s="160">
        <f t="shared" si="1"/>
        <v>10.999980000000001</v>
      </c>
      <c r="K29" s="298"/>
    </row>
    <row r="30" spans="1:11" ht="16.149999999999999" customHeight="1" x14ac:dyDescent="0.25">
      <c r="A30" s="283"/>
      <c r="B30" s="293"/>
      <c r="C30" s="144">
        <v>1</v>
      </c>
      <c r="D30" s="144">
        <v>1</v>
      </c>
      <c r="E30" s="144" t="s">
        <v>37</v>
      </c>
      <c r="F30" s="145"/>
      <c r="G30" s="9">
        <v>55.217399999999998</v>
      </c>
      <c r="H30" s="8">
        <f t="shared" si="3"/>
        <v>55.217399999999998</v>
      </c>
      <c r="I30" s="160">
        <f t="shared" si="0"/>
        <v>8.28261</v>
      </c>
      <c r="J30" s="160">
        <f t="shared" si="1"/>
        <v>63.500009999999996</v>
      </c>
      <c r="K30" s="298"/>
    </row>
    <row r="31" spans="1:11" ht="16.149999999999999" customHeight="1" x14ac:dyDescent="0.25">
      <c r="A31" s="283"/>
      <c r="B31" s="293"/>
      <c r="C31" s="144">
        <v>1</v>
      </c>
      <c r="D31" s="144">
        <v>1</v>
      </c>
      <c r="E31" s="144" t="s">
        <v>37</v>
      </c>
      <c r="F31" s="145"/>
      <c r="G31" s="9">
        <v>55.217399999999998</v>
      </c>
      <c r="H31" s="8">
        <f t="shared" si="3"/>
        <v>55.217399999999998</v>
      </c>
      <c r="I31" s="160">
        <f t="shared" si="0"/>
        <v>8.28261</v>
      </c>
      <c r="J31" s="160">
        <f t="shared" si="1"/>
        <v>63.500009999999996</v>
      </c>
      <c r="K31" s="298"/>
    </row>
    <row r="32" spans="1:11" ht="16.149999999999999" customHeight="1" x14ac:dyDescent="0.25">
      <c r="A32" s="283"/>
      <c r="B32" s="293"/>
      <c r="C32" s="144">
        <v>1</v>
      </c>
      <c r="D32" s="144">
        <v>1</v>
      </c>
      <c r="E32" s="144" t="s">
        <v>37</v>
      </c>
      <c r="F32" s="145"/>
      <c r="G32" s="9">
        <v>50.869599999999998</v>
      </c>
      <c r="H32" s="8">
        <f t="shared" si="3"/>
        <v>50.869599999999998</v>
      </c>
      <c r="I32" s="160">
        <f t="shared" si="0"/>
        <v>7.6304399999999992</v>
      </c>
      <c r="J32" s="160">
        <f t="shared" si="1"/>
        <v>58.500039999999998</v>
      </c>
      <c r="K32" s="298"/>
    </row>
    <row r="33" spans="1:11" ht="16.149999999999999" customHeight="1" x14ac:dyDescent="0.25">
      <c r="A33" s="283"/>
      <c r="B33" s="293"/>
      <c r="C33" s="144">
        <v>2</v>
      </c>
      <c r="D33" s="144">
        <v>2</v>
      </c>
      <c r="E33" s="144" t="s">
        <v>224</v>
      </c>
      <c r="F33" s="145"/>
      <c r="G33" s="9">
        <v>8.6957000000000004</v>
      </c>
      <c r="H33" s="8">
        <f t="shared" si="3"/>
        <v>17.391400000000001</v>
      </c>
      <c r="I33" s="160">
        <f t="shared" si="0"/>
        <v>2.6087099999999999</v>
      </c>
      <c r="J33" s="160">
        <f t="shared" si="1"/>
        <v>20.000109999999999</v>
      </c>
      <c r="K33" s="298"/>
    </row>
    <row r="34" spans="1:11" ht="16.149999999999999" customHeight="1" x14ac:dyDescent="0.25">
      <c r="A34" s="283"/>
      <c r="B34" s="293"/>
      <c r="C34" s="144">
        <v>3</v>
      </c>
      <c r="D34" s="144">
        <v>3</v>
      </c>
      <c r="E34" s="144" t="s">
        <v>225</v>
      </c>
      <c r="F34" s="145"/>
      <c r="G34" s="9">
        <v>0.52170000000000005</v>
      </c>
      <c r="H34" s="8">
        <f t="shared" si="3"/>
        <v>1.5651000000000002</v>
      </c>
      <c r="I34" s="160">
        <f t="shared" si="0"/>
        <v>0.234765</v>
      </c>
      <c r="J34" s="160">
        <f t="shared" si="1"/>
        <v>1.799865</v>
      </c>
      <c r="K34" s="298"/>
    </row>
    <row r="35" spans="1:11" ht="16.149999999999999" customHeight="1" x14ac:dyDescent="0.25">
      <c r="A35" s="283"/>
      <c r="B35" s="293"/>
      <c r="C35" s="144">
        <v>4</v>
      </c>
      <c r="D35" s="144">
        <v>4</v>
      </c>
      <c r="E35" s="144" t="s">
        <v>226</v>
      </c>
      <c r="F35" s="145"/>
      <c r="G35" s="9">
        <v>3</v>
      </c>
      <c r="H35" s="8">
        <f t="shared" si="3"/>
        <v>12</v>
      </c>
      <c r="I35" s="160">
        <f t="shared" si="0"/>
        <v>1.7999999999999998</v>
      </c>
      <c r="J35" s="160">
        <f t="shared" si="1"/>
        <v>13.8</v>
      </c>
      <c r="K35" s="298"/>
    </row>
    <row r="36" spans="1:11" ht="16.149999999999999" customHeight="1" x14ac:dyDescent="0.25">
      <c r="A36" s="283"/>
      <c r="B36" s="293"/>
      <c r="C36" s="144">
        <v>4</v>
      </c>
      <c r="D36" s="144">
        <v>4</v>
      </c>
      <c r="E36" s="144" t="s">
        <v>227</v>
      </c>
      <c r="F36" s="145"/>
      <c r="G36" s="9">
        <v>10.1304</v>
      </c>
      <c r="H36" s="8">
        <f t="shared" si="3"/>
        <v>40.521599999999999</v>
      </c>
      <c r="I36" s="160">
        <f t="shared" si="0"/>
        <v>6.0782400000000001</v>
      </c>
      <c r="J36" s="160">
        <f t="shared" si="1"/>
        <v>46.59984</v>
      </c>
      <c r="K36" s="298"/>
    </row>
    <row r="37" spans="1:11" ht="16.149999999999999" customHeight="1" x14ac:dyDescent="0.25">
      <c r="A37" s="283"/>
      <c r="B37" s="293"/>
      <c r="C37" s="144">
        <v>4</v>
      </c>
      <c r="D37" s="144">
        <v>4</v>
      </c>
      <c r="E37" s="144" t="s">
        <v>228</v>
      </c>
      <c r="F37" s="145"/>
      <c r="G37" s="9">
        <v>12.478300000000001</v>
      </c>
      <c r="H37" s="8">
        <f t="shared" si="3"/>
        <v>49.913200000000003</v>
      </c>
      <c r="I37" s="160">
        <f t="shared" si="0"/>
        <v>7.48698</v>
      </c>
      <c r="J37" s="160">
        <f t="shared" si="1"/>
        <v>57.400180000000006</v>
      </c>
      <c r="K37" s="298"/>
    </row>
    <row r="38" spans="1:11" ht="16.149999999999999" customHeight="1" x14ac:dyDescent="0.25">
      <c r="A38" s="283"/>
      <c r="B38" s="293"/>
      <c r="C38" s="144">
        <v>3</v>
      </c>
      <c r="D38" s="144">
        <v>3</v>
      </c>
      <c r="E38" s="144" t="s">
        <v>229</v>
      </c>
      <c r="F38" s="145"/>
      <c r="G38" s="9">
        <v>0.91300000000000003</v>
      </c>
      <c r="H38" s="8">
        <f t="shared" si="3"/>
        <v>2.7389999999999999</v>
      </c>
      <c r="I38" s="160">
        <f t="shared" si="0"/>
        <v>0.41084999999999999</v>
      </c>
      <c r="J38" s="160">
        <f t="shared" si="1"/>
        <v>3.1498499999999998</v>
      </c>
      <c r="K38" s="298"/>
    </row>
    <row r="39" spans="1:11" ht="16.149999999999999" customHeight="1" x14ac:dyDescent="0.25">
      <c r="A39" s="283"/>
      <c r="B39" s="293"/>
      <c r="C39" s="144">
        <v>4</v>
      </c>
      <c r="D39" s="144">
        <v>4</v>
      </c>
      <c r="E39" s="144" t="s">
        <v>230</v>
      </c>
      <c r="F39" s="145"/>
      <c r="G39" s="9">
        <v>0.6522</v>
      </c>
      <c r="H39" s="8">
        <f t="shared" si="3"/>
        <v>2.6088</v>
      </c>
      <c r="I39" s="160">
        <f t="shared" si="0"/>
        <v>0.39132</v>
      </c>
      <c r="J39" s="160">
        <f t="shared" si="1"/>
        <v>3.0001199999999999</v>
      </c>
      <c r="K39" s="298"/>
    </row>
    <row r="40" spans="1:11" ht="16.149999999999999" customHeight="1" x14ac:dyDescent="0.25">
      <c r="A40" s="283"/>
      <c r="B40" s="293"/>
      <c r="C40" s="144">
        <v>3</v>
      </c>
      <c r="D40" s="144">
        <v>3</v>
      </c>
      <c r="E40" s="144" t="s">
        <v>231</v>
      </c>
      <c r="F40" s="145"/>
      <c r="G40" s="9">
        <v>4.0869999999999997</v>
      </c>
      <c r="H40" s="8">
        <f t="shared" si="3"/>
        <v>12.260999999999999</v>
      </c>
      <c r="I40" s="160">
        <f t="shared" si="0"/>
        <v>1.8391499999999998</v>
      </c>
      <c r="J40" s="160">
        <f t="shared" si="1"/>
        <v>14.100149999999999</v>
      </c>
      <c r="K40" s="298"/>
    </row>
    <row r="41" spans="1:11" ht="16.149999999999999" customHeight="1" x14ac:dyDescent="0.25">
      <c r="A41" s="283"/>
      <c r="B41" s="293"/>
      <c r="C41" s="144">
        <v>1</v>
      </c>
      <c r="D41" s="144">
        <v>1</v>
      </c>
      <c r="E41" s="144" t="s">
        <v>231</v>
      </c>
      <c r="F41" s="145"/>
      <c r="G41" s="9">
        <v>4.0869999999999997</v>
      </c>
      <c r="H41" s="8">
        <f t="shared" si="3"/>
        <v>4.0869999999999997</v>
      </c>
      <c r="I41" s="160">
        <f t="shared" si="0"/>
        <v>0.61304999999999998</v>
      </c>
      <c r="J41" s="160">
        <f t="shared" si="1"/>
        <v>4.7000500000000001</v>
      </c>
      <c r="K41" s="298"/>
    </row>
    <row r="42" spans="1:11" ht="16.149999999999999" customHeight="1" x14ac:dyDescent="0.25">
      <c r="A42" s="283"/>
      <c r="B42" s="293"/>
      <c r="C42" s="144">
        <v>1</v>
      </c>
      <c r="D42" s="144">
        <v>1</v>
      </c>
      <c r="E42" s="144" t="s">
        <v>231</v>
      </c>
      <c r="F42" s="145"/>
      <c r="G42" s="9">
        <v>2.6086999999999998</v>
      </c>
      <c r="H42" s="8">
        <f t="shared" si="3"/>
        <v>2.6086999999999998</v>
      </c>
      <c r="I42" s="160">
        <f t="shared" si="0"/>
        <v>0.39130499999999996</v>
      </c>
      <c r="J42" s="160">
        <f t="shared" si="1"/>
        <v>3.0000049999999998</v>
      </c>
      <c r="K42" s="298"/>
    </row>
    <row r="43" spans="1:11" ht="16.149999999999999" customHeight="1" x14ac:dyDescent="0.25">
      <c r="A43" s="283"/>
      <c r="B43" s="293"/>
      <c r="C43" s="144">
        <v>1</v>
      </c>
      <c r="D43" s="144">
        <v>1</v>
      </c>
      <c r="E43" s="144" t="s">
        <v>231</v>
      </c>
      <c r="F43" s="145"/>
      <c r="G43" s="9">
        <v>4.5217000000000001</v>
      </c>
      <c r="H43" s="8">
        <f t="shared" si="3"/>
        <v>4.5217000000000001</v>
      </c>
      <c r="I43" s="160">
        <f t="shared" si="0"/>
        <v>0.67825499999999994</v>
      </c>
      <c r="J43" s="160">
        <f t="shared" si="1"/>
        <v>5.1999550000000001</v>
      </c>
      <c r="K43" s="298"/>
    </row>
    <row r="44" spans="1:11" ht="16.149999999999999" customHeight="1" x14ac:dyDescent="0.25">
      <c r="A44" s="283"/>
      <c r="B44" s="293"/>
      <c r="C44" s="144">
        <v>4</v>
      </c>
      <c r="D44" s="144">
        <v>4</v>
      </c>
      <c r="E44" s="144" t="s">
        <v>232</v>
      </c>
      <c r="F44" s="145"/>
      <c r="G44" s="9">
        <v>1.3043</v>
      </c>
      <c r="H44" s="8">
        <f t="shared" si="3"/>
        <v>5.2172000000000001</v>
      </c>
      <c r="I44" s="160">
        <f t="shared" si="0"/>
        <v>0.78257999999999994</v>
      </c>
      <c r="J44" s="160">
        <f t="shared" si="1"/>
        <v>5.9997800000000003</v>
      </c>
      <c r="K44" s="298"/>
    </row>
    <row r="45" spans="1:11" ht="16.149999999999999" customHeight="1" x14ac:dyDescent="0.25">
      <c r="A45" s="283"/>
      <c r="B45" s="293"/>
      <c r="C45" s="144">
        <v>3</v>
      </c>
      <c r="D45" s="144">
        <v>3</v>
      </c>
      <c r="E45" s="144" t="s">
        <v>233</v>
      </c>
      <c r="F45" s="145"/>
      <c r="G45" s="9">
        <v>1.7391000000000001</v>
      </c>
      <c r="H45" s="8">
        <f t="shared" si="3"/>
        <v>5.2172999999999998</v>
      </c>
      <c r="I45" s="160">
        <f t="shared" si="0"/>
        <v>0.78259499999999993</v>
      </c>
      <c r="J45" s="160">
        <f t="shared" si="1"/>
        <v>5.9998949999999995</v>
      </c>
      <c r="K45" s="298"/>
    </row>
    <row r="46" spans="1:11" ht="16.149999999999999" customHeight="1" x14ac:dyDescent="0.25">
      <c r="A46" s="283"/>
      <c r="B46" s="293"/>
      <c r="C46" s="144">
        <v>1</v>
      </c>
      <c r="D46" s="144">
        <v>1</v>
      </c>
      <c r="E46" s="144" t="s">
        <v>233</v>
      </c>
      <c r="F46" s="145"/>
      <c r="G46" s="9">
        <v>0.86960000000000004</v>
      </c>
      <c r="H46" s="8">
        <f t="shared" si="3"/>
        <v>0.86960000000000004</v>
      </c>
      <c r="I46" s="160">
        <f t="shared" si="0"/>
        <v>0.13044</v>
      </c>
      <c r="J46" s="160">
        <f t="shared" si="1"/>
        <v>1.00004</v>
      </c>
      <c r="K46" s="298"/>
    </row>
    <row r="47" spans="1:11" ht="16.149999999999999" customHeight="1" x14ac:dyDescent="0.25">
      <c r="A47" s="283"/>
      <c r="B47" s="293"/>
      <c r="C47" s="144">
        <v>1</v>
      </c>
      <c r="D47" s="144">
        <v>1</v>
      </c>
      <c r="E47" s="144" t="s">
        <v>233</v>
      </c>
      <c r="F47" s="145"/>
      <c r="G47" s="9">
        <v>1.3043</v>
      </c>
      <c r="H47" s="8">
        <f t="shared" si="3"/>
        <v>1.3043</v>
      </c>
      <c r="I47" s="160">
        <f t="shared" si="0"/>
        <v>0.19564499999999999</v>
      </c>
      <c r="J47" s="160">
        <f t="shared" si="1"/>
        <v>1.4999450000000001</v>
      </c>
      <c r="K47" s="298"/>
    </row>
    <row r="48" spans="1:11" ht="16.149999999999999" customHeight="1" x14ac:dyDescent="0.25">
      <c r="A48" s="283"/>
      <c r="B48" s="293"/>
      <c r="C48" s="144">
        <v>1</v>
      </c>
      <c r="D48" s="144">
        <v>1</v>
      </c>
      <c r="E48" s="144" t="s">
        <v>234</v>
      </c>
      <c r="F48" s="145"/>
      <c r="G48" s="9">
        <v>1.7391000000000001</v>
      </c>
      <c r="H48" s="8">
        <f t="shared" si="3"/>
        <v>1.7391000000000001</v>
      </c>
      <c r="I48" s="160">
        <f t="shared" si="0"/>
        <v>0.26086500000000001</v>
      </c>
      <c r="J48" s="160">
        <f t="shared" si="1"/>
        <v>1.999965</v>
      </c>
      <c r="K48" s="298"/>
    </row>
    <row r="49" spans="1:11" ht="16.149999999999999" customHeight="1" x14ac:dyDescent="0.25">
      <c r="A49" s="283"/>
      <c r="B49" s="293"/>
      <c r="C49" s="144">
        <v>3</v>
      </c>
      <c r="D49" s="144">
        <v>3</v>
      </c>
      <c r="E49" s="144" t="s">
        <v>235</v>
      </c>
      <c r="F49" s="145"/>
      <c r="G49" s="9">
        <v>0.91300000000000003</v>
      </c>
      <c r="H49" s="8">
        <f t="shared" si="3"/>
        <v>2.7389999999999999</v>
      </c>
      <c r="I49" s="160">
        <f t="shared" si="0"/>
        <v>0.41084999999999999</v>
      </c>
      <c r="J49" s="160">
        <f t="shared" si="1"/>
        <v>3.1498499999999998</v>
      </c>
      <c r="K49" s="298"/>
    </row>
    <row r="50" spans="1:11" ht="16.149999999999999" customHeight="1" x14ac:dyDescent="0.25">
      <c r="A50" s="283"/>
      <c r="B50" s="293"/>
      <c r="C50" s="144">
        <v>1</v>
      </c>
      <c r="D50" s="144">
        <v>1</v>
      </c>
      <c r="E50" s="144" t="s">
        <v>236</v>
      </c>
      <c r="F50" s="145"/>
      <c r="G50" s="9">
        <v>2.1739000000000002</v>
      </c>
      <c r="H50" s="8">
        <f t="shared" si="3"/>
        <v>2.1739000000000002</v>
      </c>
      <c r="I50" s="160">
        <f t="shared" si="0"/>
        <v>0.32608500000000001</v>
      </c>
      <c r="J50" s="160">
        <f t="shared" si="1"/>
        <v>2.4999850000000001</v>
      </c>
      <c r="K50" s="298"/>
    </row>
    <row r="51" spans="1:11" ht="16.149999999999999" customHeight="1" x14ac:dyDescent="0.25">
      <c r="A51" s="283"/>
      <c r="B51" s="293"/>
      <c r="C51" s="144">
        <v>1</v>
      </c>
      <c r="D51" s="144">
        <v>1</v>
      </c>
      <c r="E51" s="144" t="s">
        <v>237</v>
      </c>
      <c r="F51" s="145"/>
      <c r="G51" s="9">
        <v>5.2173999999999996</v>
      </c>
      <c r="H51" s="8">
        <f t="shared" si="3"/>
        <v>5.2173999999999996</v>
      </c>
      <c r="I51" s="160">
        <f t="shared" si="0"/>
        <v>0.78260999999999992</v>
      </c>
      <c r="J51" s="160">
        <f t="shared" si="1"/>
        <v>6.0000099999999996</v>
      </c>
      <c r="K51" s="298"/>
    </row>
    <row r="52" spans="1:11" ht="16.149999999999999" customHeight="1" x14ac:dyDescent="0.25">
      <c r="A52" s="283"/>
      <c r="B52" s="293"/>
      <c r="C52" s="144">
        <v>1</v>
      </c>
      <c r="D52" s="144">
        <v>1</v>
      </c>
      <c r="E52" s="144" t="s">
        <v>238</v>
      </c>
      <c r="F52" s="145"/>
      <c r="G52" s="9">
        <v>2.4782999999999999</v>
      </c>
      <c r="H52" s="8">
        <f t="shared" si="3"/>
        <v>2.4782999999999999</v>
      </c>
      <c r="I52" s="160">
        <f t="shared" si="0"/>
        <v>0.37174499999999999</v>
      </c>
      <c r="J52" s="160">
        <f t="shared" si="1"/>
        <v>2.8500449999999997</v>
      </c>
      <c r="K52" s="298"/>
    </row>
    <row r="53" spans="1:11" ht="16.149999999999999" customHeight="1" x14ac:dyDescent="0.25">
      <c r="A53" s="283"/>
      <c r="B53" s="293"/>
      <c r="C53" s="144">
        <v>1</v>
      </c>
      <c r="D53" s="144">
        <v>1</v>
      </c>
      <c r="E53" s="144" t="s">
        <v>238</v>
      </c>
      <c r="F53" s="145"/>
      <c r="G53" s="9">
        <v>1.7391000000000001</v>
      </c>
      <c r="H53" s="8">
        <f t="shared" si="3"/>
        <v>1.7391000000000001</v>
      </c>
      <c r="I53" s="160">
        <f t="shared" si="0"/>
        <v>0.26086500000000001</v>
      </c>
      <c r="J53" s="160">
        <f t="shared" si="1"/>
        <v>1.999965</v>
      </c>
      <c r="K53" s="298"/>
    </row>
    <row r="54" spans="1:11" ht="16.149999999999999" customHeight="1" x14ac:dyDescent="0.25">
      <c r="A54" s="283"/>
      <c r="B54" s="293"/>
      <c r="C54" s="144">
        <v>4</v>
      </c>
      <c r="D54" s="144">
        <v>4</v>
      </c>
      <c r="E54" s="144" t="s">
        <v>238</v>
      </c>
      <c r="F54" s="145"/>
      <c r="G54" s="9">
        <v>3.6522000000000001</v>
      </c>
      <c r="H54" s="8">
        <f t="shared" si="3"/>
        <v>14.6088</v>
      </c>
      <c r="I54" s="160">
        <f t="shared" si="0"/>
        <v>2.1913200000000002</v>
      </c>
      <c r="J54" s="160">
        <f t="shared" si="1"/>
        <v>16.80012</v>
      </c>
      <c r="K54" s="298"/>
    </row>
    <row r="55" spans="1:11" ht="16.149999999999999" customHeight="1" x14ac:dyDescent="0.25">
      <c r="A55" s="283"/>
      <c r="B55" s="293"/>
      <c r="C55" s="144">
        <v>1</v>
      </c>
      <c r="D55" s="144">
        <v>1</v>
      </c>
      <c r="E55" s="144" t="s">
        <v>238</v>
      </c>
      <c r="F55" s="145"/>
      <c r="G55" s="9">
        <v>2.9565000000000001</v>
      </c>
      <c r="H55" s="8">
        <f t="shared" si="3"/>
        <v>2.9565000000000001</v>
      </c>
      <c r="I55" s="160">
        <f t="shared" si="0"/>
        <v>0.44347500000000001</v>
      </c>
      <c r="J55" s="160">
        <f t="shared" si="1"/>
        <v>3.399975</v>
      </c>
      <c r="K55" s="298"/>
    </row>
    <row r="56" spans="1:11" ht="16.149999999999999" customHeight="1" x14ac:dyDescent="0.25">
      <c r="A56" s="283"/>
      <c r="B56" s="293"/>
      <c r="C56" s="144">
        <v>4</v>
      </c>
      <c r="D56" s="144">
        <v>4</v>
      </c>
      <c r="E56" s="144" t="s">
        <v>239</v>
      </c>
      <c r="F56" s="145"/>
      <c r="G56" s="9">
        <v>0.95650000000000002</v>
      </c>
      <c r="H56" s="8">
        <f t="shared" si="3"/>
        <v>3.8260000000000001</v>
      </c>
      <c r="I56" s="160">
        <f t="shared" si="0"/>
        <v>0.57389999999999997</v>
      </c>
      <c r="J56" s="160">
        <f t="shared" si="1"/>
        <v>4.3998999999999997</v>
      </c>
      <c r="K56" s="298"/>
    </row>
    <row r="57" spans="1:11" ht="16.149999999999999" customHeight="1" x14ac:dyDescent="0.25">
      <c r="A57" s="283"/>
      <c r="B57" s="293"/>
      <c r="C57" s="144">
        <v>4</v>
      </c>
      <c r="D57" s="144">
        <v>4</v>
      </c>
      <c r="E57" s="144" t="s">
        <v>240</v>
      </c>
      <c r="F57" s="145"/>
      <c r="G57" s="9">
        <v>0.86960000000000004</v>
      </c>
      <c r="H57" s="8">
        <f t="shared" si="3"/>
        <v>3.4784000000000002</v>
      </c>
      <c r="I57" s="160">
        <f t="shared" si="0"/>
        <v>0.52176</v>
      </c>
      <c r="J57" s="160">
        <f t="shared" si="1"/>
        <v>4.0001600000000002</v>
      </c>
      <c r="K57" s="298"/>
    </row>
    <row r="58" spans="1:11" ht="16.149999999999999" customHeight="1" thickBot="1" x14ac:dyDescent="0.3">
      <c r="A58" s="291"/>
      <c r="B58" s="293"/>
      <c r="C58" s="144">
        <v>1</v>
      </c>
      <c r="D58" s="144">
        <v>1</v>
      </c>
      <c r="E58" s="144" t="s">
        <v>241</v>
      </c>
      <c r="F58" s="145"/>
      <c r="G58" s="9">
        <v>0.86960000000000004</v>
      </c>
      <c r="H58" s="8">
        <f t="shared" si="3"/>
        <v>0.86960000000000004</v>
      </c>
      <c r="I58" s="160">
        <f t="shared" si="0"/>
        <v>0.13044</v>
      </c>
      <c r="J58" s="160">
        <f t="shared" si="1"/>
        <v>1.00004</v>
      </c>
      <c r="K58" s="298"/>
    </row>
    <row r="59" spans="1:11" ht="16.149999999999999" customHeight="1" thickBot="1" x14ac:dyDescent="0.3">
      <c r="A59" s="31">
        <v>45939</v>
      </c>
      <c r="B59" s="132" t="s">
        <v>242</v>
      </c>
      <c r="C59" s="151">
        <v>3</v>
      </c>
      <c r="D59" s="151">
        <v>3</v>
      </c>
      <c r="E59" s="151" t="s">
        <v>243</v>
      </c>
      <c r="F59" s="152"/>
      <c r="G59" s="153">
        <v>13.913</v>
      </c>
      <c r="H59" s="153">
        <f t="shared" si="3"/>
        <v>41.739000000000004</v>
      </c>
      <c r="I59" s="154">
        <f t="shared" si="0"/>
        <v>6.2608500000000005</v>
      </c>
      <c r="J59" s="154">
        <f t="shared" si="1"/>
        <v>47.999850000000002</v>
      </c>
      <c r="K59" s="168">
        <f t="shared" si="2"/>
        <v>47.999850000000002</v>
      </c>
    </row>
    <row r="60" spans="1:11" ht="16.149999999999999" customHeight="1" x14ac:dyDescent="0.25">
      <c r="A60" s="282">
        <v>45939</v>
      </c>
      <c r="B60" s="292" t="s">
        <v>244</v>
      </c>
      <c r="C60" s="155">
        <v>1</v>
      </c>
      <c r="D60" s="155">
        <v>1</v>
      </c>
      <c r="E60" s="155" t="s">
        <v>231</v>
      </c>
      <c r="F60" s="156"/>
      <c r="G60" s="157">
        <v>3.0434999999999999</v>
      </c>
      <c r="H60" s="158">
        <f t="shared" si="3"/>
        <v>3.0434999999999999</v>
      </c>
      <c r="I60" s="159">
        <f t="shared" si="0"/>
        <v>0.45652499999999996</v>
      </c>
      <c r="J60" s="159">
        <f t="shared" si="1"/>
        <v>3.5000249999999999</v>
      </c>
      <c r="K60" s="297">
        <f>SUM(J60:J72)</f>
        <v>236.60031000000001</v>
      </c>
    </row>
    <row r="61" spans="1:11" ht="16.149999999999999" customHeight="1" x14ac:dyDescent="0.25">
      <c r="A61" s="283"/>
      <c r="B61" s="293"/>
      <c r="C61" s="144">
        <v>1</v>
      </c>
      <c r="D61" s="144">
        <v>1</v>
      </c>
      <c r="E61" s="144" t="s">
        <v>231</v>
      </c>
      <c r="F61" s="145"/>
      <c r="G61" s="9">
        <v>3.0434999999999999</v>
      </c>
      <c r="H61" s="8">
        <f t="shared" si="3"/>
        <v>3.0434999999999999</v>
      </c>
      <c r="I61" s="160">
        <f t="shared" si="0"/>
        <v>0.45652499999999996</v>
      </c>
      <c r="J61" s="160">
        <f t="shared" si="1"/>
        <v>3.5000249999999999</v>
      </c>
      <c r="K61" s="298"/>
    </row>
    <row r="62" spans="1:11" ht="16.149999999999999" customHeight="1" x14ac:dyDescent="0.25">
      <c r="A62" s="283"/>
      <c r="B62" s="293"/>
      <c r="C62" s="144">
        <v>4</v>
      </c>
      <c r="D62" s="144">
        <v>4</v>
      </c>
      <c r="E62" s="144" t="s">
        <v>245</v>
      </c>
      <c r="F62" s="145"/>
      <c r="G62" s="9">
        <v>0.95650000000000002</v>
      </c>
      <c r="H62" s="8">
        <f t="shared" si="3"/>
        <v>3.8260000000000001</v>
      </c>
      <c r="I62" s="160">
        <f t="shared" si="0"/>
        <v>0.57389999999999997</v>
      </c>
      <c r="J62" s="160">
        <f t="shared" si="1"/>
        <v>4.3998999999999997</v>
      </c>
      <c r="K62" s="298"/>
    </row>
    <row r="63" spans="1:11" ht="16.149999999999999" customHeight="1" x14ac:dyDescent="0.25">
      <c r="A63" s="283"/>
      <c r="B63" s="293"/>
      <c r="C63" s="144">
        <v>4</v>
      </c>
      <c r="D63" s="144">
        <v>4</v>
      </c>
      <c r="E63" s="144" t="s">
        <v>246</v>
      </c>
      <c r="F63" s="145"/>
      <c r="G63" s="9">
        <v>1.2174</v>
      </c>
      <c r="H63" s="8">
        <f t="shared" si="3"/>
        <v>4.8696000000000002</v>
      </c>
      <c r="I63" s="160">
        <f t="shared" si="0"/>
        <v>0.73043999999999998</v>
      </c>
      <c r="J63" s="160">
        <f t="shared" si="1"/>
        <v>5.6000399999999999</v>
      </c>
      <c r="K63" s="298"/>
    </row>
    <row r="64" spans="1:11" ht="16.149999999999999" customHeight="1" x14ac:dyDescent="0.25">
      <c r="A64" s="283"/>
      <c r="B64" s="293"/>
      <c r="C64" s="144">
        <v>4</v>
      </c>
      <c r="D64" s="144">
        <v>4</v>
      </c>
      <c r="E64" s="144" t="s">
        <v>247</v>
      </c>
      <c r="F64" s="145"/>
      <c r="G64" s="9">
        <v>3.5217000000000001</v>
      </c>
      <c r="H64" s="8">
        <f t="shared" si="3"/>
        <v>14.0868</v>
      </c>
      <c r="I64" s="160">
        <f t="shared" si="0"/>
        <v>2.1130200000000001</v>
      </c>
      <c r="J64" s="160">
        <f t="shared" si="1"/>
        <v>16.199819999999999</v>
      </c>
      <c r="K64" s="298"/>
    </row>
    <row r="65" spans="1:11" ht="16.149999999999999" customHeight="1" x14ac:dyDescent="0.25">
      <c r="A65" s="283"/>
      <c r="B65" s="293"/>
      <c r="C65" s="144">
        <v>4</v>
      </c>
      <c r="D65" s="144">
        <v>4</v>
      </c>
      <c r="E65" s="144" t="s">
        <v>248</v>
      </c>
      <c r="F65" s="145"/>
      <c r="G65" s="9">
        <v>3.5217000000000001</v>
      </c>
      <c r="H65" s="8">
        <f t="shared" si="3"/>
        <v>14.0868</v>
      </c>
      <c r="I65" s="160">
        <f t="shared" si="0"/>
        <v>2.1130200000000001</v>
      </c>
      <c r="J65" s="160">
        <f t="shared" si="1"/>
        <v>16.199819999999999</v>
      </c>
      <c r="K65" s="298"/>
    </row>
    <row r="66" spans="1:11" ht="16.149999999999999" customHeight="1" x14ac:dyDescent="0.25">
      <c r="A66" s="283"/>
      <c r="B66" s="293"/>
      <c r="C66" s="144">
        <v>4</v>
      </c>
      <c r="D66" s="144">
        <v>4</v>
      </c>
      <c r="E66" s="144" t="s">
        <v>249</v>
      </c>
      <c r="F66" s="145"/>
      <c r="G66" s="9">
        <v>3.2174</v>
      </c>
      <c r="H66" s="8">
        <f t="shared" si="3"/>
        <v>12.8696</v>
      </c>
      <c r="I66" s="160">
        <f t="shared" si="0"/>
        <v>1.9304399999999999</v>
      </c>
      <c r="J66" s="160">
        <f t="shared" si="1"/>
        <v>14.800039999999999</v>
      </c>
      <c r="K66" s="298"/>
    </row>
    <row r="67" spans="1:11" ht="16.149999999999999" customHeight="1" x14ac:dyDescent="0.25">
      <c r="A67" s="283"/>
      <c r="B67" s="293"/>
      <c r="C67" s="144">
        <v>4</v>
      </c>
      <c r="D67" s="144">
        <v>4</v>
      </c>
      <c r="E67" s="144" t="s">
        <v>250</v>
      </c>
      <c r="F67" s="145"/>
      <c r="G67" s="9">
        <v>6.8261000000000003</v>
      </c>
      <c r="H67" s="8">
        <f t="shared" si="3"/>
        <v>27.304400000000001</v>
      </c>
      <c r="I67" s="160">
        <f t="shared" si="0"/>
        <v>4.0956599999999996</v>
      </c>
      <c r="J67" s="160">
        <f t="shared" si="1"/>
        <v>31.40006</v>
      </c>
      <c r="K67" s="298"/>
    </row>
    <row r="68" spans="1:11" ht="16.149999999999999" customHeight="1" x14ac:dyDescent="0.25">
      <c r="A68" s="283"/>
      <c r="B68" s="293"/>
      <c r="C68" s="144">
        <v>10</v>
      </c>
      <c r="D68" s="144">
        <v>10</v>
      </c>
      <c r="E68" s="144" t="s">
        <v>251</v>
      </c>
      <c r="F68" s="145"/>
      <c r="G68" s="9">
        <v>2.1739000000000002</v>
      </c>
      <c r="H68" s="8">
        <f t="shared" si="3"/>
        <v>21.739000000000001</v>
      </c>
      <c r="I68" s="160">
        <f t="shared" si="0"/>
        <v>3.26085</v>
      </c>
      <c r="J68" s="160">
        <f t="shared" si="1"/>
        <v>24.999850000000002</v>
      </c>
      <c r="K68" s="298"/>
    </row>
    <row r="69" spans="1:11" ht="16.149999999999999" customHeight="1" x14ac:dyDescent="0.25">
      <c r="A69" s="283"/>
      <c r="B69" s="293"/>
      <c r="C69" s="144">
        <v>7</v>
      </c>
      <c r="D69" s="144">
        <v>7</v>
      </c>
      <c r="E69" s="144" t="s">
        <v>207</v>
      </c>
      <c r="F69" s="145"/>
      <c r="G69" s="9">
        <v>1.3043</v>
      </c>
      <c r="H69" s="8">
        <f t="shared" si="3"/>
        <v>9.1301000000000005</v>
      </c>
      <c r="I69" s="160">
        <f t="shared" si="0"/>
        <v>1.369515</v>
      </c>
      <c r="J69" s="160">
        <f t="shared" si="1"/>
        <v>10.499615</v>
      </c>
      <c r="K69" s="298"/>
    </row>
    <row r="70" spans="1:11" ht="16.149999999999999" customHeight="1" x14ac:dyDescent="0.25">
      <c r="A70" s="283"/>
      <c r="B70" s="293"/>
      <c r="C70" s="144">
        <v>60</v>
      </c>
      <c r="D70" s="144">
        <v>60</v>
      </c>
      <c r="E70" s="144" t="s">
        <v>252</v>
      </c>
      <c r="F70" s="145"/>
      <c r="G70" s="9">
        <v>1.4348000000000001</v>
      </c>
      <c r="H70" s="8">
        <f t="shared" si="3"/>
        <v>86.088000000000008</v>
      </c>
      <c r="I70" s="160">
        <f t="shared" si="0"/>
        <v>12.913200000000002</v>
      </c>
      <c r="J70" s="160">
        <f t="shared" si="1"/>
        <v>99.001200000000011</v>
      </c>
      <c r="K70" s="298"/>
    </row>
    <row r="71" spans="1:11" ht="16.149999999999999" customHeight="1" x14ac:dyDescent="0.25">
      <c r="A71" s="283"/>
      <c r="B71" s="293"/>
      <c r="C71" s="144">
        <v>1</v>
      </c>
      <c r="D71" s="144">
        <v>1</v>
      </c>
      <c r="E71" s="144" t="s">
        <v>253</v>
      </c>
      <c r="F71" s="145"/>
      <c r="G71" s="9">
        <v>4.3478000000000003</v>
      </c>
      <c r="H71" s="8">
        <f t="shared" si="3"/>
        <v>4.3478000000000003</v>
      </c>
      <c r="I71" s="160">
        <f t="shared" si="0"/>
        <v>0.65217000000000003</v>
      </c>
      <c r="J71" s="160">
        <f t="shared" si="1"/>
        <v>4.9999700000000002</v>
      </c>
      <c r="K71" s="298"/>
    </row>
    <row r="72" spans="1:11" ht="16.149999999999999" customHeight="1" x14ac:dyDescent="0.25">
      <c r="A72" s="283"/>
      <c r="B72" s="293"/>
      <c r="C72" s="144">
        <v>1</v>
      </c>
      <c r="D72" s="144">
        <v>1</v>
      </c>
      <c r="E72" s="144" t="s">
        <v>254</v>
      </c>
      <c r="F72" s="145"/>
      <c r="G72" s="9">
        <v>1.3043</v>
      </c>
      <c r="H72" s="8">
        <f t="shared" si="3"/>
        <v>1.3043</v>
      </c>
      <c r="I72" s="160">
        <f t="shared" ref="I72:I135" si="4">H72*0.15</f>
        <v>0.19564499999999999</v>
      </c>
      <c r="J72" s="160">
        <f t="shared" ref="J72:J135" si="5">H72+I72</f>
        <v>1.4999450000000001</v>
      </c>
      <c r="K72" s="298"/>
    </row>
    <row r="73" spans="1:11" ht="16.149999999999999" customHeight="1" x14ac:dyDescent="0.25">
      <c r="A73" s="171">
        <v>45940</v>
      </c>
      <c r="B73" s="44" t="s">
        <v>255</v>
      </c>
      <c r="C73" s="28">
        <v>1</v>
      </c>
      <c r="D73" s="28">
        <v>1</v>
      </c>
      <c r="E73" s="28" t="s">
        <v>161</v>
      </c>
      <c r="F73" s="29"/>
      <c r="G73" s="11">
        <v>189.58</v>
      </c>
      <c r="H73" s="11">
        <f t="shared" si="3"/>
        <v>189.58</v>
      </c>
      <c r="I73" s="172">
        <f t="shared" si="4"/>
        <v>28.437000000000001</v>
      </c>
      <c r="J73" s="172">
        <f t="shared" si="5"/>
        <v>218.01700000000002</v>
      </c>
      <c r="K73" s="173">
        <f t="shared" ref="K73:K135" si="6">J73</f>
        <v>218.01700000000002</v>
      </c>
    </row>
    <row r="74" spans="1:11" ht="16.149999999999999" customHeight="1" thickBot="1" x14ac:dyDescent="0.3">
      <c r="A74" s="52">
        <v>45940</v>
      </c>
      <c r="B74" s="43" t="s">
        <v>333</v>
      </c>
      <c r="C74" s="144">
        <v>1</v>
      </c>
      <c r="D74" s="144">
        <v>1</v>
      </c>
      <c r="E74" s="144" t="s">
        <v>161</v>
      </c>
      <c r="F74" s="145"/>
      <c r="G74" s="9">
        <v>8.99</v>
      </c>
      <c r="H74" s="9">
        <f t="shared" si="3"/>
        <v>8.99</v>
      </c>
      <c r="I74" s="160">
        <f t="shared" si="4"/>
        <v>1.3485</v>
      </c>
      <c r="J74" s="160">
        <f t="shared" si="5"/>
        <v>10.3385</v>
      </c>
      <c r="K74" s="174">
        <f t="shared" si="6"/>
        <v>10.3385</v>
      </c>
    </row>
    <row r="75" spans="1:11" ht="16.149999999999999" customHeight="1" x14ac:dyDescent="0.25">
      <c r="A75" s="282">
        <v>45950</v>
      </c>
      <c r="B75" s="292" t="s">
        <v>256</v>
      </c>
      <c r="C75" s="155">
        <v>1</v>
      </c>
      <c r="D75" s="155">
        <v>1</v>
      </c>
      <c r="E75" s="57" t="s">
        <v>257</v>
      </c>
      <c r="F75" s="156"/>
      <c r="G75" s="157">
        <v>37.409999999999997</v>
      </c>
      <c r="H75" s="158">
        <f t="shared" si="3"/>
        <v>37.409999999999997</v>
      </c>
      <c r="I75" s="159">
        <f t="shared" si="4"/>
        <v>5.6114999999999995</v>
      </c>
      <c r="J75" s="159">
        <f t="shared" si="5"/>
        <v>43.021499999999996</v>
      </c>
      <c r="K75" s="297">
        <f>SUM(J75:J78)</f>
        <v>392.06949999999995</v>
      </c>
    </row>
    <row r="76" spans="1:11" ht="16.149999999999999" customHeight="1" x14ac:dyDescent="0.25">
      <c r="A76" s="283"/>
      <c r="B76" s="293"/>
      <c r="C76" s="144">
        <v>1</v>
      </c>
      <c r="D76" s="144">
        <v>1</v>
      </c>
      <c r="E76" s="40" t="s">
        <v>258</v>
      </c>
      <c r="F76" s="145"/>
      <c r="G76" s="9">
        <v>41.59</v>
      </c>
      <c r="H76" s="8">
        <f t="shared" si="3"/>
        <v>41.59</v>
      </c>
      <c r="I76" s="160">
        <f t="shared" si="4"/>
        <v>6.2385000000000002</v>
      </c>
      <c r="J76" s="160">
        <f t="shared" si="5"/>
        <v>47.828500000000005</v>
      </c>
      <c r="K76" s="298"/>
    </row>
    <row r="77" spans="1:11" ht="16.149999999999999" customHeight="1" x14ac:dyDescent="0.25">
      <c r="A77" s="283"/>
      <c r="B77" s="293"/>
      <c r="C77" s="144">
        <v>1</v>
      </c>
      <c r="D77" s="144">
        <v>1</v>
      </c>
      <c r="E77" s="40" t="s">
        <v>259</v>
      </c>
      <c r="F77" s="145"/>
      <c r="G77" s="9">
        <v>21.16</v>
      </c>
      <c r="H77" s="8">
        <f t="shared" si="3"/>
        <v>21.16</v>
      </c>
      <c r="I77" s="160">
        <f t="shared" si="4"/>
        <v>3.1739999999999999</v>
      </c>
      <c r="J77" s="160">
        <f t="shared" si="5"/>
        <v>24.334</v>
      </c>
      <c r="K77" s="298"/>
    </row>
    <row r="78" spans="1:11" ht="16.149999999999999" customHeight="1" thickBot="1" x14ac:dyDescent="0.3">
      <c r="A78" s="291"/>
      <c r="B78" s="294"/>
      <c r="C78" s="161">
        <v>1</v>
      </c>
      <c r="D78" s="161">
        <v>1</v>
      </c>
      <c r="E78" s="161" t="s">
        <v>260</v>
      </c>
      <c r="F78" s="162"/>
      <c r="G78" s="163">
        <v>240.77</v>
      </c>
      <c r="H78" s="164">
        <f t="shared" si="3"/>
        <v>240.77</v>
      </c>
      <c r="I78" s="165">
        <f t="shared" si="4"/>
        <v>36.115499999999997</v>
      </c>
      <c r="J78" s="165">
        <f t="shared" si="5"/>
        <v>276.88549999999998</v>
      </c>
      <c r="K78" s="299"/>
    </row>
    <row r="79" spans="1:11" ht="16.149999999999999" customHeight="1" x14ac:dyDescent="0.25">
      <c r="A79" s="282">
        <v>45950</v>
      </c>
      <c r="B79" s="292" t="s">
        <v>261</v>
      </c>
      <c r="C79" s="155">
        <v>24</v>
      </c>
      <c r="D79" s="155">
        <v>24</v>
      </c>
      <c r="E79" s="57" t="s">
        <v>262</v>
      </c>
      <c r="F79" s="156"/>
      <c r="G79" s="157">
        <v>6.2653999999999996</v>
      </c>
      <c r="H79" s="158">
        <f t="shared" si="3"/>
        <v>150.36959999999999</v>
      </c>
      <c r="I79" s="159">
        <f t="shared" si="4"/>
        <v>22.555439999999997</v>
      </c>
      <c r="J79" s="159">
        <f t="shared" si="5"/>
        <v>172.92504</v>
      </c>
      <c r="K79" s="297"/>
    </row>
    <row r="80" spans="1:11" ht="16.149999999999999" customHeight="1" x14ac:dyDescent="0.25">
      <c r="A80" s="283"/>
      <c r="B80" s="293"/>
      <c r="C80" s="144">
        <v>24</v>
      </c>
      <c r="D80" s="144">
        <v>24</v>
      </c>
      <c r="E80" s="40" t="s">
        <v>263</v>
      </c>
      <c r="F80" s="145"/>
      <c r="G80" s="9">
        <v>3.4794</v>
      </c>
      <c r="H80" s="8">
        <f t="shared" si="3"/>
        <v>83.505600000000001</v>
      </c>
      <c r="I80" s="160">
        <f t="shared" si="4"/>
        <v>12.525840000000001</v>
      </c>
      <c r="J80" s="160">
        <f t="shared" si="5"/>
        <v>96.031440000000003</v>
      </c>
      <c r="K80" s="298"/>
    </row>
    <row r="81" spans="1:11" ht="16.149999999999999" customHeight="1" x14ac:dyDescent="0.25">
      <c r="A81" s="283"/>
      <c r="B81" s="293"/>
      <c r="C81" s="144">
        <v>8</v>
      </c>
      <c r="D81" s="144">
        <v>8</v>
      </c>
      <c r="E81" s="40" t="s">
        <v>263</v>
      </c>
      <c r="F81" s="145"/>
      <c r="G81" s="9">
        <v>3.4794</v>
      </c>
      <c r="H81" s="8">
        <f t="shared" si="3"/>
        <v>27.8352</v>
      </c>
      <c r="I81" s="160">
        <f t="shared" si="4"/>
        <v>4.1752799999999999</v>
      </c>
      <c r="J81" s="160">
        <f t="shared" si="5"/>
        <v>32.010480000000001</v>
      </c>
      <c r="K81" s="298"/>
    </row>
    <row r="82" spans="1:11" ht="16.149999999999999" customHeight="1" thickBot="1" x14ac:dyDescent="0.3">
      <c r="A82" s="291"/>
      <c r="B82" s="293"/>
      <c r="C82" s="144">
        <v>1</v>
      </c>
      <c r="D82" s="144">
        <v>1</v>
      </c>
      <c r="E82" s="40" t="s">
        <v>264</v>
      </c>
      <c r="F82" s="145"/>
      <c r="G82" s="9">
        <v>235.37</v>
      </c>
      <c r="H82" s="8">
        <f t="shared" si="3"/>
        <v>235.37</v>
      </c>
      <c r="I82" s="160">
        <f t="shared" si="4"/>
        <v>35.305500000000002</v>
      </c>
      <c r="J82" s="160">
        <f t="shared" si="5"/>
        <v>270.6755</v>
      </c>
      <c r="K82" s="298"/>
    </row>
    <row r="83" spans="1:11" ht="16.149999999999999" customHeight="1" thickBot="1" x14ac:dyDescent="0.3">
      <c r="A83" s="31">
        <v>45950</v>
      </c>
      <c r="B83" s="175" t="s">
        <v>265</v>
      </c>
      <c r="C83" s="25">
        <v>1</v>
      </c>
      <c r="D83" s="25">
        <v>1</v>
      </c>
      <c r="E83" s="25" t="s">
        <v>161</v>
      </c>
      <c r="F83" s="26"/>
      <c r="G83" s="10">
        <v>134.62</v>
      </c>
      <c r="H83" s="10">
        <f t="shared" si="3"/>
        <v>134.62</v>
      </c>
      <c r="I83" s="169">
        <f t="shared" si="4"/>
        <v>20.193000000000001</v>
      </c>
      <c r="J83" s="169">
        <f t="shared" si="5"/>
        <v>154.81300000000002</v>
      </c>
      <c r="K83" s="170">
        <f t="shared" si="6"/>
        <v>154.81300000000002</v>
      </c>
    </row>
    <row r="84" spans="1:11" ht="16.149999999999999" customHeight="1" x14ac:dyDescent="0.25">
      <c r="A84" s="282">
        <v>45951</v>
      </c>
      <c r="B84" s="292" t="s">
        <v>266</v>
      </c>
      <c r="C84" s="155">
        <v>1</v>
      </c>
      <c r="D84" s="155">
        <v>1</v>
      </c>
      <c r="E84" s="57" t="s">
        <v>267</v>
      </c>
      <c r="F84" s="156"/>
      <c r="G84" s="157">
        <v>41.59</v>
      </c>
      <c r="H84" s="158">
        <f t="shared" si="3"/>
        <v>41.59</v>
      </c>
      <c r="I84" s="159">
        <f t="shared" si="4"/>
        <v>6.2385000000000002</v>
      </c>
      <c r="J84" s="159">
        <f t="shared" si="5"/>
        <v>47.828500000000005</v>
      </c>
      <c r="K84" s="300">
        <f>SUM(J84:J85)</f>
        <v>385.6755</v>
      </c>
    </row>
    <row r="85" spans="1:11" ht="16.149999999999999" customHeight="1" thickBot="1" x14ac:dyDescent="0.3">
      <c r="A85" s="291"/>
      <c r="B85" s="294"/>
      <c r="C85" s="161">
        <v>1</v>
      </c>
      <c r="D85" s="161">
        <v>1</v>
      </c>
      <c r="E85" s="161" t="s">
        <v>268</v>
      </c>
      <c r="F85" s="162"/>
      <c r="G85" s="163">
        <v>293.77999999999997</v>
      </c>
      <c r="H85" s="164">
        <f t="shared" si="3"/>
        <v>293.77999999999997</v>
      </c>
      <c r="I85" s="165">
        <f t="shared" si="4"/>
        <v>44.066999999999993</v>
      </c>
      <c r="J85" s="165">
        <f t="shared" si="5"/>
        <v>337.84699999999998</v>
      </c>
      <c r="K85" s="301"/>
    </row>
    <row r="86" spans="1:11" ht="16.149999999999999" customHeight="1" x14ac:dyDescent="0.25">
      <c r="A86" s="179">
        <v>45952</v>
      </c>
      <c r="B86" s="180" t="s">
        <v>166</v>
      </c>
      <c r="C86" s="181">
        <v>8</v>
      </c>
      <c r="D86" s="181">
        <v>8</v>
      </c>
      <c r="E86" s="182" t="s">
        <v>269</v>
      </c>
      <c r="F86" s="183"/>
      <c r="G86" s="184">
        <v>5.1139999999999999</v>
      </c>
      <c r="H86" s="184">
        <f t="shared" si="3"/>
        <v>40.911999999999999</v>
      </c>
      <c r="I86" s="185">
        <f t="shared" si="4"/>
        <v>6.1368</v>
      </c>
      <c r="J86" s="185">
        <f t="shared" si="5"/>
        <v>47.0488</v>
      </c>
      <c r="K86" s="186">
        <f t="shared" si="6"/>
        <v>47.0488</v>
      </c>
    </row>
    <row r="87" spans="1:11" x14ac:dyDescent="0.25">
      <c r="A87" s="146">
        <v>45957</v>
      </c>
      <c r="B87" s="131" t="s">
        <v>157</v>
      </c>
      <c r="C87" s="148">
        <v>1</v>
      </c>
      <c r="D87" s="148">
        <v>1</v>
      </c>
      <c r="E87" s="116" t="s">
        <v>158</v>
      </c>
      <c r="F87" s="20" t="s">
        <v>159</v>
      </c>
      <c r="G87" s="149">
        <v>80</v>
      </c>
      <c r="H87" s="149">
        <f t="shared" ref="H87:H89" si="7">G87*C87</f>
        <v>80</v>
      </c>
      <c r="I87" s="38">
        <f t="shared" si="4"/>
        <v>12</v>
      </c>
      <c r="J87" s="38">
        <f t="shared" si="5"/>
        <v>92</v>
      </c>
      <c r="K87" s="167">
        <f t="shared" si="6"/>
        <v>92</v>
      </c>
    </row>
    <row r="88" spans="1:11" x14ac:dyDescent="0.25">
      <c r="A88" s="146">
        <v>45959</v>
      </c>
      <c r="B88" s="131" t="s">
        <v>160</v>
      </c>
      <c r="C88" s="148">
        <v>1</v>
      </c>
      <c r="D88" s="148">
        <v>1</v>
      </c>
      <c r="E88" s="148" t="s">
        <v>161</v>
      </c>
      <c r="F88" s="20" t="s">
        <v>128</v>
      </c>
      <c r="G88" s="149">
        <v>69.48</v>
      </c>
      <c r="H88" s="149">
        <f t="shared" si="7"/>
        <v>69.48</v>
      </c>
      <c r="I88" s="38">
        <f t="shared" si="4"/>
        <v>10.422000000000001</v>
      </c>
      <c r="J88" s="38">
        <f t="shared" si="5"/>
        <v>79.902000000000001</v>
      </c>
      <c r="K88" s="167">
        <f t="shared" si="6"/>
        <v>79.902000000000001</v>
      </c>
    </row>
    <row r="89" spans="1:11" x14ac:dyDescent="0.25">
      <c r="A89" s="146">
        <v>45959</v>
      </c>
      <c r="B89" s="131" t="s">
        <v>162</v>
      </c>
      <c r="C89" s="148">
        <v>1</v>
      </c>
      <c r="D89" s="148">
        <v>1</v>
      </c>
      <c r="E89" s="148" t="s">
        <v>161</v>
      </c>
      <c r="F89" s="20" t="s">
        <v>128</v>
      </c>
      <c r="G89" s="149">
        <v>63.9</v>
      </c>
      <c r="H89" s="149">
        <f t="shared" si="7"/>
        <v>63.9</v>
      </c>
      <c r="I89" s="38">
        <f t="shared" si="4"/>
        <v>9.5849999999999991</v>
      </c>
      <c r="J89" s="38">
        <f t="shared" si="5"/>
        <v>73.484999999999999</v>
      </c>
      <c r="K89" s="167">
        <f t="shared" si="6"/>
        <v>73.484999999999999</v>
      </c>
    </row>
    <row r="90" spans="1:11" x14ac:dyDescent="0.25">
      <c r="A90" s="146">
        <v>45959</v>
      </c>
      <c r="B90" s="131" t="s">
        <v>163</v>
      </c>
      <c r="C90" s="148">
        <v>1</v>
      </c>
      <c r="D90" s="148">
        <v>1</v>
      </c>
      <c r="E90" s="177" t="s">
        <v>161</v>
      </c>
      <c r="F90" s="177" t="s">
        <v>128</v>
      </c>
      <c r="G90" s="149">
        <v>88.34</v>
      </c>
      <c r="H90" s="149">
        <f>G90*C90</f>
        <v>88.34</v>
      </c>
      <c r="I90" s="38">
        <f t="shared" si="4"/>
        <v>13.250999999999999</v>
      </c>
      <c r="J90" s="38">
        <f t="shared" si="5"/>
        <v>101.59100000000001</v>
      </c>
      <c r="K90" s="167">
        <f t="shared" si="6"/>
        <v>101.59100000000001</v>
      </c>
    </row>
    <row r="91" spans="1:11" x14ac:dyDescent="0.25">
      <c r="A91" s="146">
        <v>45959</v>
      </c>
      <c r="B91" s="131" t="s">
        <v>164</v>
      </c>
      <c r="C91" s="148">
        <v>1</v>
      </c>
      <c r="D91" s="148">
        <v>1</v>
      </c>
      <c r="E91" s="177" t="s">
        <v>161</v>
      </c>
      <c r="F91" s="177" t="s">
        <v>128</v>
      </c>
      <c r="G91" s="149">
        <v>138.96</v>
      </c>
      <c r="H91" s="149">
        <f t="shared" ref="H91:H139" si="8">G91*C91</f>
        <v>138.96</v>
      </c>
      <c r="I91" s="38">
        <f t="shared" si="4"/>
        <v>20.844000000000001</v>
      </c>
      <c r="J91" s="38">
        <f t="shared" si="5"/>
        <v>159.804</v>
      </c>
      <c r="K91" s="167">
        <f t="shared" si="6"/>
        <v>159.804</v>
      </c>
    </row>
    <row r="92" spans="1:11" x14ac:dyDescent="0.25">
      <c r="A92" s="178">
        <v>45960</v>
      </c>
      <c r="B92" s="131" t="s">
        <v>165</v>
      </c>
      <c r="C92" s="148">
        <v>1</v>
      </c>
      <c r="D92" s="148">
        <v>1</v>
      </c>
      <c r="E92" s="177" t="s">
        <v>161</v>
      </c>
      <c r="F92" s="177" t="s">
        <v>128</v>
      </c>
      <c r="G92" s="149">
        <v>33.97</v>
      </c>
      <c r="H92" s="149">
        <f t="shared" si="8"/>
        <v>33.97</v>
      </c>
      <c r="I92" s="38">
        <f t="shared" si="4"/>
        <v>5.0954999999999995</v>
      </c>
      <c r="J92" s="38">
        <f t="shared" si="5"/>
        <v>39.0655</v>
      </c>
      <c r="K92" s="167">
        <f t="shared" si="6"/>
        <v>39.0655</v>
      </c>
    </row>
    <row r="93" spans="1:11" ht="16.5" thickBot="1" x14ac:dyDescent="0.3">
      <c r="A93" s="187">
        <v>45952</v>
      </c>
      <c r="B93" s="132" t="s">
        <v>166</v>
      </c>
      <c r="C93" s="151">
        <v>1</v>
      </c>
      <c r="D93" s="151">
        <v>1</v>
      </c>
      <c r="E93" s="188" t="s">
        <v>161</v>
      </c>
      <c r="F93" s="188" t="s">
        <v>128</v>
      </c>
      <c r="G93" s="153">
        <v>40.909999999999997</v>
      </c>
      <c r="H93" s="153">
        <f t="shared" si="8"/>
        <v>40.909999999999997</v>
      </c>
      <c r="I93" s="154">
        <f t="shared" si="4"/>
        <v>6.136499999999999</v>
      </c>
      <c r="J93" s="154">
        <f t="shared" si="5"/>
        <v>47.046499999999995</v>
      </c>
      <c r="K93" s="168">
        <f t="shared" si="6"/>
        <v>47.046499999999995</v>
      </c>
    </row>
    <row r="94" spans="1:11" x14ac:dyDescent="0.25">
      <c r="A94" s="279">
        <v>45962</v>
      </c>
      <c r="B94" s="292" t="s">
        <v>270</v>
      </c>
      <c r="C94" s="155">
        <v>1</v>
      </c>
      <c r="D94" s="155">
        <v>1</v>
      </c>
      <c r="E94" s="57" t="s">
        <v>271</v>
      </c>
      <c r="F94" s="189"/>
      <c r="G94" s="157">
        <v>3.79</v>
      </c>
      <c r="H94" s="158">
        <f t="shared" si="8"/>
        <v>3.79</v>
      </c>
      <c r="I94" s="159">
        <f t="shared" si="4"/>
        <v>0.56850000000000001</v>
      </c>
      <c r="J94" s="159">
        <f t="shared" si="5"/>
        <v>4.3585000000000003</v>
      </c>
      <c r="K94" s="297">
        <f>SUM(J94:J101)</f>
        <v>75.899999999999991</v>
      </c>
    </row>
    <row r="95" spans="1:11" x14ac:dyDescent="0.25">
      <c r="A95" s="280"/>
      <c r="B95" s="293"/>
      <c r="C95" s="144">
        <v>1</v>
      </c>
      <c r="D95" s="144">
        <v>1</v>
      </c>
      <c r="E95" s="40" t="s">
        <v>272</v>
      </c>
      <c r="F95" s="176"/>
      <c r="G95" s="9">
        <v>11.73</v>
      </c>
      <c r="H95" s="8">
        <f t="shared" si="8"/>
        <v>11.73</v>
      </c>
      <c r="I95" s="160">
        <f t="shared" si="4"/>
        <v>1.7595000000000001</v>
      </c>
      <c r="J95" s="160">
        <f t="shared" si="5"/>
        <v>13.4895</v>
      </c>
      <c r="K95" s="298"/>
    </row>
    <row r="96" spans="1:11" x14ac:dyDescent="0.25">
      <c r="A96" s="280"/>
      <c r="B96" s="293"/>
      <c r="C96" s="144">
        <v>1</v>
      </c>
      <c r="D96" s="144">
        <v>1</v>
      </c>
      <c r="E96" s="40" t="s">
        <v>271</v>
      </c>
      <c r="F96" s="176"/>
      <c r="G96" s="9">
        <v>3.79</v>
      </c>
      <c r="H96" s="8">
        <f t="shared" si="8"/>
        <v>3.79</v>
      </c>
      <c r="I96" s="160">
        <f t="shared" si="4"/>
        <v>0.56850000000000001</v>
      </c>
      <c r="J96" s="160">
        <f t="shared" si="5"/>
        <v>4.3585000000000003</v>
      </c>
      <c r="K96" s="298"/>
    </row>
    <row r="97" spans="1:11" x14ac:dyDescent="0.25">
      <c r="A97" s="280"/>
      <c r="B97" s="293"/>
      <c r="C97" s="144">
        <v>1</v>
      </c>
      <c r="D97" s="144">
        <v>1</v>
      </c>
      <c r="E97" s="40" t="s">
        <v>272</v>
      </c>
      <c r="F97" s="176"/>
      <c r="G97" s="9">
        <v>11.73</v>
      </c>
      <c r="H97" s="8">
        <f t="shared" si="8"/>
        <v>11.73</v>
      </c>
      <c r="I97" s="160">
        <f t="shared" si="4"/>
        <v>1.7595000000000001</v>
      </c>
      <c r="J97" s="160">
        <f t="shared" si="5"/>
        <v>13.4895</v>
      </c>
      <c r="K97" s="298"/>
    </row>
    <row r="98" spans="1:11" x14ac:dyDescent="0.25">
      <c r="A98" s="280"/>
      <c r="B98" s="293"/>
      <c r="C98" s="144">
        <v>1</v>
      </c>
      <c r="D98" s="144">
        <v>1</v>
      </c>
      <c r="E98" s="40" t="s">
        <v>273</v>
      </c>
      <c r="F98" s="176"/>
      <c r="G98" s="9">
        <v>1.56</v>
      </c>
      <c r="H98" s="8">
        <f t="shared" si="8"/>
        <v>1.56</v>
      </c>
      <c r="I98" s="160">
        <f t="shared" si="4"/>
        <v>0.23399999999999999</v>
      </c>
      <c r="J98" s="160">
        <f t="shared" si="5"/>
        <v>1.794</v>
      </c>
      <c r="K98" s="298"/>
    </row>
    <row r="99" spans="1:11" x14ac:dyDescent="0.25">
      <c r="A99" s="280"/>
      <c r="B99" s="293"/>
      <c r="C99" s="144">
        <v>1</v>
      </c>
      <c r="D99" s="144">
        <v>1</v>
      </c>
      <c r="E99" s="40" t="s">
        <v>274</v>
      </c>
      <c r="F99" s="176"/>
      <c r="G99" s="9">
        <v>12.52</v>
      </c>
      <c r="H99" s="8">
        <f t="shared" si="8"/>
        <v>12.52</v>
      </c>
      <c r="I99" s="160">
        <f t="shared" si="4"/>
        <v>1.8779999999999999</v>
      </c>
      <c r="J99" s="160">
        <f t="shared" si="5"/>
        <v>14.398</v>
      </c>
      <c r="K99" s="298"/>
    </row>
    <row r="100" spans="1:11" x14ac:dyDescent="0.25">
      <c r="A100" s="280"/>
      <c r="B100" s="293"/>
      <c r="C100" s="144">
        <v>1</v>
      </c>
      <c r="D100" s="144">
        <v>1</v>
      </c>
      <c r="E100" s="40" t="s">
        <v>275</v>
      </c>
      <c r="F100" s="176"/>
      <c r="G100" s="9">
        <v>10.44</v>
      </c>
      <c r="H100" s="8">
        <f t="shared" si="8"/>
        <v>10.44</v>
      </c>
      <c r="I100" s="160">
        <f t="shared" si="4"/>
        <v>1.5659999999999998</v>
      </c>
      <c r="J100" s="160">
        <f t="shared" si="5"/>
        <v>12.006</v>
      </c>
      <c r="K100" s="298"/>
    </row>
    <row r="101" spans="1:11" x14ac:dyDescent="0.25">
      <c r="A101" s="280"/>
      <c r="B101" s="293"/>
      <c r="C101" s="144">
        <v>1</v>
      </c>
      <c r="D101" s="144">
        <v>1</v>
      </c>
      <c r="E101" s="40" t="s">
        <v>276</v>
      </c>
      <c r="F101" s="176"/>
      <c r="G101" s="9">
        <v>10.44</v>
      </c>
      <c r="H101" s="8">
        <f t="shared" si="8"/>
        <v>10.44</v>
      </c>
      <c r="I101" s="160">
        <f t="shared" si="4"/>
        <v>1.5659999999999998</v>
      </c>
      <c r="J101" s="160">
        <f t="shared" si="5"/>
        <v>12.006</v>
      </c>
      <c r="K101" s="298"/>
    </row>
    <row r="102" spans="1:11" ht="16.5" thickBot="1" x14ac:dyDescent="0.3">
      <c r="A102" s="187">
        <v>45962</v>
      </c>
      <c r="B102" s="132" t="s">
        <v>277</v>
      </c>
      <c r="C102" s="151">
        <v>1</v>
      </c>
      <c r="D102" s="151">
        <v>1</v>
      </c>
      <c r="E102" s="134" t="s">
        <v>278</v>
      </c>
      <c r="F102" s="188"/>
      <c r="G102" s="153">
        <v>67.311000000000007</v>
      </c>
      <c r="H102" s="153">
        <f t="shared" si="8"/>
        <v>67.311000000000007</v>
      </c>
      <c r="I102" s="154">
        <f t="shared" si="4"/>
        <v>10.09665</v>
      </c>
      <c r="J102" s="154">
        <f t="shared" si="5"/>
        <v>77.407650000000004</v>
      </c>
      <c r="K102" s="168">
        <f t="shared" si="6"/>
        <v>77.407650000000004</v>
      </c>
    </row>
    <row r="103" spans="1:11" x14ac:dyDescent="0.25">
      <c r="A103" s="279">
        <v>45962</v>
      </c>
      <c r="B103" s="292" t="s">
        <v>279</v>
      </c>
      <c r="C103" s="155">
        <v>1</v>
      </c>
      <c r="D103" s="155">
        <v>1</v>
      </c>
      <c r="E103" s="57" t="s">
        <v>280</v>
      </c>
      <c r="F103" s="156"/>
      <c r="G103" s="157">
        <v>1.69</v>
      </c>
      <c r="H103" s="158">
        <f t="shared" si="8"/>
        <v>1.69</v>
      </c>
      <c r="I103" s="159">
        <f t="shared" si="4"/>
        <v>0.2535</v>
      </c>
      <c r="J103" s="159">
        <f t="shared" si="5"/>
        <v>1.9435</v>
      </c>
      <c r="K103" s="297">
        <f>SUM(J103:J106)</f>
        <v>21.090999999999998</v>
      </c>
    </row>
    <row r="104" spans="1:11" x14ac:dyDescent="0.25">
      <c r="A104" s="280"/>
      <c r="B104" s="293"/>
      <c r="C104" s="144">
        <v>1</v>
      </c>
      <c r="D104" s="144">
        <v>1</v>
      </c>
      <c r="E104" s="145" t="s">
        <v>281</v>
      </c>
      <c r="F104" s="145"/>
      <c r="G104" s="9">
        <v>12.78</v>
      </c>
      <c r="H104" s="8">
        <f t="shared" si="8"/>
        <v>12.78</v>
      </c>
      <c r="I104" s="160">
        <f t="shared" si="4"/>
        <v>1.9169999999999998</v>
      </c>
      <c r="J104" s="160">
        <f t="shared" si="5"/>
        <v>14.696999999999999</v>
      </c>
      <c r="K104" s="298"/>
    </row>
    <row r="105" spans="1:11" x14ac:dyDescent="0.25">
      <c r="A105" s="280"/>
      <c r="B105" s="293"/>
      <c r="C105" s="144">
        <v>1</v>
      </c>
      <c r="D105" s="144">
        <v>1</v>
      </c>
      <c r="E105" s="145" t="s">
        <v>282</v>
      </c>
      <c r="F105" s="145"/>
      <c r="G105" s="9">
        <v>2.23</v>
      </c>
      <c r="H105" s="8">
        <f t="shared" si="8"/>
        <v>2.23</v>
      </c>
      <c r="I105" s="160">
        <f t="shared" si="4"/>
        <v>0.33449999999999996</v>
      </c>
      <c r="J105" s="160">
        <f t="shared" si="5"/>
        <v>2.5644999999999998</v>
      </c>
      <c r="K105" s="298"/>
    </row>
    <row r="106" spans="1:11" ht="16.5" thickBot="1" x14ac:dyDescent="0.3">
      <c r="A106" s="281"/>
      <c r="B106" s="294"/>
      <c r="C106" s="161">
        <v>1</v>
      </c>
      <c r="D106" s="161">
        <v>1</v>
      </c>
      <c r="E106" s="60" t="s">
        <v>283</v>
      </c>
      <c r="F106" s="162"/>
      <c r="G106" s="163">
        <v>1.64</v>
      </c>
      <c r="H106" s="164">
        <f t="shared" si="8"/>
        <v>1.64</v>
      </c>
      <c r="I106" s="165">
        <f t="shared" si="4"/>
        <v>0.24599999999999997</v>
      </c>
      <c r="J106" s="165">
        <f t="shared" si="5"/>
        <v>1.8859999999999999</v>
      </c>
      <c r="K106" s="299"/>
    </row>
    <row r="107" spans="1:11" x14ac:dyDescent="0.25">
      <c r="A107" s="279">
        <v>45962</v>
      </c>
      <c r="B107" s="292" t="s">
        <v>284</v>
      </c>
      <c r="C107" s="155">
        <v>1</v>
      </c>
      <c r="D107" s="155">
        <v>1</v>
      </c>
      <c r="E107" s="57" t="s">
        <v>285</v>
      </c>
      <c r="F107" s="156"/>
      <c r="G107" s="157">
        <v>17.652173999999999</v>
      </c>
      <c r="H107" s="158">
        <f t="shared" si="8"/>
        <v>17.652173999999999</v>
      </c>
      <c r="I107" s="159">
        <f t="shared" si="4"/>
        <v>2.6478260999999996</v>
      </c>
      <c r="J107" s="159">
        <f t="shared" si="5"/>
        <v>20.300000099999998</v>
      </c>
      <c r="K107" s="297">
        <f>SUM(J107:J113)</f>
        <v>61.049999399999997</v>
      </c>
    </row>
    <row r="108" spans="1:11" x14ac:dyDescent="0.25">
      <c r="A108" s="280"/>
      <c r="B108" s="293"/>
      <c r="C108" s="144">
        <v>1</v>
      </c>
      <c r="D108" s="144">
        <v>1</v>
      </c>
      <c r="E108" s="40" t="s">
        <v>286</v>
      </c>
      <c r="F108" s="145"/>
      <c r="G108" s="9">
        <v>3.3652169999999999</v>
      </c>
      <c r="H108" s="8">
        <f t="shared" si="8"/>
        <v>3.3652169999999999</v>
      </c>
      <c r="I108" s="160">
        <f t="shared" si="4"/>
        <v>0.50478254999999994</v>
      </c>
      <c r="J108" s="160">
        <f t="shared" si="5"/>
        <v>3.8699995499999997</v>
      </c>
      <c r="K108" s="298"/>
    </row>
    <row r="109" spans="1:11" x14ac:dyDescent="0.25">
      <c r="A109" s="280"/>
      <c r="B109" s="293"/>
      <c r="C109" s="144">
        <v>1</v>
      </c>
      <c r="D109" s="144">
        <v>1</v>
      </c>
      <c r="E109" s="40" t="s">
        <v>287</v>
      </c>
      <c r="F109" s="145"/>
      <c r="G109" s="9">
        <v>1.817391</v>
      </c>
      <c r="H109" s="8">
        <f t="shared" si="8"/>
        <v>1.817391</v>
      </c>
      <c r="I109" s="160">
        <f t="shared" si="4"/>
        <v>0.27260865000000001</v>
      </c>
      <c r="J109" s="160">
        <f t="shared" si="5"/>
        <v>2.0899996500000002</v>
      </c>
      <c r="K109" s="298"/>
    </row>
    <row r="110" spans="1:11" x14ac:dyDescent="0.25">
      <c r="A110" s="280"/>
      <c r="B110" s="293"/>
      <c r="C110" s="144">
        <v>4</v>
      </c>
      <c r="D110" s="144">
        <v>4</v>
      </c>
      <c r="E110" s="40" t="s">
        <v>288</v>
      </c>
      <c r="F110" s="145"/>
      <c r="G110" s="9">
        <v>2.7913039999999998</v>
      </c>
      <c r="H110" s="8">
        <f t="shared" si="8"/>
        <v>11.165215999999999</v>
      </c>
      <c r="I110" s="160">
        <f t="shared" si="4"/>
        <v>1.6747823999999998</v>
      </c>
      <c r="J110" s="160">
        <f t="shared" si="5"/>
        <v>12.839998399999999</v>
      </c>
      <c r="K110" s="298"/>
    </row>
    <row r="111" spans="1:11" x14ac:dyDescent="0.25">
      <c r="A111" s="280"/>
      <c r="B111" s="293"/>
      <c r="C111" s="144">
        <v>2</v>
      </c>
      <c r="D111" s="144">
        <v>2</v>
      </c>
      <c r="E111" s="40" t="s">
        <v>289</v>
      </c>
      <c r="F111" s="145"/>
      <c r="G111" s="9">
        <v>1.686957</v>
      </c>
      <c r="H111" s="8">
        <f t="shared" si="8"/>
        <v>3.3739140000000001</v>
      </c>
      <c r="I111" s="160">
        <f t="shared" si="4"/>
        <v>0.50608710000000001</v>
      </c>
      <c r="J111" s="160">
        <f t="shared" si="5"/>
        <v>3.8800011000000003</v>
      </c>
      <c r="K111" s="298"/>
    </row>
    <row r="112" spans="1:11" x14ac:dyDescent="0.25">
      <c r="A112" s="280"/>
      <c r="B112" s="293"/>
      <c r="C112" s="144">
        <v>1</v>
      </c>
      <c r="D112" s="144">
        <v>1</v>
      </c>
      <c r="E112" s="40" t="s">
        <v>290</v>
      </c>
      <c r="F112" s="145"/>
      <c r="G112" s="9">
        <v>5.4260869999999999</v>
      </c>
      <c r="H112" s="8">
        <f t="shared" si="8"/>
        <v>5.4260869999999999</v>
      </c>
      <c r="I112" s="160">
        <f t="shared" si="4"/>
        <v>0.81391304999999992</v>
      </c>
      <c r="J112" s="160">
        <f t="shared" si="5"/>
        <v>6.2400000499999999</v>
      </c>
      <c r="K112" s="298"/>
    </row>
    <row r="113" spans="1:11" x14ac:dyDescent="0.25">
      <c r="A113" s="280"/>
      <c r="B113" s="293"/>
      <c r="C113" s="144">
        <v>1</v>
      </c>
      <c r="D113" s="144">
        <v>1</v>
      </c>
      <c r="E113" s="40" t="s">
        <v>291</v>
      </c>
      <c r="F113" s="145"/>
      <c r="G113" s="9">
        <v>10.286956999999999</v>
      </c>
      <c r="H113" s="8">
        <f t="shared" si="8"/>
        <v>10.286956999999999</v>
      </c>
      <c r="I113" s="160">
        <f t="shared" si="4"/>
        <v>1.5430435499999999</v>
      </c>
      <c r="J113" s="160">
        <f t="shared" si="5"/>
        <v>11.830000549999999</v>
      </c>
      <c r="K113" s="298"/>
    </row>
    <row r="114" spans="1:11" x14ac:dyDescent="0.25">
      <c r="A114" s="178">
        <v>45967</v>
      </c>
      <c r="B114" s="131" t="s">
        <v>293</v>
      </c>
      <c r="C114" s="148">
        <v>4</v>
      </c>
      <c r="D114" s="148">
        <v>4</v>
      </c>
      <c r="E114" s="133" t="s">
        <v>292</v>
      </c>
      <c r="F114" s="20"/>
      <c r="G114" s="149">
        <v>1.88087</v>
      </c>
      <c r="H114" s="149">
        <f t="shared" si="8"/>
        <v>7.5234800000000002</v>
      </c>
      <c r="I114" s="38">
        <f t="shared" si="4"/>
        <v>1.128522</v>
      </c>
      <c r="J114" s="38">
        <f t="shared" si="5"/>
        <v>8.6520019999999995</v>
      </c>
      <c r="K114" s="167">
        <f t="shared" si="6"/>
        <v>8.6520019999999995</v>
      </c>
    </row>
    <row r="115" spans="1:11" x14ac:dyDescent="0.25">
      <c r="A115" s="178">
        <v>45969</v>
      </c>
      <c r="B115" s="131" t="s">
        <v>294</v>
      </c>
      <c r="C115" s="148">
        <v>1</v>
      </c>
      <c r="D115" s="148">
        <v>1</v>
      </c>
      <c r="E115" s="133" t="s">
        <v>161</v>
      </c>
      <c r="F115" s="20"/>
      <c r="G115" s="149">
        <v>26.07</v>
      </c>
      <c r="H115" s="149">
        <f t="shared" si="8"/>
        <v>26.07</v>
      </c>
      <c r="I115" s="38">
        <f t="shared" si="4"/>
        <v>3.9104999999999999</v>
      </c>
      <c r="J115" s="38">
        <f t="shared" si="5"/>
        <v>29.980499999999999</v>
      </c>
      <c r="K115" s="167">
        <f t="shared" si="6"/>
        <v>29.980499999999999</v>
      </c>
    </row>
    <row r="116" spans="1:11" x14ac:dyDescent="0.25">
      <c r="A116" s="178">
        <v>45969</v>
      </c>
      <c r="B116" s="131" t="s">
        <v>295</v>
      </c>
      <c r="C116" s="148">
        <v>1</v>
      </c>
      <c r="D116" s="148">
        <v>1</v>
      </c>
      <c r="E116" s="133" t="s">
        <v>296</v>
      </c>
      <c r="F116" s="20"/>
      <c r="G116" s="149">
        <v>50</v>
      </c>
      <c r="H116" s="149">
        <f t="shared" si="8"/>
        <v>50</v>
      </c>
      <c r="I116" s="38">
        <f t="shared" si="4"/>
        <v>7.5</v>
      </c>
      <c r="J116" s="38">
        <f t="shared" si="5"/>
        <v>57.5</v>
      </c>
      <c r="K116" s="167">
        <f t="shared" si="6"/>
        <v>57.5</v>
      </c>
    </row>
    <row r="117" spans="1:11" x14ac:dyDescent="0.25">
      <c r="A117" s="178">
        <v>45971</v>
      </c>
      <c r="B117" s="131" t="s">
        <v>297</v>
      </c>
      <c r="C117" s="148">
        <v>1</v>
      </c>
      <c r="D117" s="148">
        <v>1</v>
      </c>
      <c r="E117" s="133" t="s">
        <v>298</v>
      </c>
      <c r="F117" s="20"/>
      <c r="G117" s="149">
        <v>18.97</v>
      </c>
      <c r="H117" s="149">
        <f t="shared" si="8"/>
        <v>18.97</v>
      </c>
      <c r="I117" s="38">
        <f t="shared" si="4"/>
        <v>2.8454999999999999</v>
      </c>
      <c r="J117" s="38">
        <f t="shared" si="5"/>
        <v>21.8155</v>
      </c>
      <c r="K117" s="167">
        <f t="shared" si="6"/>
        <v>21.8155</v>
      </c>
    </row>
    <row r="118" spans="1:11" x14ac:dyDescent="0.25">
      <c r="A118" s="178">
        <v>45972</v>
      </c>
      <c r="B118" s="131" t="s">
        <v>299</v>
      </c>
      <c r="C118" s="148">
        <v>1</v>
      </c>
      <c r="D118" s="148">
        <v>1</v>
      </c>
      <c r="E118" s="133" t="s">
        <v>300</v>
      </c>
      <c r="F118" s="20"/>
      <c r="G118" s="149">
        <v>945</v>
      </c>
      <c r="H118" s="149">
        <f t="shared" si="8"/>
        <v>945</v>
      </c>
      <c r="I118" s="38">
        <f t="shared" si="4"/>
        <v>141.75</v>
      </c>
      <c r="J118" s="38">
        <f t="shared" si="5"/>
        <v>1086.75</v>
      </c>
      <c r="K118" s="167">
        <f t="shared" si="6"/>
        <v>1086.75</v>
      </c>
    </row>
    <row r="119" spans="1:11" x14ac:dyDescent="0.25">
      <c r="A119" s="178">
        <v>45976</v>
      </c>
      <c r="B119" s="131" t="s">
        <v>301</v>
      </c>
      <c r="C119" s="148">
        <v>1</v>
      </c>
      <c r="D119" s="148">
        <v>1</v>
      </c>
      <c r="E119" s="133" t="s">
        <v>302</v>
      </c>
      <c r="F119" s="20"/>
      <c r="G119" s="149">
        <v>7.83</v>
      </c>
      <c r="H119" s="149">
        <f t="shared" si="8"/>
        <v>7.83</v>
      </c>
      <c r="I119" s="38">
        <f t="shared" si="4"/>
        <v>1.1744999999999999</v>
      </c>
      <c r="J119" s="38">
        <f t="shared" si="5"/>
        <v>9.0045000000000002</v>
      </c>
      <c r="K119" s="167">
        <f t="shared" si="6"/>
        <v>9.0045000000000002</v>
      </c>
    </row>
    <row r="120" spans="1:11" x14ac:dyDescent="0.25">
      <c r="A120" s="178">
        <v>45976</v>
      </c>
      <c r="B120" s="131" t="s">
        <v>303</v>
      </c>
      <c r="C120" s="148">
        <v>1</v>
      </c>
      <c r="D120" s="148">
        <v>1</v>
      </c>
      <c r="E120" s="133" t="s">
        <v>161</v>
      </c>
      <c r="F120" s="20"/>
      <c r="G120" s="149">
        <v>39.22</v>
      </c>
      <c r="H120" s="149">
        <f t="shared" si="8"/>
        <v>39.22</v>
      </c>
      <c r="I120" s="38">
        <f t="shared" si="4"/>
        <v>5.883</v>
      </c>
      <c r="J120" s="38">
        <f t="shared" si="5"/>
        <v>45.103000000000002</v>
      </c>
      <c r="K120" s="167">
        <f t="shared" si="6"/>
        <v>45.103000000000002</v>
      </c>
    </row>
    <row r="121" spans="1:11" x14ac:dyDescent="0.25">
      <c r="A121" s="296">
        <v>45976</v>
      </c>
      <c r="B121" s="295" t="s">
        <v>304</v>
      </c>
      <c r="C121" s="148">
        <v>12</v>
      </c>
      <c r="D121" s="148">
        <v>12</v>
      </c>
      <c r="E121" s="133" t="s">
        <v>305</v>
      </c>
      <c r="F121" s="20"/>
      <c r="G121" s="149">
        <v>1.52</v>
      </c>
      <c r="H121" s="149">
        <f t="shared" si="8"/>
        <v>18.240000000000002</v>
      </c>
      <c r="I121" s="38">
        <f t="shared" si="4"/>
        <v>2.7360000000000002</v>
      </c>
      <c r="J121" s="38">
        <f t="shared" si="5"/>
        <v>20.976000000000003</v>
      </c>
      <c r="K121" s="167">
        <f t="shared" si="6"/>
        <v>20.976000000000003</v>
      </c>
    </row>
    <row r="122" spans="1:11" x14ac:dyDescent="0.25">
      <c r="A122" s="296"/>
      <c r="B122" s="295"/>
      <c r="C122" s="148">
        <v>6</v>
      </c>
      <c r="D122" s="148">
        <v>6</v>
      </c>
      <c r="E122" s="133" t="s">
        <v>306</v>
      </c>
      <c r="F122" s="20"/>
      <c r="G122" s="149">
        <v>3.4782000000000002</v>
      </c>
      <c r="H122" s="149">
        <f t="shared" si="8"/>
        <v>20.869199999999999</v>
      </c>
      <c r="I122" s="38">
        <f t="shared" si="4"/>
        <v>3.1303799999999997</v>
      </c>
      <c r="J122" s="38">
        <f t="shared" si="5"/>
        <v>23.999579999999998</v>
      </c>
      <c r="K122" s="167">
        <f t="shared" si="6"/>
        <v>23.999579999999998</v>
      </c>
    </row>
    <row r="123" spans="1:11" x14ac:dyDescent="0.25">
      <c r="A123" s="178">
        <v>45977</v>
      </c>
      <c r="B123" s="131" t="s">
        <v>307</v>
      </c>
      <c r="C123" s="148">
        <v>1</v>
      </c>
      <c r="D123" s="148">
        <v>1</v>
      </c>
      <c r="E123" s="133" t="s">
        <v>308</v>
      </c>
      <c r="F123" s="20"/>
      <c r="G123" s="149">
        <v>150.11000000000001</v>
      </c>
      <c r="H123" s="149">
        <f t="shared" si="8"/>
        <v>150.11000000000001</v>
      </c>
      <c r="I123" s="38">
        <f t="shared" si="4"/>
        <v>22.516500000000001</v>
      </c>
      <c r="J123" s="38">
        <f t="shared" si="5"/>
        <v>172.62650000000002</v>
      </c>
      <c r="K123" s="167">
        <f t="shared" si="6"/>
        <v>172.62650000000002</v>
      </c>
    </row>
    <row r="124" spans="1:11" x14ac:dyDescent="0.25">
      <c r="A124" s="178">
        <v>45983</v>
      </c>
      <c r="B124" s="131" t="s">
        <v>309</v>
      </c>
      <c r="C124" s="148">
        <v>2</v>
      </c>
      <c r="D124" s="148">
        <v>2</v>
      </c>
      <c r="E124" s="148" t="s">
        <v>310</v>
      </c>
      <c r="F124" s="20"/>
      <c r="G124" s="149">
        <v>7.5652200000000001</v>
      </c>
      <c r="H124" s="149">
        <f t="shared" si="8"/>
        <v>15.13044</v>
      </c>
      <c r="I124" s="38">
        <f t="shared" si="4"/>
        <v>2.2695659999999998</v>
      </c>
      <c r="J124" s="38">
        <f t="shared" si="5"/>
        <v>17.400006000000001</v>
      </c>
      <c r="K124" s="167">
        <f t="shared" si="6"/>
        <v>17.400006000000001</v>
      </c>
    </row>
    <row r="125" spans="1:11" x14ac:dyDescent="0.25">
      <c r="A125" s="178">
        <v>45983</v>
      </c>
      <c r="B125" s="131" t="s">
        <v>311</v>
      </c>
      <c r="C125" s="148">
        <v>1</v>
      </c>
      <c r="D125" s="148">
        <v>1</v>
      </c>
      <c r="E125" s="133" t="s">
        <v>312</v>
      </c>
      <c r="F125" s="20"/>
      <c r="G125" s="149">
        <v>6.0869</v>
      </c>
      <c r="H125" s="149">
        <f t="shared" si="8"/>
        <v>6.0869</v>
      </c>
      <c r="I125" s="38">
        <f t="shared" si="4"/>
        <v>0.91303499999999993</v>
      </c>
      <c r="J125" s="38">
        <f t="shared" si="5"/>
        <v>6.9999349999999998</v>
      </c>
      <c r="K125" s="167">
        <f t="shared" si="6"/>
        <v>6.9999349999999998</v>
      </c>
    </row>
    <row r="126" spans="1:11" ht="16.5" thickBot="1" x14ac:dyDescent="0.3">
      <c r="A126" s="187">
        <v>45985</v>
      </c>
      <c r="B126" s="132" t="s">
        <v>313</v>
      </c>
      <c r="C126" s="151">
        <v>1</v>
      </c>
      <c r="D126" s="151">
        <v>1</v>
      </c>
      <c r="E126" s="134" t="s">
        <v>161</v>
      </c>
      <c r="F126" s="152"/>
      <c r="G126" s="153">
        <v>14.64</v>
      </c>
      <c r="H126" s="153">
        <f t="shared" si="8"/>
        <v>14.64</v>
      </c>
      <c r="I126" s="154">
        <f t="shared" si="4"/>
        <v>2.1960000000000002</v>
      </c>
      <c r="J126" s="154">
        <f t="shared" si="5"/>
        <v>16.836000000000002</v>
      </c>
      <c r="K126" s="168">
        <f t="shared" si="6"/>
        <v>16.836000000000002</v>
      </c>
    </row>
    <row r="127" spans="1:11" x14ac:dyDescent="0.25">
      <c r="A127" s="279">
        <v>45990</v>
      </c>
      <c r="B127" s="292" t="s">
        <v>314</v>
      </c>
      <c r="C127" s="155">
        <v>1</v>
      </c>
      <c r="D127" s="155">
        <v>1</v>
      </c>
      <c r="E127" s="57" t="s">
        <v>315</v>
      </c>
      <c r="F127" s="156"/>
      <c r="G127" s="157">
        <v>12.38</v>
      </c>
      <c r="H127" s="158">
        <f t="shared" si="8"/>
        <v>12.38</v>
      </c>
      <c r="I127" s="159">
        <f t="shared" si="4"/>
        <v>1.857</v>
      </c>
      <c r="J127" s="159">
        <f t="shared" si="5"/>
        <v>14.237</v>
      </c>
      <c r="K127" s="297">
        <f>SUM(J127:J128)</f>
        <v>23.724499999999999</v>
      </c>
    </row>
    <row r="128" spans="1:11" x14ac:dyDescent="0.25">
      <c r="A128" s="280"/>
      <c r="B128" s="293"/>
      <c r="C128" s="144">
        <v>1</v>
      </c>
      <c r="D128" s="144">
        <v>1</v>
      </c>
      <c r="E128" s="40" t="s">
        <v>316</v>
      </c>
      <c r="F128" s="145"/>
      <c r="G128" s="9">
        <v>8.25</v>
      </c>
      <c r="H128" s="8">
        <f t="shared" si="8"/>
        <v>8.25</v>
      </c>
      <c r="I128" s="160">
        <f t="shared" si="4"/>
        <v>1.2375</v>
      </c>
      <c r="J128" s="160">
        <f t="shared" si="5"/>
        <v>9.4875000000000007</v>
      </c>
      <c r="K128" s="298"/>
    </row>
    <row r="129" spans="1:11" ht="16.5" thickBot="1" x14ac:dyDescent="0.3">
      <c r="A129" s="187">
        <v>45990</v>
      </c>
      <c r="B129" s="132" t="s">
        <v>317</v>
      </c>
      <c r="C129" s="151">
        <v>1</v>
      </c>
      <c r="D129" s="151">
        <v>1</v>
      </c>
      <c r="E129" s="134" t="s">
        <v>318</v>
      </c>
      <c r="F129" s="152"/>
      <c r="G129" s="153">
        <v>30.78</v>
      </c>
      <c r="H129" s="153">
        <f t="shared" si="8"/>
        <v>30.78</v>
      </c>
      <c r="I129" s="154">
        <f t="shared" si="4"/>
        <v>4.617</v>
      </c>
      <c r="J129" s="192">
        <f t="shared" si="5"/>
        <v>35.396999999999998</v>
      </c>
      <c r="K129" s="168">
        <f t="shared" si="6"/>
        <v>35.396999999999998</v>
      </c>
    </row>
    <row r="130" spans="1:11" x14ac:dyDescent="0.25">
      <c r="A130" s="190">
        <v>45990</v>
      </c>
      <c r="B130" s="292" t="s">
        <v>319</v>
      </c>
      <c r="C130" s="155">
        <v>1</v>
      </c>
      <c r="D130" s="155">
        <v>1</v>
      </c>
      <c r="E130" s="57" t="s">
        <v>320</v>
      </c>
      <c r="F130" s="156"/>
      <c r="G130" s="157">
        <v>4.93</v>
      </c>
      <c r="H130" s="158">
        <f t="shared" si="8"/>
        <v>4.93</v>
      </c>
      <c r="I130" s="159">
        <f t="shared" si="4"/>
        <v>0.73949999999999994</v>
      </c>
      <c r="J130" s="159">
        <f t="shared" si="5"/>
        <v>5.6694999999999993</v>
      </c>
      <c r="K130" s="297">
        <f>SUM(J130:J131)</f>
        <v>9.4529999999999994</v>
      </c>
    </row>
    <row r="131" spans="1:11" ht="16.5" thickBot="1" x14ac:dyDescent="0.3">
      <c r="A131" s="191"/>
      <c r="B131" s="294"/>
      <c r="C131" s="161">
        <v>1</v>
      </c>
      <c r="D131" s="161">
        <v>1</v>
      </c>
      <c r="E131" s="60" t="s">
        <v>321</v>
      </c>
      <c r="F131" s="162"/>
      <c r="G131" s="163">
        <v>3.29</v>
      </c>
      <c r="H131" s="164">
        <f t="shared" si="8"/>
        <v>3.29</v>
      </c>
      <c r="I131" s="165">
        <f t="shared" si="4"/>
        <v>0.49349999999999999</v>
      </c>
      <c r="J131" s="165">
        <f t="shared" si="5"/>
        <v>3.7835000000000001</v>
      </c>
      <c r="K131" s="299"/>
    </row>
    <row r="132" spans="1:11" x14ac:dyDescent="0.25">
      <c r="A132" s="279">
        <v>45990</v>
      </c>
      <c r="B132" s="292" t="s">
        <v>322</v>
      </c>
      <c r="C132" s="155">
        <v>1</v>
      </c>
      <c r="D132" s="155">
        <v>1</v>
      </c>
      <c r="E132" s="57" t="s">
        <v>323</v>
      </c>
      <c r="F132" s="156"/>
      <c r="G132" s="157">
        <v>2.5099999999999998</v>
      </c>
      <c r="H132" s="158">
        <f t="shared" si="8"/>
        <v>2.5099999999999998</v>
      </c>
      <c r="I132" s="159">
        <f t="shared" si="4"/>
        <v>0.37649999999999995</v>
      </c>
      <c r="J132" s="159">
        <f t="shared" si="5"/>
        <v>2.8864999999999998</v>
      </c>
      <c r="K132" s="297">
        <f>SUM(J132:J134)</f>
        <v>9.7520000000000007</v>
      </c>
    </row>
    <row r="133" spans="1:11" x14ac:dyDescent="0.25">
      <c r="A133" s="280"/>
      <c r="B133" s="293"/>
      <c r="C133" s="144">
        <v>1</v>
      </c>
      <c r="D133" s="144">
        <v>1</v>
      </c>
      <c r="E133" s="40" t="s">
        <v>324</v>
      </c>
      <c r="F133" s="145"/>
      <c r="G133" s="9">
        <v>0.76</v>
      </c>
      <c r="H133" s="8">
        <f t="shared" si="8"/>
        <v>0.76</v>
      </c>
      <c r="I133" s="160">
        <f t="shared" si="4"/>
        <v>0.11399999999999999</v>
      </c>
      <c r="J133" s="160">
        <f t="shared" si="5"/>
        <v>0.874</v>
      </c>
      <c r="K133" s="298"/>
    </row>
    <row r="134" spans="1:11" x14ac:dyDescent="0.25">
      <c r="A134" s="280"/>
      <c r="B134" s="293"/>
      <c r="C134" s="144">
        <v>1</v>
      </c>
      <c r="D134" s="144">
        <v>1</v>
      </c>
      <c r="E134" s="40" t="s">
        <v>325</v>
      </c>
      <c r="F134" s="145"/>
      <c r="G134" s="9">
        <v>5.21</v>
      </c>
      <c r="H134" s="8">
        <f t="shared" si="8"/>
        <v>5.21</v>
      </c>
      <c r="I134" s="160">
        <f t="shared" si="4"/>
        <v>0.78149999999999997</v>
      </c>
      <c r="J134" s="160">
        <f t="shared" si="5"/>
        <v>5.9915000000000003</v>
      </c>
      <c r="K134" s="298"/>
    </row>
    <row r="135" spans="1:11" ht="16.5" thickBot="1" x14ac:dyDescent="0.3">
      <c r="A135" s="187">
        <v>45993</v>
      </c>
      <c r="B135" s="132" t="s">
        <v>326</v>
      </c>
      <c r="C135" s="151">
        <v>1</v>
      </c>
      <c r="D135" s="151">
        <v>1</v>
      </c>
      <c r="E135" s="134" t="s">
        <v>327</v>
      </c>
      <c r="F135" s="152"/>
      <c r="G135" s="153">
        <v>210</v>
      </c>
      <c r="H135" s="153">
        <f t="shared" si="8"/>
        <v>210</v>
      </c>
      <c r="I135" s="154">
        <f t="shared" si="4"/>
        <v>31.5</v>
      </c>
      <c r="J135" s="154">
        <f t="shared" si="5"/>
        <v>241.5</v>
      </c>
      <c r="K135" s="168">
        <f t="shared" si="6"/>
        <v>241.5</v>
      </c>
    </row>
    <row r="136" spans="1:11" x14ac:dyDescent="0.25">
      <c r="A136" s="279">
        <v>42347</v>
      </c>
      <c r="B136" s="292" t="s">
        <v>328</v>
      </c>
      <c r="C136" s="155">
        <v>3</v>
      </c>
      <c r="D136" s="155">
        <v>3</v>
      </c>
      <c r="E136" s="57" t="s">
        <v>329</v>
      </c>
      <c r="F136" s="156"/>
      <c r="G136" s="157">
        <v>5.2087000000000003</v>
      </c>
      <c r="H136" s="158">
        <f t="shared" si="8"/>
        <v>15.626100000000001</v>
      </c>
      <c r="I136" s="159">
        <f t="shared" ref="I136:I195" si="9">H136*0.15</f>
        <v>2.343915</v>
      </c>
      <c r="J136" s="159">
        <f t="shared" ref="J136:J195" si="10">H136+I136</f>
        <v>17.970015</v>
      </c>
      <c r="K136" s="297">
        <f>SUM(J136:J138)</f>
        <v>49.179864999999999</v>
      </c>
    </row>
    <row r="137" spans="1:11" x14ac:dyDescent="0.25">
      <c r="A137" s="280"/>
      <c r="B137" s="293"/>
      <c r="C137" s="144">
        <v>2</v>
      </c>
      <c r="D137" s="144">
        <v>2</v>
      </c>
      <c r="E137" s="40" t="s">
        <v>86</v>
      </c>
      <c r="F137" s="145"/>
      <c r="G137" s="9">
        <v>2.7042999999999999</v>
      </c>
      <c r="H137" s="8">
        <f t="shared" si="8"/>
        <v>5.4085999999999999</v>
      </c>
      <c r="I137" s="160">
        <f t="shared" si="9"/>
        <v>0.81128999999999996</v>
      </c>
      <c r="J137" s="160">
        <f t="shared" si="10"/>
        <v>6.2198899999999995</v>
      </c>
      <c r="K137" s="298"/>
    </row>
    <row r="138" spans="1:11" x14ac:dyDescent="0.25">
      <c r="A138" s="280"/>
      <c r="B138" s="293"/>
      <c r="C138" s="144">
        <v>1</v>
      </c>
      <c r="D138" s="144">
        <v>1</v>
      </c>
      <c r="E138" s="40" t="s">
        <v>330</v>
      </c>
      <c r="F138" s="145"/>
      <c r="G138" s="9">
        <v>21.730399999999999</v>
      </c>
      <c r="H138" s="8">
        <f t="shared" si="8"/>
        <v>21.730399999999999</v>
      </c>
      <c r="I138" s="160">
        <f t="shared" si="9"/>
        <v>3.25956</v>
      </c>
      <c r="J138" s="160">
        <f t="shared" si="10"/>
        <v>24.98996</v>
      </c>
      <c r="K138" s="298"/>
    </row>
    <row r="139" spans="1:11" x14ac:dyDescent="0.25">
      <c r="A139" s="178">
        <v>46003</v>
      </c>
      <c r="B139" s="131" t="s">
        <v>331</v>
      </c>
      <c r="C139" s="148">
        <v>1</v>
      </c>
      <c r="D139" s="148">
        <v>1</v>
      </c>
      <c r="E139" s="133" t="s">
        <v>332</v>
      </c>
      <c r="F139" s="20"/>
      <c r="G139" s="149">
        <v>60.87</v>
      </c>
      <c r="H139" s="149">
        <f t="shared" si="8"/>
        <v>60.87</v>
      </c>
      <c r="I139" s="38">
        <f t="shared" si="9"/>
        <v>9.1304999999999996</v>
      </c>
      <c r="J139" s="38">
        <f t="shared" si="10"/>
        <v>70.000500000000002</v>
      </c>
      <c r="K139" s="167">
        <f t="shared" ref="K139:K190" si="11">J139</f>
        <v>70.000500000000002</v>
      </c>
    </row>
    <row r="140" spans="1:11" ht="16.5" thickBot="1" x14ac:dyDescent="0.3">
      <c r="A140" s="187">
        <v>374725</v>
      </c>
      <c r="B140" s="117" t="s">
        <v>66</v>
      </c>
      <c r="C140" s="151">
        <v>4</v>
      </c>
      <c r="D140" s="151">
        <v>4</v>
      </c>
      <c r="E140" s="119" t="s">
        <v>67</v>
      </c>
      <c r="F140" s="152" t="s">
        <v>128</v>
      </c>
      <c r="G140" s="153">
        <v>5.9</v>
      </c>
      <c r="H140" s="153">
        <f>G140*C140</f>
        <v>23.6</v>
      </c>
      <c r="I140" s="154">
        <f t="shared" si="9"/>
        <v>3.54</v>
      </c>
      <c r="J140" s="154">
        <f t="shared" si="10"/>
        <v>27.14</v>
      </c>
      <c r="K140" s="168">
        <f t="shared" si="11"/>
        <v>27.14</v>
      </c>
    </row>
    <row r="141" spans="1:11" x14ac:dyDescent="0.25">
      <c r="A141" s="279">
        <v>374727</v>
      </c>
      <c r="B141" s="237" t="s">
        <v>68</v>
      </c>
      <c r="C141" s="155">
        <v>1</v>
      </c>
      <c r="D141" s="155">
        <v>1</v>
      </c>
      <c r="E141" s="87" t="s">
        <v>69</v>
      </c>
      <c r="F141" s="156" t="s">
        <v>128</v>
      </c>
      <c r="G141" s="157">
        <v>0.52170000000000005</v>
      </c>
      <c r="H141" s="158">
        <f t="shared" ref="H141:H183" si="12">G141*C141</f>
        <v>0.52170000000000005</v>
      </c>
      <c r="I141" s="159">
        <f t="shared" si="9"/>
        <v>7.8255000000000005E-2</v>
      </c>
      <c r="J141" s="159">
        <f t="shared" si="10"/>
        <v>0.59995500000000002</v>
      </c>
      <c r="K141" s="297">
        <f>SUM(J141:J143)</f>
        <v>24.599995</v>
      </c>
    </row>
    <row r="142" spans="1:11" x14ac:dyDescent="0.25">
      <c r="A142" s="280"/>
      <c r="B142" s="241"/>
      <c r="C142" s="144">
        <v>3</v>
      </c>
      <c r="D142" s="144">
        <v>3</v>
      </c>
      <c r="E142" s="54" t="s">
        <v>63</v>
      </c>
      <c r="F142" s="145" t="s">
        <v>35</v>
      </c>
      <c r="G142" s="9">
        <v>2.7826</v>
      </c>
      <c r="H142" s="8">
        <f t="shared" si="12"/>
        <v>8.3477999999999994</v>
      </c>
      <c r="I142" s="160">
        <f t="shared" si="9"/>
        <v>1.2521699999999998</v>
      </c>
      <c r="J142" s="160">
        <f t="shared" si="10"/>
        <v>9.599969999999999</v>
      </c>
      <c r="K142" s="298"/>
    </row>
    <row r="143" spans="1:11" x14ac:dyDescent="0.25">
      <c r="A143" s="280"/>
      <c r="B143" s="241"/>
      <c r="C143" s="144">
        <v>2</v>
      </c>
      <c r="D143" s="144">
        <v>2</v>
      </c>
      <c r="E143" s="54" t="s">
        <v>70</v>
      </c>
      <c r="F143" s="145" t="s">
        <v>129</v>
      </c>
      <c r="G143" s="9">
        <v>6.2609000000000004</v>
      </c>
      <c r="H143" s="8">
        <f t="shared" si="12"/>
        <v>12.521800000000001</v>
      </c>
      <c r="I143" s="160">
        <f t="shared" si="9"/>
        <v>1.8782700000000001</v>
      </c>
      <c r="J143" s="160">
        <f t="shared" si="10"/>
        <v>14.400070000000001</v>
      </c>
      <c r="K143" s="298"/>
    </row>
    <row r="144" spans="1:11" ht="16.5" thickBot="1" x14ac:dyDescent="0.3">
      <c r="A144" s="187">
        <v>46013</v>
      </c>
      <c r="B144" s="117" t="s">
        <v>71</v>
      </c>
      <c r="C144" s="151">
        <v>1</v>
      </c>
      <c r="D144" s="151">
        <v>1</v>
      </c>
      <c r="E144" s="152" t="s">
        <v>72</v>
      </c>
      <c r="F144" s="152" t="s">
        <v>128</v>
      </c>
      <c r="G144" s="153">
        <v>191.8</v>
      </c>
      <c r="H144" s="153">
        <f t="shared" si="12"/>
        <v>191.8</v>
      </c>
      <c r="I144" s="154">
        <f t="shared" si="9"/>
        <v>28.77</v>
      </c>
      <c r="J144" s="154">
        <f t="shared" si="10"/>
        <v>220.57000000000002</v>
      </c>
      <c r="K144" s="168">
        <f t="shared" si="11"/>
        <v>220.57000000000002</v>
      </c>
    </row>
    <row r="145" spans="1:11" x14ac:dyDescent="0.25">
      <c r="A145" s="282">
        <v>46021</v>
      </c>
      <c r="B145" s="237" t="s">
        <v>73</v>
      </c>
      <c r="C145" s="155">
        <v>1</v>
      </c>
      <c r="D145" s="155">
        <v>1</v>
      </c>
      <c r="E145" s="87" t="s">
        <v>74</v>
      </c>
      <c r="F145" s="156" t="s">
        <v>129</v>
      </c>
      <c r="G145" s="157">
        <v>1.3913</v>
      </c>
      <c r="H145" s="158">
        <f t="shared" si="12"/>
        <v>1.3913</v>
      </c>
      <c r="I145" s="159">
        <f t="shared" si="9"/>
        <v>0.20869499999999999</v>
      </c>
      <c r="J145" s="159">
        <f t="shared" si="10"/>
        <v>1.5999950000000001</v>
      </c>
      <c r="K145" s="297">
        <f>SUM(J145:J151)</f>
        <v>28.300235000000001</v>
      </c>
    </row>
    <row r="146" spans="1:11" x14ac:dyDescent="0.25">
      <c r="A146" s="283"/>
      <c r="B146" s="241"/>
      <c r="C146" s="144">
        <v>3</v>
      </c>
      <c r="D146" s="144">
        <v>3</v>
      </c>
      <c r="E146" s="54" t="s">
        <v>130</v>
      </c>
      <c r="F146" s="145" t="s">
        <v>129</v>
      </c>
      <c r="G146" s="9">
        <v>0.82609999999999995</v>
      </c>
      <c r="H146" s="8">
        <f t="shared" si="12"/>
        <v>2.4782999999999999</v>
      </c>
      <c r="I146" s="160">
        <f t="shared" si="9"/>
        <v>0.37174499999999999</v>
      </c>
      <c r="J146" s="160">
        <f t="shared" si="10"/>
        <v>2.8500449999999997</v>
      </c>
      <c r="K146" s="298"/>
    </row>
    <row r="147" spans="1:11" x14ac:dyDescent="0.25">
      <c r="A147" s="283"/>
      <c r="B147" s="241"/>
      <c r="C147" s="144">
        <v>3</v>
      </c>
      <c r="D147" s="144">
        <v>3</v>
      </c>
      <c r="E147" s="54" t="s">
        <v>75</v>
      </c>
      <c r="F147" s="145" t="s">
        <v>129</v>
      </c>
      <c r="G147" s="9">
        <v>1.0435000000000001</v>
      </c>
      <c r="H147" s="8">
        <f t="shared" si="12"/>
        <v>3.1305000000000005</v>
      </c>
      <c r="I147" s="160">
        <f t="shared" si="9"/>
        <v>0.46957500000000008</v>
      </c>
      <c r="J147" s="160">
        <f t="shared" si="10"/>
        <v>3.6000750000000004</v>
      </c>
      <c r="K147" s="298"/>
    </row>
    <row r="148" spans="1:11" x14ac:dyDescent="0.25">
      <c r="A148" s="283"/>
      <c r="B148" s="241"/>
      <c r="C148" s="144">
        <v>3</v>
      </c>
      <c r="D148" s="144">
        <v>3</v>
      </c>
      <c r="E148" s="54" t="s">
        <v>45</v>
      </c>
      <c r="F148" s="145" t="s">
        <v>35</v>
      </c>
      <c r="G148" s="9">
        <v>0.26090000000000002</v>
      </c>
      <c r="H148" s="8">
        <f t="shared" si="12"/>
        <v>0.78270000000000006</v>
      </c>
      <c r="I148" s="160">
        <f t="shared" si="9"/>
        <v>0.11740500000000001</v>
      </c>
      <c r="J148" s="160">
        <f t="shared" si="10"/>
        <v>0.90010500000000004</v>
      </c>
      <c r="K148" s="298"/>
    </row>
    <row r="149" spans="1:11" x14ac:dyDescent="0.25">
      <c r="A149" s="283"/>
      <c r="B149" s="241"/>
      <c r="C149" s="144">
        <v>3</v>
      </c>
      <c r="D149" s="144">
        <v>3</v>
      </c>
      <c r="E149" s="54" t="s">
        <v>32</v>
      </c>
      <c r="F149" s="145" t="s">
        <v>35</v>
      </c>
      <c r="G149" s="9">
        <v>1.4348000000000001</v>
      </c>
      <c r="H149" s="8">
        <f t="shared" si="12"/>
        <v>4.3044000000000002</v>
      </c>
      <c r="I149" s="160">
        <f t="shared" si="9"/>
        <v>0.64566000000000001</v>
      </c>
      <c r="J149" s="160">
        <f t="shared" si="10"/>
        <v>4.9500600000000006</v>
      </c>
      <c r="K149" s="298"/>
    </row>
    <row r="150" spans="1:11" x14ac:dyDescent="0.25">
      <c r="A150" s="283"/>
      <c r="B150" s="241"/>
      <c r="C150" s="144">
        <v>3</v>
      </c>
      <c r="D150" s="144">
        <v>3</v>
      </c>
      <c r="E150" s="54" t="s">
        <v>76</v>
      </c>
      <c r="F150" s="145" t="s">
        <v>35</v>
      </c>
      <c r="G150" s="9">
        <v>3.2174</v>
      </c>
      <c r="H150" s="8">
        <f t="shared" si="12"/>
        <v>9.6522000000000006</v>
      </c>
      <c r="I150" s="160">
        <f t="shared" si="9"/>
        <v>1.44783</v>
      </c>
      <c r="J150" s="160">
        <f t="shared" si="10"/>
        <v>11.10003</v>
      </c>
      <c r="K150" s="298"/>
    </row>
    <row r="151" spans="1:11" ht="16.5" thickBot="1" x14ac:dyDescent="0.3">
      <c r="A151" s="291"/>
      <c r="B151" s="238"/>
      <c r="C151" s="161">
        <v>3</v>
      </c>
      <c r="D151" s="161">
        <v>3</v>
      </c>
      <c r="E151" s="91" t="s">
        <v>45</v>
      </c>
      <c r="F151" s="162" t="s">
        <v>35</v>
      </c>
      <c r="G151" s="163">
        <v>0.95650000000000002</v>
      </c>
      <c r="H151" s="164">
        <f t="shared" si="12"/>
        <v>2.8694999999999999</v>
      </c>
      <c r="I151" s="165">
        <f t="shared" si="9"/>
        <v>0.430425</v>
      </c>
      <c r="J151" s="165">
        <f t="shared" si="10"/>
        <v>3.299925</v>
      </c>
      <c r="K151" s="299"/>
    </row>
    <row r="152" spans="1:11" x14ac:dyDescent="0.25">
      <c r="A152" s="258" t="s">
        <v>151</v>
      </c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</row>
    <row r="153" spans="1:11" x14ac:dyDescent="0.25">
      <c r="A153" s="178">
        <v>46024</v>
      </c>
      <c r="B153" s="111" t="s">
        <v>77</v>
      </c>
      <c r="C153" s="148">
        <v>1</v>
      </c>
      <c r="D153" s="148">
        <v>1</v>
      </c>
      <c r="E153" s="116" t="s">
        <v>78</v>
      </c>
      <c r="F153" s="20" t="s">
        <v>128</v>
      </c>
      <c r="G153" s="149">
        <v>1.24</v>
      </c>
      <c r="H153" s="149">
        <f t="shared" si="12"/>
        <v>1.24</v>
      </c>
      <c r="I153" s="38">
        <f t="shared" si="9"/>
        <v>0.186</v>
      </c>
      <c r="J153" s="38">
        <f t="shared" si="10"/>
        <v>1.4259999999999999</v>
      </c>
      <c r="K153" s="167">
        <f t="shared" si="11"/>
        <v>1.4259999999999999</v>
      </c>
    </row>
    <row r="154" spans="1:11" x14ac:dyDescent="0.25">
      <c r="A154" s="178">
        <v>46023</v>
      </c>
      <c r="B154" s="111" t="s">
        <v>79</v>
      </c>
      <c r="C154" s="148">
        <v>1</v>
      </c>
      <c r="D154" s="148">
        <v>1</v>
      </c>
      <c r="E154" s="116" t="s">
        <v>78</v>
      </c>
      <c r="F154" s="20" t="s">
        <v>128</v>
      </c>
      <c r="G154" s="149">
        <v>0.09</v>
      </c>
      <c r="H154" s="149">
        <f t="shared" si="12"/>
        <v>0.09</v>
      </c>
      <c r="I154" s="38">
        <f t="shared" si="9"/>
        <v>1.35E-2</v>
      </c>
      <c r="J154" s="38">
        <f t="shared" si="10"/>
        <v>0.10349999999999999</v>
      </c>
      <c r="K154" s="167">
        <f t="shared" si="11"/>
        <v>0.10349999999999999</v>
      </c>
    </row>
    <row r="155" spans="1:11" x14ac:dyDescent="0.25">
      <c r="A155" s="178">
        <v>46023</v>
      </c>
      <c r="B155" s="111" t="s">
        <v>80</v>
      </c>
      <c r="C155" s="148">
        <v>1</v>
      </c>
      <c r="D155" s="148">
        <v>1</v>
      </c>
      <c r="E155" s="116" t="s">
        <v>78</v>
      </c>
      <c r="F155" s="20" t="s">
        <v>128</v>
      </c>
      <c r="G155" s="149">
        <v>13.95</v>
      </c>
      <c r="H155" s="149">
        <f t="shared" si="12"/>
        <v>13.95</v>
      </c>
      <c r="I155" s="38">
        <f t="shared" si="9"/>
        <v>2.0924999999999998</v>
      </c>
      <c r="J155" s="38">
        <f t="shared" si="10"/>
        <v>16.0425</v>
      </c>
      <c r="K155" s="167">
        <f t="shared" si="11"/>
        <v>16.0425</v>
      </c>
    </row>
    <row r="156" spans="1:11" ht="16.5" thickBot="1" x14ac:dyDescent="0.3">
      <c r="A156" s="187">
        <v>46024</v>
      </c>
      <c r="B156" s="117" t="s">
        <v>81</v>
      </c>
      <c r="C156" s="151">
        <v>1</v>
      </c>
      <c r="D156" s="151">
        <v>1</v>
      </c>
      <c r="E156" s="119" t="s">
        <v>82</v>
      </c>
      <c r="F156" s="152" t="s">
        <v>128</v>
      </c>
      <c r="G156" s="153">
        <v>1.6</v>
      </c>
      <c r="H156" s="153">
        <f t="shared" si="12"/>
        <v>1.6</v>
      </c>
      <c r="I156" s="154">
        <f t="shared" si="9"/>
        <v>0.24</v>
      </c>
      <c r="J156" s="154">
        <f t="shared" si="10"/>
        <v>1.84</v>
      </c>
      <c r="K156" s="168">
        <f t="shared" si="11"/>
        <v>1.84</v>
      </c>
    </row>
    <row r="157" spans="1:11" x14ac:dyDescent="0.25">
      <c r="A157" s="282">
        <v>46024</v>
      </c>
      <c r="B157" s="237" t="s">
        <v>83</v>
      </c>
      <c r="C157" s="155">
        <v>24</v>
      </c>
      <c r="D157" s="155">
        <v>24</v>
      </c>
      <c r="E157" s="87" t="s">
        <v>84</v>
      </c>
      <c r="F157" s="156" t="s">
        <v>128</v>
      </c>
      <c r="G157" s="157">
        <v>0.27173900000000001</v>
      </c>
      <c r="H157" s="158">
        <f t="shared" si="12"/>
        <v>6.5217360000000006</v>
      </c>
      <c r="I157" s="159">
        <f t="shared" si="9"/>
        <v>0.97826040000000003</v>
      </c>
      <c r="J157" s="159">
        <f t="shared" si="10"/>
        <v>7.4999964000000006</v>
      </c>
      <c r="K157" s="297">
        <f>SUM(J157:J158)</f>
        <v>17.499996200000002</v>
      </c>
    </row>
    <row r="158" spans="1:11" ht="16.5" thickBot="1" x14ac:dyDescent="0.3">
      <c r="A158" s="291"/>
      <c r="B158" s="238"/>
      <c r="C158" s="161">
        <v>1</v>
      </c>
      <c r="D158" s="161">
        <v>1</v>
      </c>
      <c r="E158" s="162" t="s">
        <v>85</v>
      </c>
      <c r="F158" s="162" t="s">
        <v>128</v>
      </c>
      <c r="G158" s="163">
        <v>8.6956520000000008</v>
      </c>
      <c r="H158" s="164">
        <f t="shared" si="12"/>
        <v>8.6956520000000008</v>
      </c>
      <c r="I158" s="165">
        <f t="shared" si="9"/>
        <v>1.3043478000000002</v>
      </c>
      <c r="J158" s="165">
        <f t="shared" si="10"/>
        <v>9.9999998000000012</v>
      </c>
      <c r="K158" s="299"/>
    </row>
    <row r="159" spans="1:11" ht="16.149999999999999" customHeight="1" x14ac:dyDescent="0.25">
      <c r="A159" s="282">
        <v>46024</v>
      </c>
      <c r="B159" s="237" t="s">
        <v>87</v>
      </c>
      <c r="C159" s="155">
        <v>3</v>
      </c>
      <c r="D159" s="155">
        <v>3</v>
      </c>
      <c r="E159" s="87" t="s">
        <v>86</v>
      </c>
      <c r="F159" s="156" t="s">
        <v>128</v>
      </c>
      <c r="G159" s="157">
        <v>2.7042999999999999</v>
      </c>
      <c r="H159" s="158">
        <f t="shared" si="12"/>
        <v>8.1128999999999998</v>
      </c>
      <c r="I159" s="159">
        <f t="shared" si="9"/>
        <v>1.2169349999999999</v>
      </c>
      <c r="J159" s="159">
        <f t="shared" si="10"/>
        <v>9.3298349999999992</v>
      </c>
      <c r="K159" s="297">
        <f>SUM(J159:J160)</f>
        <v>15.829864999999998</v>
      </c>
    </row>
    <row r="160" spans="1:11" x14ac:dyDescent="0.25">
      <c r="A160" s="283"/>
      <c r="B160" s="241"/>
      <c r="C160" s="144">
        <v>2</v>
      </c>
      <c r="D160" s="144">
        <v>2</v>
      </c>
      <c r="E160" s="54" t="s">
        <v>88</v>
      </c>
      <c r="F160" s="145" t="s">
        <v>128</v>
      </c>
      <c r="G160" s="9">
        <v>2.8260999999999998</v>
      </c>
      <c r="H160" s="8">
        <f t="shared" si="12"/>
        <v>5.6521999999999997</v>
      </c>
      <c r="I160" s="160">
        <f t="shared" si="9"/>
        <v>0.84782999999999997</v>
      </c>
      <c r="J160" s="160">
        <f t="shared" si="10"/>
        <v>6.5000299999999998</v>
      </c>
      <c r="K160" s="298"/>
    </row>
    <row r="161" spans="1:11" ht="16.5" thickBot="1" x14ac:dyDescent="0.3">
      <c r="A161" s="187">
        <v>46024</v>
      </c>
      <c r="B161" s="117" t="s">
        <v>89</v>
      </c>
      <c r="C161" s="151">
        <v>8</v>
      </c>
      <c r="D161" s="151">
        <v>8</v>
      </c>
      <c r="E161" s="119" t="s">
        <v>90</v>
      </c>
      <c r="F161" s="152" t="s">
        <v>128</v>
      </c>
      <c r="G161" s="153">
        <v>2</v>
      </c>
      <c r="H161" s="153">
        <f t="shared" si="12"/>
        <v>16</v>
      </c>
      <c r="I161" s="154">
        <f t="shared" si="9"/>
        <v>2.4</v>
      </c>
      <c r="J161" s="154">
        <f t="shared" si="10"/>
        <v>18.399999999999999</v>
      </c>
      <c r="K161" s="168">
        <f t="shared" si="11"/>
        <v>18.399999999999999</v>
      </c>
    </row>
    <row r="162" spans="1:11" x14ac:dyDescent="0.25">
      <c r="A162" s="279">
        <v>46024</v>
      </c>
      <c r="B162" s="262" t="s">
        <v>91</v>
      </c>
      <c r="C162" s="155">
        <v>1</v>
      </c>
      <c r="D162" s="155">
        <v>1</v>
      </c>
      <c r="E162" s="87" t="s">
        <v>92</v>
      </c>
      <c r="F162" s="156" t="s">
        <v>128</v>
      </c>
      <c r="G162" s="157">
        <v>56.478261000000003</v>
      </c>
      <c r="H162" s="158">
        <f t="shared" si="12"/>
        <v>56.478261000000003</v>
      </c>
      <c r="I162" s="159">
        <f t="shared" si="9"/>
        <v>8.4717391499999994</v>
      </c>
      <c r="J162" s="159">
        <f t="shared" si="10"/>
        <v>64.950000150000008</v>
      </c>
      <c r="K162" s="297">
        <f>SUM(J162:J168)</f>
        <v>119.86200105000002</v>
      </c>
    </row>
    <row r="163" spans="1:11" x14ac:dyDescent="0.25">
      <c r="A163" s="280"/>
      <c r="B163" s="263"/>
      <c r="C163" s="144">
        <v>1</v>
      </c>
      <c r="D163" s="144">
        <v>1</v>
      </c>
      <c r="E163" s="54" t="s">
        <v>93</v>
      </c>
      <c r="F163" s="145" t="s">
        <v>128</v>
      </c>
      <c r="G163" s="9">
        <v>1.0695650000000001</v>
      </c>
      <c r="H163" s="8">
        <f t="shared" si="12"/>
        <v>1.0695650000000001</v>
      </c>
      <c r="I163" s="160">
        <f t="shared" si="9"/>
        <v>0.16043475000000001</v>
      </c>
      <c r="J163" s="160">
        <f t="shared" si="10"/>
        <v>1.2299997500000002</v>
      </c>
      <c r="K163" s="298"/>
    </row>
    <row r="164" spans="1:11" x14ac:dyDescent="0.25">
      <c r="A164" s="280"/>
      <c r="B164" s="263"/>
      <c r="C164" s="144">
        <v>1</v>
      </c>
      <c r="D164" s="144">
        <v>1</v>
      </c>
      <c r="E164" s="54" t="s">
        <v>94</v>
      </c>
      <c r="F164" s="145" t="s">
        <v>128</v>
      </c>
      <c r="G164" s="9">
        <v>8.2608700000000006</v>
      </c>
      <c r="H164" s="8">
        <f t="shared" si="12"/>
        <v>8.2608700000000006</v>
      </c>
      <c r="I164" s="160">
        <f t="shared" si="9"/>
        <v>1.2391305000000001</v>
      </c>
      <c r="J164" s="160">
        <f t="shared" si="10"/>
        <v>9.5000005000000005</v>
      </c>
      <c r="K164" s="298"/>
    </row>
    <row r="165" spans="1:11" x14ac:dyDescent="0.25">
      <c r="A165" s="280"/>
      <c r="B165" s="263"/>
      <c r="C165" s="144">
        <v>2</v>
      </c>
      <c r="D165" s="144">
        <v>2</v>
      </c>
      <c r="E165" s="54" t="s">
        <v>95</v>
      </c>
      <c r="F165" s="145" t="s">
        <v>128</v>
      </c>
      <c r="G165" s="9">
        <f>4.052174-1.22</f>
        <v>2.8321740000000002</v>
      </c>
      <c r="H165" s="8">
        <v>6.88</v>
      </c>
      <c r="I165" s="160">
        <f t="shared" si="9"/>
        <v>1.032</v>
      </c>
      <c r="J165" s="160">
        <f t="shared" si="10"/>
        <v>7.9119999999999999</v>
      </c>
      <c r="K165" s="298"/>
    </row>
    <row r="166" spans="1:11" x14ac:dyDescent="0.25">
      <c r="A166" s="280"/>
      <c r="B166" s="263"/>
      <c r="C166" s="144">
        <v>2</v>
      </c>
      <c r="D166" s="144">
        <v>2</v>
      </c>
      <c r="E166" s="54" t="s">
        <v>96</v>
      </c>
      <c r="F166" s="145" t="s">
        <v>128</v>
      </c>
      <c r="G166" s="9">
        <v>5.7217390000000004</v>
      </c>
      <c r="H166" s="8">
        <f t="shared" si="12"/>
        <v>11.443478000000001</v>
      </c>
      <c r="I166" s="160">
        <f t="shared" si="9"/>
        <v>1.7165217000000002</v>
      </c>
      <c r="J166" s="160">
        <f t="shared" si="10"/>
        <v>13.1599997</v>
      </c>
      <c r="K166" s="298"/>
    </row>
    <row r="167" spans="1:11" x14ac:dyDescent="0.25">
      <c r="A167" s="280"/>
      <c r="B167" s="263"/>
      <c r="C167" s="144">
        <v>2</v>
      </c>
      <c r="D167" s="144">
        <v>2</v>
      </c>
      <c r="E167" s="54" t="s">
        <v>97</v>
      </c>
      <c r="F167" s="145" t="s">
        <v>128</v>
      </c>
      <c r="G167" s="9">
        <v>6.8608700000000002</v>
      </c>
      <c r="H167" s="8">
        <f t="shared" si="12"/>
        <v>13.72174</v>
      </c>
      <c r="I167" s="160">
        <f t="shared" si="9"/>
        <v>2.0582609999999999</v>
      </c>
      <c r="J167" s="160">
        <f t="shared" si="10"/>
        <v>15.780001</v>
      </c>
      <c r="K167" s="298"/>
    </row>
    <row r="168" spans="1:11" ht="16.5" thickBot="1" x14ac:dyDescent="0.3">
      <c r="A168" s="281"/>
      <c r="B168" s="264"/>
      <c r="C168" s="161">
        <v>1</v>
      </c>
      <c r="D168" s="161">
        <v>1</v>
      </c>
      <c r="E168" s="91" t="s">
        <v>98</v>
      </c>
      <c r="F168" s="162" t="s">
        <v>128</v>
      </c>
      <c r="G168" s="163">
        <v>6.3739129999999999</v>
      </c>
      <c r="H168" s="164">
        <f t="shared" si="12"/>
        <v>6.3739129999999999</v>
      </c>
      <c r="I168" s="165">
        <f t="shared" si="9"/>
        <v>0.95608694999999999</v>
      </c>
      <c r="J168" s="165">
        <f t="shared" si="10"/>
        <v>7.3299999499999995</v>
      </c>
      <c r="K168" s="299"/>
    </row>
    <row r="169" spans="1:11" x14ac:dyDescent="0.25">
      <c r="A169" s="282">
        <v>46025</v>
      </c>
      <c r="B169" s="237" t="s">
        <v>99</v>
      </c>
      <c r="C169" s="155">
        <v>1</v>
      </c>
      <c r="D169" s="155">
        <v>1</v>
      </c>
      <c r="E169" s="87" t="s">
        <v>100</v>
      </c>
      <c r="F169" s="156" t="s">
        <v>128</v>
      </c>
      <c r="G169" s="157">
        <v>0.45169999999999999</v>
      </c>
      <c r="H169" s="158">
        <f t="shared" si="12"/>
        <v>0.45169999999999999</v>
      </c>
      <c r="I169" s="159">
        <f t="shared" si="9"/>
        <v>6.7754999999999996E-2</v>
      </c>
      <c r="J169" s="159">
        <f t="shared" si="10"/>
        <v>0.519455</v>
      </c>
      <c r="K169" s="297">
        <f>SUM(J169:J181)</f>
        <v>23.635605000000002</v>
      </c>
    </row>
    <row r="170" spans="1:11" x14ac:dyDescent="0.25">
      <c r="A170" s="283"/>
      <c r="B170" s="241"/>
      <c r="C170" s="144">
        <v>6</v>
      </c>
      <c r="D170" s="144">
        <v>6</v>
      </c>
      <c r="E170" s="54" t="s">
        <v>101</v>
      </c>
      <c r="F170" s="145" t="s">
        <v>128</v>
      </c>
      <c r="G170" s="9">
        <v>0.1198</v>
      </c>
      <c r="H170" s="8">
        <f t="shared" si="12"/>
        <v>0.71879999999999999</v>
      </c>
      <c r="I170" s="160">
        <f t="shared" si="9"/>
        <v>0.10782</v>
      </c>
      <c r="J170" s="160">
        <f t="shared" si="10"/>
        <v>0.82662000000000002</v>
      </c>
      <c r="K170" s="298"/>
    </row>
    <row r="171" spans="1:11" x14ac:dyDescent="0.25">
      <c r="A171" s="283"/>
      <c r="B171" s="241"/>
      <c r="C171" s="144">
        <v>1</v>
      </c>
      <c r="D171" s="144">
        <v>1</v>
      </c>
      <c r="E171" s="54" t="s">
        <v>102</v>
      </c>
      <c r="F171" s="145" t="s">
        <v>128</v>
      </c>
      <c r="G171" s="9">
        <v>0.91300000000000003</v>
      </c>
      <c r="H171" s="8">
        <f t="shared" si="12"/>
        <v>0.91300000000000003</v>
      </c>
      <c r="I171" s="160">
        <f t="shared" si="9"/>
        <v>0.13694999999999999</v>
      </c>
      <c r="J171" s="160">
        <f t="shared" si="10"/>
        <v>1.0499499999999999</v>
      </c>
      <c r="K171" s="298"/>
    </row>
    <row r="172" spans="1:11" x14ac:dyDescent="0.25">
      <c r="A172" s="283"/>
      <c r="B172" s="241"/>
      <c r="C172" s="144">
        <v>1</v>
      </c>
      <c r="D172" s="144">
        <v>1</v>
      </c>
      <c r="E172" s="54" t="s">
        <v>103</v>
      </c>
      <c r="F172" s="145" t="s">
        <v>128</v>
      </c>
      <c r="G172" s="9">
        <v>0.39129999999999998</v>
      </c>
      <c r="H172" s="8">
        <f t="shared" si="12"/>
        <v>0.39129999999999998</v>
      </c>
      <c r="I172" s="160">
        <f t="shared" si="9"/>
        <v>5.8694999999999997E-2</v>
      </c>
      <c r="J172" s="160">
        <f t="shared" si="10"/>
        <v>0.44999499999999998</v>
      </c>
      <c r="K172" s="298"/>
    </row>
    <row r="173" spans="1:11" x14ac:dyDescent="0.25">
      <c r="A173" s="283"/>
      <c r="B173" s="241"/>
      <c r="C173" s="144">
        <v>1</v>
      </c>
      <c r="D173" s="144">
        <v>1</v>
      </c>
      <c r="E173" s="54" t="s">
        <v>104</v>
      </c>
      <c r="F173" s="145" t="s">
        <v>128</v>
      </c>
      <c r="G173" s="9">
        <v>0.30430000000000001</v>
      </c>
      <c r="H173" s="8">
        <f t="shared" si="12"/>
        <v>0.30430000000000001</v>
      </c>
      <c r="I173" s="160">
        <f t="shared" si="9"/>
        <v>4.5644999999999998E-2</v>
      </c>
      <c r="J173" s="160">
        <f t="shared" si="10"/>
        <v>0.34994500000000001</v>
      </c>
      <c r="K173" s="298"/>
    </row>
    <row r="174" spans="1:11" x14ac:dyDescent="0.25">
      <c r="A174" s="283"/>
      <c r="B174" s="241"/>
      <c r="C174" s="144">
        <v>1</v>
      </c>
      <c r="D174" s="144">
        <v>1</v>
      </c>
      <c r="E174" s="54" t="s">
        <v>105</v>
      </c>
      <c r="F174" s="145" t="s">
        <v>128</v>
      </c>
      <c r="G174" s="9">
        <v>1.3355999999999999</v>
      </c>
      <c r="H174" s="8">
        <f t="shared" si="12"/>
        <v>1.3355999999999999</v>
      </c>
      <c r="I174" s="160">
        <f t="shared" si="9"/>
        <v>0.20033999999999999</v>
      </c>
      <c r="J174" s="160">
        <f t="shared" si="10"/>
        <v>1.5359399999999999</v>
      </c>
      <c r="K174" s="298"/>
    </row>
    <row r="175" spans="1:11" x14ac:dyDescent="0.25">
      <c r="A175" s="283"/>
      <c r="B175" s="241"/>
      <c r="C175" s="144">
        <v>1</v>
      </c>
      <c r="D175" s="144">
        <v>1</v>
      </c>
      <c r="E175" s="54" t="s">
        <v>106</v>
      </c>
      <c r="F175" s="145" t="s">
        <v>128</v>
      </c>
      <c r="G175" s="9">
        <v>0.26090000000000002</v>
      </c>
      <c r="H175" s="8">
        <f t="shared" si="12"/>
        <v>0.26090000000000002</v>
      </c>
      <c r="I175" s="160">
        <f t="shared" si="9"/>
        <v>3.9135000000000003E-2</v>
      </c>
      <c r="J175" s="160">
        <f t="shared" si="10"/>
        <v>0.30003500000000005</v>
      </c>
      <c r="K175" s="298"/>
    </row>
    <row r="176" spans="1:11" x14ac:dyDescent="0.25">
      <c r="A176" s="283"/>
      <c r="B176" s="241"/>
      <c r="C176" s="144">
        <v>1</v>
      </c>
      <c r="D176" s="144">
        <v>1</v>
      </c>
      <c r="E176" s="54" t="s">
        <v>107</v>
      </c>
      <c r="F176" s="145" t="s">
        <v>128</v>
      </c>
      <c r="G176" s="9">
        <v>3.4348000000000001</v>
      </c>
      <c r="H176" s="8">
        <f t="shared" si="12"/>
        <v>3.4348000000000001</v>
      </c>
      <c r="I176" s="160">
        <f t="shared" si="9"/>
        <v>0.51522000000000001</v>
      </c>
      <c r="J176" s="160">
        <f t="shared" si="10"/>
        <v>3.9500200000000003</v>
      </c>
      <c r="K176" s="298"/>
    </row>
    <row r="177" spans="1:11" x14ac:dyDescent="0.25">
      <c r="A177" s="283"/>
      <c r="B177" s="241"/>
      <c r="C177" s="144">
        <v>1</v>
      </c>
      <c r="D177" s="144">
        <v>1</v>
      </c>
      <c r="E177" s="145" t="s">
        <v>108</v>
      </c>
      <c r="F177" s="145" t="s">
        <v>128</v>
      </c>
      <c r="G177" s="9">
        <v>0.3226</v>
      </c>
      <c r="H177" s="8">
        <f t="shared" si="12"/>
        <v>0.3226</v>
      </c>
      <c r="I177" s="160">
        <f t="shared" si="9"/>
        <v>4.8389999999999996E-2</v>
      </c>
      <c r="J177" s="160">
        <f t="shared" si="10"/>
        <v>0.37098999999999999</v>
      </c>
      <c r="K177" s="298"/>
    </row>
    <row r="178" spans="1:11" x14ac:dyDescent="0.25">
      <c r="A178" s="283"/>
      <c r="B178" s="241"/>
      <c r="C178" s="144">
        <v>1</v>
      </c>
      <c r="D178" s="144">
        <v>1</v>
      </c>
      <c r="E178" s="54" t="s">
        <v>109</v>
      </c>
      <c r="F178" s="145" t="s">
        <v>128</v>
      </c>
      <c r="G178" s="9">
        <v>4.0434999999999999</v>
      </c>
      <c r="H178" s="8">
        <f t="shared" si="12"/>
        <v>4.0434999999999999</v>
      </c>
      <c r="I178" s="160">
        <f t="shared" si="9"/>
        <v>0.60652499999999998</v>
      </c>
      <c r="J178" s="160">
        <f t="shared" si="10"/>
        <v>4.6500249999999994</v>
      </c>
      <c r="K178" s="298"/>
    </row>
    <row r="179" spans="1:11" x14ac:dyDescent="0.25">
      <c r="A179" s="283"/>
      <c r="B179" s="241"/>
      <c r="C179" s="144">
        <v>1</v>
      </c>
      <c r="D179" s="144">
        <v>1</v>
      </c>
      <c r="E179" s="54" t="s">
        <v>110</v>
      </c>
      <c r="F179" s="145" t="s">
        <v>128</v>
      </c>
      <c r="G179" s="9">
        <v>0.43480000000000002</v>
      </c>
      <c r="H179" s="8">
        <f t="shared" si="12"/>
        <v>0.43480000000000002</v>
      </c>
      <c r="I179" s="160">
        <f t="shared" si="9"/>
        <v>6.522E-2</v>
      </c>
      <c r="J179" s="160">
        <f t="shared" si="10"/>
        <v>0.50002000000000002</v>
      </c>
      <c r="K179" s="298"/>
    </row>
    <row r="180" spans="1:11" x14ac:dyDescent="0.25">
      <c r="A180" s="283"/>
      <c r="B180" s="241"/>
      <c r="C180" s="144">
        <v>1</v>
      </c>
      <c r="D180" s="144">
        <v>1</v>
      </c>
      <c r="E180" s="54" t="s">
        <v>111</v>
      </c>
      <c r="F180" s="145" t="s">
        <v>128</v>
      </c>
      <c r="G180" s="9">
        <v>1.4197</v>
      </c>
      <c r="H180" s="8">
        <f t="shared" si="12"/>
        <v>1.4197</v>
      </c>
      <c r="I180" s="160">
        <f t="shared" si="9"/>
        <v>0.21295499999999998</v>
      </c>
      <c r="J180" s="160">
        <f t="shared" si="10"/>
        <v>1.632655</v>
      </c>
      <c r="K180" s="298"/>
    </row>
    <row r="181" spans="1:11" x14ac:dyDescent="0.25">
      <c r="A181" s="283"/>
      <c r="B181" s="241"/>
      <c r="C181" s="144">
        <v>1</v>
      </c>
      <c r="D181" s="144">
        <v>1</v>
      </c>
      <c r="E181" s="54" t="s">
        <v>112</v>
      </c>
      <c r="F181" s="145" t="s">
        <v>128</v>
      </c>
      <c r="G181" s="9">
        <v>6.5217000000000001</v>
      </c>
      <c r="H181" s="8">
        <f t="shared" si="12"/>
        <v>6.5217000000000001</v>
      </c>
      <c r="I181" s="160">
        <f t="shared" si="9"/>
        <v>0.97825499999999999</v>
      </c>
      <c r="J181" s="160">
        <f t="shared" si="10"/>
        <v>7.4999549999999999</v>
      </c>
      <c r="K181" s="298"/>
    </row>
    <row r="182" spans="1:11" ht="16.5" thickBot="1" x14ac:dyDescent="0.3">
      <c r="A182" s="187">
        <v>46032</v>
      </c>
      <c r="B182" s="117" t="s">
        <v>114</v>
      </c>
      <c r="C182" s="151">
        <v>1</v>
      </c>
      <c r="D182" s="151">
        <v>1</v>
      </c>
      <c r="E182" s="119" t="s">
        <v>113</v>
      </c>
      <c r="F182" s="152" t="s">
        <v>128</v>
      </c>
      <c r="G182" s="153">
        <v>1.61</v>
      </c>
      <c r="H182" s="153">
        <f t="shared" si="12"/>
        <v>1.61</v>
      </c>
      <c r="I182" s="154">
        <f t="shared" si="9"/>
        <v>0.24149999999999999</v>
      </c>
      <c r="J182" s="154">
        <f t="shared" si="10"/>
        <v>1.8515000000000001</v>
      </c>
      <c r="K182" s="168">
        <f t="shared" si="11"/>
        <v>1.8515000000000001</v>
      </c>
    </row>
    <row r="183" spans="1:11" x14ac:dyDescent="0.25">
      <c r="A183" s="279">
        <v>46036</v>
      </c>
      <c r="B183" s="237" t="s">
        <v>115</v>
      </c>
      <c r="C183" s="155">
        <v>1</v>
      </c>
      <c r="D183" s="155">
        <v>1</v>
      </c>
      <c r="E183" s="87" t="s">
        <v>116</v>
      </c>
      <c r="F183" s="156" t="s">
        <v>35</v>
      </c>
      <c r="G183" s="157">
        <v>0.87</v>
      </c>
      <c r="H183" s="158">
        <f t="shared" si="12"/>
        <v>0.87</v>
      </c>
      <c r="I183" s="159">
        <f t="shared" si="9"/>
        <v>0.1305</v>
      </c>
      <c r="J183" s="159">
        <f t="shared" si="10"/>
        <v>1.0004999999999999</v>
      </c>
      <c r="K183" s="297">
        <f>SUM(J183:J185)</f>
        <v>16.881999999999998</v>
      </c>
    </row>
    <row r="184" spans="1:11" x14ac:dyDescent="0.25">
      <c r="A184" s="280"/>
      <c r="B184" s="241"/>
      <c r="C184" s="144">
        <v>1</v>
      </c>
      <c r="D184" s="144">
        <v>1</v>
      </c>
      <c r="E184" s="54" t="s">
        <v>42</v>
      </c>
      <c r="F184" s="145" t="s">
        <v>35</v>
      </c>
      <c r="G184" s="9">
        <v>1.3</v>
      </c>
      <c r="H184" s="8">
        <f>G184*C184</f>
        <v>1.3</v>
      </c>
      <c r="I184" s="160">
        <f t="shared" si="9"/>
        <v>0.19500000000000001</v>
      </c>
      <c r="J184" s="160">
        <f t="shared" si="10"/>
        <v>1.4950000000000001</v>
      </c>
      <c r="K184" s="298"/>
    </row>
    <row r="185" spans="1:11" ht="16.5" thickBot="1" x14ac:dyDescent="0.3">
      <c r="A185" s="281"/>
      <c r="B185" s="238"/>
      <c r="C185" s="161">
        <v>3</v>
      </c>
      <c r="D185" s="161">
        <v>3</v>
      </c>
      <c r="E185" s="162" t="s">
        <v>39</v>
      </c>
      <c r="F185" s="162" t="s">
        <v>35</v>
      </c>
      <c r="G185" s="163">
        <v>4.17</v>
      </c>
      <c r="H185" s="164">
        <f>G185*C185</f>
        <v>12.51</v>
      </c>
      <c r="I185" s="165">
        <f t="shared" si="9"/>
        <v>1.8764999999999998</v>
      </c>
      <c r="J185" s="165">
        <f t="shared" si="10"/>
        <v>14.3865</v>
      </c>
      <c r="K185" s="299"/>
    </row>
    <row r="186" spans="1:11" x14ac:dyDescent="0.25">
      <c r="A186" s="279">
        <v>46027</v>
      </c>
      <c r="B186" s="237" t="s">
        <v>117</v>
      </c>
      <c r="C186" s="155">
        <v>1</v>
      </c>
      <c r="D186" s="155">
        <v>1</v>
      </c>
      <c r="E186" s="87" t="s">
        <v>118</v>
      </c>
      <c r="F186" s="156" t="s">
        <v>128</v>
      </c>
      <c r="G186" s="157">
        <v>7.5</v>
      </c>
      <c r="H186" s="158">
        <f t="shared" ref="H186:H197" si="13">G186*C186</f>
        <v>7.5</v>
      </c>
      <c r="I186" s="159">
        <f t="shared" si="9"/>
        <v>1.125</v>
      </c>
      <c r="J186" s="159">
        <f t="shared" si="10"/>
        <v>8.625</v>
      </c>
      <c r="K186" s="297">
        <f>SUM(J186:J189)</f>
        <v>23</v>
      </c>
    </row>
    <row r="187" spans="1:11" x14ac:dyDescent="0.25">
      <c r="A187" s="280"/>
      <c r="B187" s="241"/>
      <c r="C187" s="144">
        <v>1</v>
      </c>
      <c r="D187" s="144">
        <v>1</v>
      </c>
      <c r="E187" s="54" t="s">
        <v>49</v>
      </c>
      <c r="F187" s="145" t="s">
        <v>128</v>
      </c>
      <c r="G187" s="9">
        <v>4.75</v>
      </c>
      <c r="H187" s="8">
        <f t="shared" si="13"/>
        <v>4.75</v>
      </c>
      <c r="I187" s="160">
        <f t="shared" si="9"/>
        <v>0.71250000000000002</v>
      </c>
      <c r="J187" s="160">
        <f t="shared" si="10"/>
        <v>5.4625000000000004</v>
      </c>
      <c r="K187" s="298"/>
    </row>
    <row r="188" spans="1:11" x14ac:dyDescent="0.25">
      <c r="A188" s="280"/>
      <c r="B188" s="241"/>
      <c r="C188" s="144">
        <v>1</v>
      </c>
      <c r="D188" s="144">
        <v>1</v>
      </c>
      <c r="E188" s="54" t="s">
        <v>50</v>
      </c>
      <c r="F188" s="145" t="s">
        <v>128</v>
      </c>
      <c r="G188" s="9">
        <v>3.75</v>
      </c>
      <c r="H188" s="8">
        <f t="shared" si="13"/>
        <v>3.75</v>
      </c>
      <c r="I188" s="160">
        <f t="shared" si="9"/>
        <v>0.5625</v>
      </c>
      <c r="J188" s="160">
        <f t="shared" si="10"/>
        <v>4.3125</v>
      </c>
      <c r="K188" s="298"/>
    </row>
    <row r="189" spans="1:11" x14ac:dyDescent="0.25">
      <c r="A189" s="280"/>
      <c r="B189" s="241"/>
      <c r="C189" s="144">
        <v>1</v>
      </c>
      <c r="D189" s="144">
        <v>1</v>
      </c>
      <c r="E189" s="54" t="s">
        <v>51</v>
      </c>
      <c r="F189" s="145" t="s">
        <v>128</v>
      </c>
      <c r="G189" s="9">
        <v>4</v>
      </c>
      <c r="H189" s="8">
        <f t="shared" si="13"/>
        <v>4</v>
      </c>
      <c r="I189" s="160">
        <f t="shared" si="9"/>
        <v>0.6</v>
      </c>
      <c r="J189" s="160">
        <f t="shared" si="10"/>
        <v>4.5999999999999996</v>
      </c>
      <c r="K189" s="298"/>
    </row>
    <row r="190" spans="1:11" ht="16.5" thickBot="1" x14ac:dyDescent="0.3">
      <c r="A190" s="187">
        <v>46050</v>
      </c>
      <c r="B190" s="117" t="s">
        <v>119</v>
      </c>
      <c r="C190" s="151">
        <v>1</v>
      </c>
      <c r="D190" s="151">
        <v>1</v>
      </c>
      <c r="E190" s="152" t="s">
        <v>120</v>
      </c>
      <c r="F190" s="152" t="s">
        <v>128</v>
      </c>
      <c r="G190" s="153">
        <f>162.39+21.65</f>
        <v>184.04</v>
      </c>
      <c r="H190" s="153">
        <f t="shared" si="13"/>
        <v>184.04</v>
      </c>
      <c r="I190" s="154">
        <f t="shared" si="9"/>
        <v>27.605999999999998</v>
      </c>
      <c r="J190" s="154">
        <f t="shared" si="10"/>
        <v>211.64599999999999</v>
      </c>
      <c r="K190" s="168">
        <f t="shared" si="11"/>
        <v>211.64599999999999</v>
      </c>
    </row>
    <row r="191" spans="1:11" x14ac:dyDescent="0.25">
      <c r="A191" s="279">
        <v>46050</v>
      </c>
      <c r="B191" s="237" t="s">
        <v>121</v>
      </c>
      <c r="C191" s="155">
        <v>40</v>
      </c>
      <c r="D191" s="155">
        <v>40</v>
      </c>
      <c r="E191" s="156" t="s">
        <v>122</v>
      </c>
      <c r="F191" s="156" t="s">
        <v>35</v>
      </c>
      <c r="G191" s="157">
        <v>0.22</v>
      </c>
      <c r="H191" s="158">
        <f t="shared" si="13"/>
        <v>8.8000000000000007</v>
      </c>
      <c r="I191" s="159">
        <f t="shared" si="9"/>
        <v>1.32</v>
      </c>
      <c r="J191" s="159">
        <f t="shared" si="10"/>
        <v>10.120000000000001</v>
      </c>
      <c r="K191" s="297">
        <f>SUM(J191:J193)</f>
        <v>23.023000000000003</v>
      </c>
    </row>
    <row r="192" spans="1:11" x14ac:dyDescent="0.25">
      <c r="A192" s="280"/>
      <c r="B192" s="241"/>
      <c r="C192" s="144">
        <v>3</v>
      </c>
      <c r="D192" s="144">
        <v>3</v>
      </c>
      <c r="E192" s="54" t="s">
        <v>123</v>
      </c>
      <c r="F192" s="145" t="s">
        <v>35</v>
      </c>
      <c r="G192" s="9">
        <v>3.13</v>
      </c>
      <c r="H192" s="8">
        <f t="shared" si="13"/>
        <v>9.39</v>
      </c>
      <c r="I192" s="160">
        <f t="shared" si="9"/>
        <v>1.4085000000000001</v>
      </c>
      <c r="J192" s="160">
        <f t="shared" si="10"/>
        <v>10.798500000000001</v>
      </c>
      <c r="K192" s="298"/>
    </row>
    <row r="193" spans="1:11" ht="16.5" thickBot="1" x14ac:dyDescent="0.3">
      <c r="A193" s="281"/>
      <c r="B193" s="238"/>
      <c r="C193" s="161">
        <v>3</v>
      </c>
      <c r="D193" s="161">
        <v>3</v>
      </c>
      <c r="E193" s="91" t="s">
        <v>22</v>
      </c>
      <c r="F193" s="162" t="s">
        <v>35</v>
      </c>
      <c r="G193" s="163">
        <v>0.61</v>
      </c>
      <c r="H193" s="164">
        <f t="shared" si="13"/>
        <v>1.83</v>
      </c>
      <c r="I193" s="165">
        <f t="shared" si="9"/>
        <v>0.27450000000000002</v>
      </c>
      <c r="J193" s="165">
        <f t="shared" si="10"/>
        <v>2.1045000000000003</v>
      </c>
      <c r="K193" s="299"/>
    </row>
    <row r="194" spans="1:11" x14ac:dyDescent="0.25">
      <c r="A194" s="279">
        <v>46050</v>
      </c>
      <c r="B194" s="237" t="s">
        <v>124</v>
      </c>
      <c r="C194" s="155">
        <v>1</v>
      </c>
      <c r="D194" s="155">
        <v>1</v>
      </c>
      <c r="E194" s="156" t="s">
        <v>125</v>
      </c>
      <c r="F194" s="156" t="s">
        <v>128</v>
      </c>
      <c r="G194" s="157">
        <v>3.6</v>
      </c>
      <c r="H194" s="158">
        <f t="shared" si="13"/>
        <v>3.6</v>
      </c>
      <c r="I194" s="159">
        <f t="shared" si="9"/>
        <v>0.54</v>
      </c>
      <c r="J194" s="159">
        <f t="shared" si="10"/>
        <v>4.1400000000000006</v>
      </c>
      <c r="K194" s="300">
        <f>SUM(J194:J195)</f>
        <v>19.3800001</v>
      </c>
    </row>
    <row r="195" spans="1:11" ht="16.5" thickBot="1" x14ac:dyDescent="0.3">
      <c r="A195" s="281"/>
      <c r="B195" s="238"/>
      <c r="C195" s="161">
        <v>1</v>
      </c>
      <c r="D195" s="161">
        <v>1</v>
      </c>
      <c r="E195" s="91" t="s">
        <v>126</v>
      </c>
      <c r="F195" s="162" t="s">
        <v>128</v>
      </c>
      <c r="G195" s="163">
        <v>13.252174</v>
      </c>
      <c r="H195" s="164">
        <f t="shared" si="13"/>
        <v>13.252174</v>
      </c>
      <c r="I195" s="165">
        <f t="shared" si="9"/>
        <v>1.9878260999999999</v>
      </c>
      <c r="J195" s="165">
        <f t="shared" si="10"/>
        <v>15.2400001</v>
      </c>
      <c r="K195" s="301"/>
    </row>
    <row r="197" spans="1:11" x14ac:dyDescent="0.25">
      <c r="H197" s="12">
        <f t="shared" si="13"/>
        <v>0</v>
      </c>
    </row>
  </sheetData>
  <mergeCells count="71">
    <mergeCell ref="B132:B134"/>
    <mergeCell ref="A132:A134"/>
    <mergeCell ref="K186:K189"/>
    <mergeCell ref="K191:K193"/>
    <mergeCell ref="K194:K195"/>
    <mergeCell ref="K157:K158"/>
    <mergeCell ref="K159:K160"/>
    <mergeCell ref="K162:K168"/>
    <mergeCell ref="K169:K181"/>
    <mergeCell ref="K183:K185"/>
    <mergeCell ref="K136:K138"/>
    <mergeCell ref="K141:K143"/>
    <mergeCell ref="K145:K151"/>
    <mergeCell ref="A152:K152"/>
    <mergeCell ref="B136:B138"/>
    <mergeCell ref="A136:A138"/>
    <mergeCell ref="K103:K106"/>
    <mergeCell ref="K107:K113"/>
    <mergeCell ref="K127:K128"/>
    <mergeCell ref="K130:K131"/>
    <mergeCell ref="K132:K134"/>
    <mergeCell ref="A79:A82"/>
    <mergeCell ref="A75:A78"/>
    <mergeCell ref="A84:A85"/>
    <mergeCell ref="B94:B101"/>
    <mergeCell ref="K11:K58"/>
    <mergeCell ref="K60:K72"/>
    <mergeCell ref="K75:K78"/>
    <mergeCell ref="K79:K82"/>
    <mergeCell ref="K84:K85"/>
    <mergeCell ref="K94:K101"/>
    <mergeCell ref="B103:B106"/>
    <mergeCell ref="A103:A106"/>
    <mergeCell ref="B107:B113"/>
    <mergeCell ref="A107:A113"/>
    <mergeCell ref="B121:B122"/>
    <mergeCell ref="A121:A122"/>
    <mergeCell ref="A159:A160"/>
    <mergeCell ref="B159:B160"/>
    <mergeCell ref="A141:A143"/>
    <mergeCell ref="B141:B143"/>
    <mergeCell ref="A157:A158"/>
    <mergeCell ref="B157:B158"/>
    <mergeCell ref="A2:H2"/>
    <mergeCell ref="A3:A6"/>
    <mergeCell ref="B3:B6"/>
    <mergeCell ref="A145:A151"/>
    <mergeCell ref="B145:B151"/>
    <mergeCell ref="B11:B58"/>
    <mergeCell ref="B79:B82"/>
    <mergeCell ref="B75:B78"/>
    <mergeCell ref="B84:B85"/>
    <mergeCell ref="B130:B131"/>
    <mergeCell ref="B60:B72"/>
    <mergeCell ref="A60:A72"/>
    <mergeCell ref="A11:A58"/>
    <mergeCell ref="A94:A101"/>
    <mergeCell ref="B127:B128"/>
    <mergeCell ref="A127:A128"/>
    <mergeCell ref="A162:A168"/>
    <mergeCell ref="B162:B168"/>
    <mergeCell ref="A169:A181"/>
    <mergeCell ref="B169:B181"/>
    <mergeCell ref="A183:A185"/>
    <mergeCell ref="B183:B185"/>
    <mergeCell ref="A186:A189"/>
    <mergeCell ref="B186:B189"/>
    <mergeCell ref="A191:A193"/>
    <mergeCell ref="B191:B193"/>
    <mergeCell ref="A194:A195"/>
    <mergeCell ref="B194:B1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F156"/>
  <sheetViews>
    <sheetView zoomScaleNormal="100" workbookViewId="0">
      <selection activeCell="E89" sqref="E89:E100"/>
    </sheetView>
  </sheetViews>
  <sheetFormatPr baseColWidth="10" defaultColWidth="10.75" defaultRowHeight="15.75" x14ac:dyDescent="0.25"/>
  <cols>
    <col min="1" max="1" width="10.5" style="3" bestFit="1" customWidth="1"/>
    <col min="2" max="2" width="14.75" style="3" bestFit="1" customWidth="1"/>
    <col min="3" max="3" width="10.75" style="17"/>
    <col min="4" max="5" width="10.75" style="3"/>
    <col min="6" max="6" width="10.75" style="17"/>
    <col min="7" max="16384" width="10.75" style="3"/>
  </cols>
  <sheetData>
    <row r="1" spans="1:6" ht="16.5" thickBot="1" x14ac:dyDescent="0.3">
      <c r="A1" s="21" t="s">
        <v>1</v>
      </c>
      <c r="B1" s="21" t="s">
        <v>131</v>
      </c>
      <c r="C1" s="22" t="s">
        <v>132</v>
      </c>
      <c r="D1" s="21" t="s">
        <v>136</v>
      </c>
      <c r="E1" s="21" t="s">
        <v>133</v>
      </c>
      <c r="F1" s="22" t="s">
        <v>134</v>
      </c>
    </row>
    <row r="2" spans="1:6" x14ac:dyDescent="0.25">
      <c r="A2" s="306">
        <v>46011</v>
      </c>
      <c r="B2" s="304" t="s">
        <v>135</v>
      </c>
      <c r="C2" s="15">
        <v>0.13</v>
      </c>
      <c r="D2" s="13" t="s">
        <v>137</v>
      </c>
      <c r="E2" s="13">
        <v>0</v>
      </c>
      <c r="F2" s="18">
        <f t="shared" ref="F2:F10" si="0">C2*E2</f>
        <v>0</v>
      </c>
    </row>
    <row r="3" spans="1:6" ht="16.5" thickBot="1" x14ac:dyDescent="0.3">
      <c r="A3" s="307"/>
      <c r="B3" s="305"/>
      <c r="C3" s="16">
        <v>149.87</v>
      </c>
      <c r="D3" s="14" t="s">
        <v>138</v>
      </c>
      <c r="E3" s="14">
        <v>0</v>
      </c>
      <c r="F3" s="19">
        <f t="shared" si="0"/>
        <v>0</v>
      </c>
    </row>
    <row r="4" spans="1:6" x14ac:dyDescent="0.25">
      <c r="A4" s="306">
        <v>46011</v>
      </c>
      <c r="B4" s="304" t="s">
        <v>334</v>
      </c>
      <c r="C4" s="15">
        <v>0.13</v>
      </c>
      <c r="D4" s="13" t="s">
        <v>137</v>
      </c>
      <c r="E4" s="13">
        <v>0</v>
      </c>
      <c r="F4" s="18">
        <f t="shared" ref="F4:F5" si="1">C4*E4</f>
        <v>0</v>
      </c>
    </row>
    <row r="5" spans="1:6" ht="16.5" thickBot="1" x14ac:dyDescent="0.3">
      <c r="A5" s="307"/>
      <c r="B5" s="305"/>
      <c r="C5" s="16">
        <v>1.87</v>
      </c>
      <c r="D5" s="14" t="s">
        <v>138</v>
      </c>
      <c r="E5" s="14">
        <v>0</v>
      </c>
      <c r="F5" s="19">
        <f t="shared" si="1"/>
        <v>0</v>
      </c>
    </row>
    <row r="6" spans="1:6" x14ac:dyDescent="0.25">
      <c r="A6" s="306">
        <v>46018</v>
      </c>
      <c r="B6" s="304" t="s">
        <v>139</v>
      </c>
      <c r="C6" s="15">
        <v>0</v>
      </c>
      <c r="D6" s="13" t="s">
        <v>137</v>
      </c>
      <c r="E6" s="13">
        <v>0</v>
      </c>
      <c r="F6" s="18">
        <f t="shared" si="0"/>
        <v>0</v>
      </c>
    </row>
    <row r="7" spans="1:6" ht="16.5" thickBot="1" x14ac:dyDescent="0.3">
      <c r="A7" s="307"/>
      <c r="B7" s="305"/>
      <c r="C7" s="16">
        <v>162</v>
      </c>
      <c r="D7" s="14" t="s">
        <v>138</v>
      </c>
      <c r="E7" s="14">
        <v>0</v>
      </c>
      <c r="F7" s="19">
        <f t="shared" si="0"/>
        <v>0</v>
      </c>
    </row>
    <row r="8" spans="1:6" ht="16.5" thickBot="1" x14ac:dyDescent="0.3">
      <c r="A8" s="310" t="s">
        <v>151</v>
      </c>
      <c r="B8" s="311"/>
      <c r="C8" s="311"/>
      <c r="D8" s="311"/>
      <c r="E8" s="311"/>
      <c r="F8" s="312"/>
    </row>
    <row r="9" spans="1:6" x14ac:dyDescent="0.25">
      <c r="A9" s="308">
        <v>46023</v>
      </c>
      <c r="B9" s="302" t="s">
        <v>140</v>
      </c>
      <c r="C9" s="15">
        <v>0</v>
      </c>
      <c r="D9" s="13" t="s">
        <v>137</v>
      </c>
      <c r="E9" s="13">
        <v>0</v>
      </c>
      <c r="F9" s="18">
        <f t="shared" si="0"/>
        <v>0</v>
      </c>
    </row>
    <row r="10" spans="1:6" ht="16.5" thickBot="1" x14ac:dyDescent="0.3">
      <c r="A10" s="309"/>
      <c r="B10" s="303"/>
      <c r="C10" s="16">
        <v>40</v>
      </c>
      <c r="D10" s="14" t="s">
        <v>138</v>
      </c>
      <c r="E10" s="14">
        <v>0</v>
      </c>
      <c r="F10" s="19">
        <f t="shared" si="0"/>
        <v>0</v>
      </c>
    </row>
    <row r="11" spans="1:6" x14ac:dyDescent="0.25">
      <c r="A11" s="308">
        <v>46022</v>
      </c>
      <c r="B11" s="302" t="s">
        <v>141</v>
      </c>
      <c r="C11" s="15">
        <v>0</v>
      </c>
      <c r="D11" s="13" t="s">
        <v>137</v>
      </c>
      <c r="E11" s="13">
        <v>0</v>
      </c>
      <c r="F11" s="18">
        <f t="shared" ref="F11:F32" si="2">C11*E11</f>
        <v>0</v>
      </c>
    </row>
    <row r="12" spans="1:6" ht="16.5" thickBot="1" x14ac:dyDescent="0.3">
      <c r="A12" s="309"/>
      <c r="B12" s="303"/>
      <c r="C12" s="16">
        <v>256</v>
      </c>
      <c r="D12" s="14" t="s">
        <v>138</v>
      </c>
      <c r="E12" s="14">
        <v>0</v>
      </c>
      <c r="F12" s="19">
        <f t="shared" si="2"/>
        <v>0</v>
      </c>
    </row>
    <row r="13" spans="1:6" x14ac:dyDescent="0.25">
      <c r="A13" s="308">
        <v>46023</v>
      </c>
      <c r="B13" s="302" t="s">
        <v>142</v>
      </c>
      <c r="C13" s="15">
        <v>0</v>
      </c>
      <c r="D13" s="13" t="s">
        <v>137</v>
      </c>
      <c r="E13" s="13">
        <v>0</v>
      </c>
      <c r="F13" s="18">
        <f t="shared" si="2"/>
        <v>0</v>
      </c>
    </row>
    <row r="14" spans="1:6" ht="16.5" thickBot="1" x14ac:dyDescent="0.3">
      <c r="A14" s="309"/>
      <c r="B14" s="303"/>
      <c r="C14" s="16">
        <v>31</v>
      </c>
      <c r="D14" s="14" t="s">
        <v>138</v>
      </c>
      <c r="E14" s="14">
        <v>0</v>
      </c>
      <c r="F14" s="19">
        <f t="shared" si="2"/>
        <v>0</v>
      </c>
    </row>
    <row r="15" spans="1:6" x14ac:dyDescent="0.25">
      <c r="A15" s="308">
        <v>46023</v>
      </c>
      <c r="B15" s="302" t="s">
        <v>143</v>
      </c>
      <c r="C15" s="15">
        <v>0</v>
      </c>
      <c r="D15" s="13" t="s">
        <v>137</v>
      </c>
      <c r="E15" s="13">
        <v>0</v>
      </c>
      <c r="F15" s="18">
        <f t="shared" si="2"/>
        <v>0</v>
      </c>
    </row>
    <row r="16" spans="1:6" ht="16.5" thickBot="1" x14ac:dyDescent="0.3">
      <c r="A16" s="309"/>
      <c r="B16" s="303"/>
      <c r="C16" s="16">
        <v>43</v>
      </c>
      <c r="D16" s="14" t="s">
        <v>138</v>
      </c>
      <c r="E16" s="14">
        <v>0</v>
      </c>
      <c r="F16" s="19">
        <f t="shared" si="2"/>
        <v>0</v>
      </c>
    </row>
    <row r="17" spans="1:6" x14ac:dyDescent="0.25">
      <c r="A17" s="308">
        <v>46032</v>
      </c>
      <c r="B17" s="302" t="s">
        <v>144</v>
      </c>
      <c r="C17" s="15">
        <v>0</v>
      </c>
      <c r="D17" s="13" t="s">
        <v>137</v>
      </c>
      <c r="E17" s="13">
        <v>0</v>
      </c>
      <c r="F17" s="18">
        <f t="shared" si="2"/>
        <v>0</v>
      </c>
    </row>
    <row r="18" spans="1:6" ht="16.5" thickBot="1" x14ac:dyDescent="0.3">
      <c r="A18" s="309"/>
      <c r="B18" s="303"/>
      <c r="C18" s="16">
        <v>115</v>
      </c>
      <c r="D18" s="14" t="s">
        <v>138</v>
      </c>
      <c r="E18" s="14">
        <v>0</v>
      </c>
      <c r="F18" s="19">
        <f t="shared" si="2"/>
        <v>0</v>
      </c>
    </row>
    <row r="19" spans="1:6" x14ac:dyDescent="0.25">
      <c r="A19" s="308">
        <v>46032</v>
      </c>
      <c r="B19" s="302" t="s">
        <v>145</v>
      </c>
      <c r="C19" s="15">
        <v>0</v>
      </c>
      <c r="D19" s="13" t="s">
        <v>137</v>
      </c>
      <c r="E19" s="13">
        <v>0</v>
      </c>
      <c r="F19" s="18">
        <f t="shared" si="2"/>
        <v>0</v>
      </c>
    </row>
    <row r="20" spans="1:6" ht="16.5" thickBot="1" x14ac:dyDescent="0.3">
      <c r="A20" s="309"/>
      <c r="B20" s="303"/>
      <c r="C20" s="16">
        <v>180</v>
      </c>
      <c r="D20" s="14" t="s">
        <v>138</v>
      </c>
      <c r="E20" s="14">
        <v>0</v>
      </c>
      <c r="F20" s="19">
        <f t="shared" si="2"/>
        <v>0</v>
      </c>
    </row>
    <row r="21" spans="1:6" x14ac:dyDescent="0.25">
      <c r="A21" s="308">
        <v>46039</v>
      </c>
      <c r="B21" s="302" t="s">
        <v>335</v>
      </c>
      <c r="C21" s="15">
        <v>0</v>
      </c>
      <c r="D21" s="13" t="s">
        <v>137</v>
      </c>
      <c r="E21" s="13">
        <v>0</v>
      </c>
      <c r="F21" s="18">
        <f t="shared" si="2"/>
        <v>0</v>
      </c>
    </row>
    <row r="22" spans="1:6" ht="16.5" thickBot="1" x14ac:dyDescent="0.3">
      <c r="A22" s="309"/>
      <c r="B22" s="303"/>
      <c r="C22" s="16">
        <v>25</v>
      </c>
      <c r="D22" s="14" t="s">
        <v>138</v>
      </c>
      <c r="E22" s="14">
        <v>0</v>
      </c>
      <c r="F22" s="19">
        <f t="shared" si="2"/>
        <v>0</v>
      </c>
    </row>
    <row r="23" spans="1:6" x14ac:dyDescent="0.25">
      <c r="A23" s="308">
        <v>46039</v>
      </c>
      <c r="B23" s="302" t="s">
        <v>146</v>
      </c>
      <c r="C23" s="15">
        <v>0</v>
      </c>
      <c r="D23" s="13" t="s">
        <v>137</v>
      </c>
      <c r="E23" s="13">
        <v>0</v>
      </c>
      <c r="F23" s="18">
        <f t="shared" si="2"/>
        <v>0</v>
      </c>
    </row>
    <row r="24" spans="1:6" ht="16.5" thickBot="1" x14ac:dyDescent="0.3">
      <c r="A24" s="309"/>
      <c r="B24" s="303"/>
      <c r="C24" s="16">
        <v>50</v>
      </c>
      <c r="D24" s="14" t="s">
        <v>138</v>
      </c>
      <c r="E24" s="14">
        <v>0</v>
      </c>
      <c r="F24" s="19">
        <f t="shared" si="2"/>
        <v>0</v>
      </c>
    </row>
    <row r="25" spans="1:6" x14ac:dyDescent="0.25">
      <c r="A25" s="308">
        <v>46039</v>
      </c>
      <c r="B25" s="302" t="s">
        <v>147</v>
      </c>
      <c r="C25" s="15">
        <v>0</v>
      </c>
      <c r="D25" s="13" t="s">
        <v>137</v>
      </c>
      <c r="E25" s="13">
        <v>0</v>
      </c>
      <c r="F25" s="18">
        <f t="shared" si="2"/>
        <v>0</v>
      </c>
    </row>
    <row r="26" spans="1:6" ht="16.5" thickBot="1" x14ac:dyDescent="0.3">
      <c r="A26" s="309"/>
      <c r="B26" s="303"/>
      <c r="C26" s="16">
        <v>32</v>
      </c>
      <c r="D26" s="14" t="s">
        <v>138</v>
      </c>
      <c r="E26" s="14">
        <v>0</v>
      </c>
      <c r="F26" s="19">
        <f t="shared" si="2"/>
        <v>0</v>
      </c>
    </row>
    <row r="27" spans="1:6" x14ac:dyDescent="0.25">
      <c r="A27" s="308">
        <v>46046</v>
      </c>
      <c r="B27" s="302" t="s">
        <v>148</v>
      </c>
      <c r="C27" s="15">
        <v>0</v>
      </c>
      <c r="D27" s="13" t="s">
        <v>137</v>
      </c>
      <c r="E27" s="13">
        <v>0</v>
      </c>
      <c r="F27" s="18">
        <f t="shared" si="2"/>
        <v>0</v>
      </c>
    </row>
    <row r="28" spans="1:6" ht="16.5" thickBot="1" x14ac:dyDescent="0.3">
      <c r="A28" s="309"/>
      <c r="B28" s="303"/>
      <c r="C28" s="16">
        <v>73</v>
      </c>
      <c r="D28" s="14" t="s">
        <v>138</v>
      </c>
      <c r="E28" s="14">
        <v>0</v>
      </c>
      <c r="F28" s="19">
        <f t="shared" si="2"/>
        <v>0</v>
      </c>
    </row>
    <row r="29" spans="1:6" x14ac:dyDescent="0.25">
      <c r="A29" s="308">
        <v>46046</v>
      </c>
      <c r="B29" s="302" t="s">
        <v>149</v>
      </c>
      <c r="C29" s="15">
        <v>0</v>
      </c>
      <c r="D29" s="13" t="s">
        <v>137</v>
      </c>
      <c r="E29" s="13">
        <v>0</v>
      </c>
      <c r="F29" s="18">
        <f t="shared" si="2"/>
        <v>0</v>
      </c>
    </row>
    <row r="30" spans="1:6" ht="16.5" thickBot="1" x14ac:dyDescent="0.3">
      <c r="A30" s="309"/>
      <c r="B30" s="303"/>
      <c r="C30" s="16">
        <v>27</v>
      </c>
      <c r="D30" s="14" t="s">
        <v>138</v>
      </c>
      <c r="E30" s="14">
        <v>0</v>
      </c>
      <c r="F30" s="19">
        <f t="shared" si="2"/>
        <v>0</v>
      </c>
    </row>
    <row r="31" spans="1:6" x14ac:dyDescent="0.25">
      <c r="A31" s="308">
        <v>46046</v>
      </c>
      <c r="B31" s="302" t="s">
        <v>150</v>
      </c>
      <c r="C31" s="15">
        <v>0</v>
      </c>
      <c r="D31" s="13" t="s">
        <v>137</v>
      </c>
      <c r="E31" s="13">
        <v>0</v>
      </c>
      <c r="F31" s="18">
        <f t="shared" si="2"/>
        <v>0</v>
      </c>
    </row>
    <row r="32" spans="1:6" ht="16.5" thickBot="1" x14ac:dyDescent="0.3">
      <c r="A32" s="309"/>
      <c r="B32" s="303"/>
      <c r="C32" s="16">
        <v>25</v>
      </c>
      <c r="D32" s="14" t="s">
        <v>138</v>
      </c>
      <c r="E32" s="14">
        <v>0</v>
      </c>
      <c r="F32" s="19">
        <f t="shared" si="2"/>
        <v>0</v>
      </c>
    </row>
    <row r="33" spans="1:6" x14ac:dyDescent="0.25">
      <c r="A33" s="308">
        <v>46060</v>
      </c>
      <c r="B33" s="302" t="s">
        <v>380</v>
      </c>
      <c r="C33" s="15">
        <v>0</v>
      </c>
      <c r="D33" s="13" t="s">
        <v>137</v>
      </c>
      <c r="E33" s="13">
        <v>0</v>
      </c>
      <c r="F33" s="18">
        <f t="shared" ref="F33:F40" si="3">C33*E33</f>
        <v>0</v>
      </c>
    </row>
    <row r="34" spans="1:6" ht="16.5" thickBot="1" x14ac:dyDescent="0.3">
      <c r="A34" s="309"/>
      <c r="B34" s="303"/>
      <c r="C34" s="16">
        <v>119</v>
      </c>
      <c r="D34" s="14" t="s">
        <v>138</v>
      </c>
      <c r="E34" s="14">
        <v>0</v>
      </c>
      <c r="F34" s="19">
        <f t="shared" si="3"/>
        <v>0</v>
      </c>
    </row>
    <row r="35" spans="1:6" x14ac:dyDescent="0.25">
      <c r="A35" s="308">
        <v>46060</v>
      </c>
      <c r="B35" s="302" t="s">
        <v>381</v>
      </c>
      <c r="C35" s="15">
        <v>0</v>
      </c>
      <c r="D35" s="13" t="s">
        <v>137</v>
      </c>
      <c r="E35" s="13">
        <v>0</v>
      </c>
      <c r="F35" s="18">
        <f t="shared" si="3"/>
        <v>0</v>
      </c>
    </row>
    <row r="36" spans="1:6" ht="16.5" thickBot="1" x14ac:dyDescent="0.3">
      <c r="A36" s="309"/>
      <c r="B36" s="303"/>
      <c r="C36" s="16">
        <v>50</v>
      </c>
      <c r="D36" s="14" t="s">
        <v>138</v>
      </c>
      <c r="E36" s="14">
        <v>0</v>
      </c>
      <c r="F36" s="19">
        <f t="shared" si="3"/>
        <v>0</v>
      </c>
    </row>
    <row r="37" spans="1:6" x14ac:dyDescent="0.25">
      <c r="A37" s="308">
        <v>46062</v>
      </c>
      <c r="B37" s="302" t="s">
        <v>382</v>
      </c>
      <c r="C37" s="15">
        <v>0</v>
      </c>
      <c r="D37" s="13" t="s">
        <v>137</v>
      </c>
      <c r="E37" s="13">
        <v>0</v>
      </c>
      <c r="F37" s="18">
        <f t="shared" si="3"/>
        <v>0</v>
      </c>
    </row>
    <row r="38" spans="1:6" ht="16.5" thickBot="1" x14ac:dyDescent="0.3">
      <c r="A38" s="309"/>
      <c r="B38" s="303"/>
      <c r="C38" s="16">
        <v>47.03</v>
      </c>
      <c r="D38" s="14" t="s">
        <v>138</v>
      </c>
      <c r="E38" s="14">
        <v>0.02</v>
      </c>
      <c r="F38" s="19">
        <f t="shared" si="3"/>
        <v>0.94059999999999999</v>
      </c>
    </row>
    <row r="39" spans="1:6" x14ac:dyDescent="0.25">
      <c r="A39" s="308">
        <v>46067</v>
      </c>
      <c r="B39" s="302" t="s">
        <v>383</v>
      </c>
      <c r="C39" s="15">
        <v>0</v>
      </c>
      <c r="D39" s="13" t="s">
        <v>137</v>
      </c>
      <c r="E39" s="13">
        <v>0</v>
      </c>
      <c r="F39" s="18">
        <f t="shared" si="3"/>
        <v>0</v>
      </c>
    </row>
    <row r="40" spans="1:6" ht="16.5" thickBot="1" x14ac:dyDescent="0.3">
      <c r="A40" s="309"/>
      <c r="B40" s="303"/>
      <c r="C40" s="16">
        <v>136</v>
      </c>
      <c r="D40" s="14" t="s">
        <v>138</v>
      </c>
      <c r="E40" s="14">
        <v>0</v>
      </c>
      <c r="F40" s="19">
        <f t="shared" si="3"/>
        <v>0</v>
      </c>
    </row>
    <row r="41" spans="1:6" x14ac:dyDescent="0.25">
      <c r="A41" s="308">
        <v>46067</v>
      </c>
      <c r="B41" s="302" t="s">
        <v>384</v>
      </c>
      <c r="C41" s="15">
        <v>0</v>
      </c>
      <c r="D41" s="13" t="s">
        <v>137</v>
      </c>
      <c r="E41" s="13">
        <v>0</v>
      </c>
      <c r="F41" s="18">
        <f t="shared" ref="F41:F68" si="4">C41*E41</f>
        <v>0</v>
      </c>
    </row>
    <row r="42" spans="1:6" ht="16.5" thickBot="1" x14ac:dyDescent="0.3">
      <c r="A42" s="309"/>
      <c r="B42" s="303"/>
      <c r="C42" s="16">
        <v>58</v>
      </c>
      <c r="D42" s="14" t="s">
        <v>138</v>
      </c>
      <c r="E42" s="14">
        <v>0</v>
      </c>
      <c r="F42" s="19">
        <f t="shared" si="4"/>
        <v>0</v>
      </c>
    </row>
    <row r="43" spans="1:6" x14ac:dyDescent="0.25">
      <c r="A43" s="308">
        <v>46074</v>
      </c>
      <c r="B43" s="302" t="s">
        <v>385</v>
      </c>
      <c r="C43" s="15">
        <v>0</v>
      </c>
      <c r="D43" s="13" t="s">
        <v>137</v>
      </c>
      <c r="E43" s="13">
        <v>0</v>
      </c>
      <c r="F43" s="18">
        <f t="shared" si="4"/>
        <v>0</v>
      </c>
    </row>
    <row r="44" spans="1:6" ht="16.5" thickBot="1" x14ac:dyDescent="0.3">
      <c r="A44" s="309"/>
      <c r="B44" s="303"/>
      <c r="C44" s="16">
        <v>16</v>
      </c>
      <c r="D44" s="14" t="s">
        <v>138</v>
      </c>
      <c r="E44" s="14">
        <v>0</v>
      </c>
      <c r="F44" s="19">
        <f t="shared" si="4"/>
        <v>0</v>
      </c>
    </row>
    <row r="45" spans="1:6" x14ac:dyDescent="0.25">
      <c r="A45" s="308">
        <v>46074</v>
      </c>
      <c r="B45" s="302" t="s">
        <v>386</v>
      </c>
      <c r="C45" s="15">
        <v>0</v>
      </c>
      <c r="D45" s="13" t="s">
        <v>137</v>
      </c>
      <c r="E45" s="13">
        <v>0</v>
      </c>
      <c r="F45" s="18">
        <f t="shared" si="4"/>
        <v>0</v>
      </c>
    </row>
    <row r="46" spans="1:6" ht="16.5" thickBot="1" x14ac:dyDescent="0.3">
      <c r="A46" s="309"/>
      <c r="B46" s="303"/>
      <c r="C46" s="16">
        <v>60</v>
      </c>
      <c r="D46" s="14" t="s">
        <v>138</v>
      </c>
      <c r="E46" s="14">
        <v>0</v>
      </c>
      <c r="F46" s="19">
        <f t="shared" si="4"/>
        <v>0</v>
      </c>
    </row>
    <row r="47" spans="1:6" x14ac:dyDescent="0.25">
      <c r="A47" s="308">
        <v>46081</v>
      </c>
      <c r="B47" s="302" t="s">
        <v>387</v>
      </c>
      <c r="C47" s="15">
        <v>0</v>
      </c>
      <c r="D47" s="13" t="s">
        <v>137</v>
      </c>
      <c r="E47" s="13">
        <v>0</v>
      </c>
      <c r="F47" s="18">
        <f t="shared" si="4"/>
        <v>0</v>
      </c>
    </row>
    <row r="48" spans="1:6" ht="16.5" thickBot="1" x14ac:dyDescent="0.3">
      <c r="A48" s="309"/>
      <c r="B48" s="303"/>
      <c r="C48" s="16">
        <v>2</v>
      </c>
      <c r="D48" s="14" t="s">
        <v>138</v>
      </c>
      <c r="E48" s="14">
        <v>0</v>
      </c>
      <c r="F48" s="19">
        <f t="shared" si="4"/>
        <v>0</v>
      </c>
    </row>
    <row r="49" spans="1:6" x14ac:dyDescent="0.25">
      <c r="A49" s="308">
        <v>46081</v>
      </c>
      <c r="B49" s="302" t="s">
        <v>388</v>
      </c>
      <c r="C49" s="15">
        <v>0</v>
      </c>
      <c r="D49" s="13" t="s">
        <v>137</v>
      </c>
      <c r="E49" s="13">
        <v>0</v>
      </c>
      <c r="F49" s="18">
        <f t="shared" si="4"/>
        <v>0</v>
      </c>
    </row>
    <row r="50" spans="1:6" ht="16.5" thickBot="1" x14ac:dyDescent="0.3">
      <c r="A50" s="309"/>
      <c r="B50" s="303"/>
      <c r="C50" s="16">
        <v>140</v>
      </c>
      <c r="D50" s="14" t="s">
        <v>138</v>
      </c>
      <c r="E50" s="14">
        <v>0</v>
      </c>
      <c r="F50" s="19">
        <f t="shared" si="4"/>
        <v>0</v>
      </c>
    </row>
    <row r="51" spans="1:6" x14ac:dyDescent="0.25">
      <c r="A51" s="308">
        <v>46081</v>
      </c>
      <c r="B51" s="302" t="s">
        <v>389</v>
      </c>
      <c r="C51" s="15">
        <v>0</v>
      </c>
      <c r="D51" s="13" t="s">
        <v>137</v>
      </c>
      <c r="E51" s="13">
        <v>0</v>
      </c>
      <c r="F51" s="18">
        <f t="shared" si="4"/>
        <v>0</v>
      </c>
    </row>
    <row r="52" spans="1:6" ht="16.5" thickBot="1" x14ac:dyDescent="0.3">
      <c r="A52" s="309"/>
      <c r="B52" s="303"/>
      <c r="C52" s="16">
        <v>38</v>
      </c>
      <c r="D52" s="14" t="s">
        <v>138</v>
      </c>
      <c r="E52" s="14">
        <v>0</v>
      </c>
      <c r="F52" s="19">
        <f t="shared" si="4"/>
        <v>0</v>
      </c>
    </row>
    <row r="53" spans="1:6" x14ac:dyDescent="0.25">
      <c r="A53" s="308">
        <v>46088</v>
      </c>
      <c r="B53" s="302" t="s">
        <v>390</v>
      </c>
      <c r="C53" s="15">
        <v>0</v>
      </c>
      <c r="D53" s="13" t="s">
        <v>137</v>
      </c>
      <c r="E53" s="13">
        <v>0</v>
      </c>
      <c r="F53" s="18">
        <f t="shared" si="4"/>
        <v>0</v>
      </c>
    </row>
    <row r="54" spans="1:6" ht="16.5" thickBot="1" x14ac:dyDescent="0.3">
      <c r="A54" s="309"/>
      <c r="B54" s="303"/>
      <c r="C54" s="16">
        <v>43</v>
      </c>
      <c r="D54" s="14" t="s">
        <v>138</v>
      </c>
      <c r="E54" s="14">
        <v>0</v>
      </c>
      <c r="F54" s="19">
        <f t="shared" si="4"/>
        <v>0</v>
      </c>
    </row>
    <row r="55" spans="1:6" x14ac:dyDescent="0.25">
      <c r="A55" s="308">
        <v>46088</v>
      </c>
      <c r="B55" s="302" t="s">
        <v>391</v>
      </c>
      <c r="C55" s="15">
        <v>0</v>
      </c>
      <c r="D55" s="13" t="s">
        <v>137</v>
      </c>
      <c r="E55" s="13">
        <v>0</v>
      </c>
      <c r="F55" s="18">
        <f t="shared" si="4"/>
        <v>0</v>
      </c>
    </row>
    <row r="56" spans="1:6" ht="16.5" thickBot="1" x14ac:dyDescent="0.3">
      <c r="A56" s="309"/>
      <c r="B56" s="303"/>
      <c r="C56" s="16">
        <v>22</v>
      </c>
      <c r="D56" s="14" t="s">
        <v>138</v>
      </c>
      <c r="E56" s="14">
        <v>0</v>
      </c>
      <c r="F56" s="19">
        <f t="shared" si="4"/>
        <v>0</v>
      </c>
    </row>
    <row r="57" spans="1:6" x14ac:dyDescent="0.25">
      <c r="A57" s="308">
        <v>46088</v>
      </c>
      <c r="B57" s="302" t="s">
        <v>392</v>
      </c>
      <c r="C57" s="15">
        <v>0</v>
      </c>
      <c r="D57" s="13" t="s">
        <v>137</v>
      </c>
      <c r="E57" s="13">
        <v>0</v>
      </c>
      <c r="F57" s="18">
        <f t="shared" si="4"/>
        <v>0</v>
      </c>
    </row>
    <row r="58" spans="1:6" ht="16.5" thickBot="1" x14ac:dyDescent="0.3">
      <c r="A58" s="309"/>
      <c r="B58" s="303"/>
      <c r="C58" s="16">
        <v>22</v>
      </c>
      <c r="D58" s="14" t="s">
        <v>138</v>
      </c>
      <c r="E58" s="14">
        <v>0</v>
      </c>
      <c r="F58" s="19">
        <f t="shared" si="4"/>
        <v>0</v>
      </c>
    </row>
    <row r="59" spans="1:6" x14ac:dyDescent="0.25">
      <c r="A59" s="308">
        <v>46095</v>
      </c>
      <c r="B59" s="302" t="s">
        <v>393</v>
      </c>
      <c r="C59" s="15">
        <v>0</v>
      </c>
      <c r="D59" s="13" t="s">
        <v>137</v>
      </c>
      <c r="E59" s="13">
        <v>0</v>
      </c>
      <c r="F59" s="18">
        <f t="shared" si="4"/>
        <v>0</v>
      </c>
    </row>
    <row r="60" spans="1:6" ht="16.5" thickBot="1" x14ac:dyDescent="0.3">
      <c r="A60" s="309"/>
      <c r="B60" s="303"/>
      <c r="C60" s="16">
        <v>220</v>
      </c>
      <c r="D60" s="14" t="s">
        <v>138</v>
      </c>
      <c r="E60" s="14">
        <v>0</v>
      </c>
      <c r="F60" s="19">
        <f t="shared" si="4"/>
        <v>0</v>
      </c>
    </row>
    <row r="61" spans="1:6" x14ac:dyDescent="0.25">
      <c r="A61" s="32">
        <v>46102</v>
      </c>
      <c r="B61" s="34" t="s">
        <v>425</v>
      </c>
      <c r="C61" s="15">
        <v>0</v>
      </c>
      <c r="D61" s="13" t="s">
        <v>137</v>
      </c>
      <c r="E61" s="13">
        <v>0</v>
      </c>
      <c r="F61" s="18">
        <f t="shared" ref="F61:F66" si="5">C61*E61</f>
        <v>0</v>
      </c>
    </row>
    <row r="62" spans="1:6" ht="16.5" thickBot="1" x14ac:dyDescent="0.3">
      <c r="A62" s="33"/>
      <c r="B62" s="35"/>
      <c r="C62" s="16">
        <v>18</v>
      </c>
      <c r="D62" s="14" t="s">
        <v>138</v>
      </c>
      <c r="E62" s="14">
        <v>0</v>
      </c>
      <c r="F62" s="19">
        <f t="shared" si="5"/>
        <v>0</v>
      </c>
    </row>
    <row r="63" spans="1:6" x14ac:dyDescent="0.25">
      <c r="A63" s="308">
        <v>46102</v>
      </c>
      <c r="B63" s="302" t="s">
        <v>426</v>
      </c>
      <c r="C63" s="15">
        <v>0</v>
      </c>
      <c r="D63" s="13" t="s">
        <v>137</v>
      </c>
      <c r="E63" s="13">
        <v>0</v>
      </c>
      <c r="F63" s="18">
        <f t="shared" si="5"/>
        <v>0</v>
      </c>
    </row>
    <row r="64" spans="1:6" ht="16.5" thickBot="1" x14ac:dyDescent="0.3">
      <c r="A64" s="309"/>
      <c r="B64" s="303"/>
      <c r="C64" s="16">
        <v>42</v>
      </c>
      <c r="D64" s="14" t="s">
        <v>138</v>
      </c>
      <c r="E64" s="14">
        <v>0</v>
      </c>
      <c r="F64" s="19">
        <f t="shared" si="5"/>
        <v>0</v>
      </c>
    </row>
    <row r="65" spans="1:6" x14ac:dyDescent="0.25">
      <c r="A65" s="308">
        <v>46109</v>
      </c>
      <c r="B65" s="302" t="s">
        <v>427</v>
      </c>
      <c r="C65" s="15"/>
      <c r="D65" s="13" t="s">
        <v>137</v>
      </c>
      <c r="E65" s="13">
        <v>0</v>
      </c>
      <c r="F65" s="18">
        <f t="shared" si="5"/>
        <v>0</v>
      </c>
    </row>
    <row r="66" spans="1:6" ht="16.5" thickBot="1" x14ac:dyDescent="0.3">
      <c r="A66" s="309"/>
      <c r="B66" s="303"/>
      <c r="C66" s="16"/>
      <c r="D66" s="14" t="s">
        <v>138</v>
      </c>
      <c r="E66" s="14">
        <v>0</v>
      </c>
      <c r="F66" s="19">
        <f t="shared" si="5"/>
        <v>0</v>
      </c>
    </row>
    <row r="67" spans="1:6" x14ac:dyDescent="0.25">
      <c r="A67" s="32">
        <v>46113</v>
      </c>
      <c r="B67" s="34" t="s">
        <v>424</v>
      </c>
      <c r="C67" s="15">
        <v>0</v>
      </c>
      <c r="D67" s="13" t="s">
        <v>137</v>
      </c>
      <c r="E67" s="13">
        <v>0</v>
      </c>
      <c r="F67" s="18">
        <f t="shared" si="4"/>
        <v>0</v>
      </c>
    </row>
    <row r="68" spans="1:6" ht="16.5" thickBot="1" x14ac:dyDescent="0.3">
      <c r="A68" s="33"/>
      <c r="B68" s="35"/>
      <c r="C68" s="16">
        <v>20</v>
      </c>
      <c r="D68" s="14" t="s">
        <v>138</v>
      </c>
      <c r="E68" s="14">
        <v>0</v>
      </c>
      <c r="F68" s="19">
        <f t="shared" si="4"/>
        <v>0</v>
      </c>
    </row>
    <row r="69" spans="1:6" x14ac:dyDescent="0.25">
      <c r="A69" s="308">
        <v>46113</v>
      </c>
      <c r="B69" s="302" t="s">
        <v>428</v>
      </c>
      <c r="C69" s="15">
        <v>0</v>
      </c>
      <c r="D69" s="13" t="s">
        <v>137</v>
      </c>
      <c r="E69" s="13">
        <v>0</v>
      </c>
      <c r="F69" s="18">
        <f t="shared" ref="F69:F80" si="6">C69*E69</f>
        <v>0</v>
      </c>
    </row>
    <row r="70" spans="1:6" ht="16.5" thickBot="1" x14ac:dyDescent="0.3">
      <c r="A70" s="309"/>
      <c r="B70" s="303"/>
      <c r="C70" s="16">
        <v>28</v>
      </c>
      <c r="D70" s="14" t="s">
        <v>138</v>
      </c>
      <c r="E70" s="14">
        <v>0</v>
      </c>
      <c r="F70" s="19">
        <f t="shared" si="6"/>
        <v>0</v>
      </c>
    </row>
    <row r="71" spans="1:6" x14ac:dyDescent="0.25">
      <c r="A71" s="308">
        <v>46116</v>
      </c>
      <c r="B71" s="302" t="s">
        <v>429</v>
      </c>
      <c r="C71" s="15">
        <v>0</v>
      </c>
      <c r="D71" s="13" t="s">
        <v>137</v>
      </c>
      <c r="E71" s="13">
        <v>0</v>
      </c>
      <c r="F71" s="18">
        <f t="shared" si="6"/>
        <v>0</v>
      </c>
    </row>
    <row r="72" spans="1:6" ht="16.5" thickBot="1" x14ac:dyDescent="0.3">
      <c r="A72" s="309"/>
      <c r="B72" s="303"/>
      <c r="C72" s="16">
        <v>12</v>
      </c>
      <c r="D72" s="14" t="s">
        <v>138</v>
      </c>
      <c r="E72" s="14">
        <v>0</v>
      </c>
      <c r="F72" s="19">
        <f t="shared" si="6"/>
        <v>0</v>
      </c>
    </row>
    <row r="73" spans="1:6" x14ac:dyDescent="0.25">
      <c r="A73" s="308">
        <v>46123</v>
      </c>
      <c r="B73" s="302" t="s">
        <v>430</v>
      </c>
      <c r="C73" s="15">
        <v>0</v>
      </c>
      <c r="D73" s="13" t="s">
        <v>137</v>
      </c>
      <c r="E73" s="13">
        <v>0</v>
      </c>
      <c r="F73" s="18">
        <f t="shared" si="6"/>
        <v>0</v>
      </c>
    </row>
    <row r="74" spans="1:6" ht="16.5" thickBot="1" x14ac:dyDescent="0.3">
      <c r="A74" s="309"/>
      <c r="B74" s="303"/>
      <c r="C74" s="16">
        <v>18</v>
      </c>
      <c r="D74" s="14" t="s">
        <v>138</v>
      </c>
      <c r="E74" s="14">
        <v>0</v>
      </c>
      <c r="F74" s="19">
        <f t="shared" si="6"/>
        <v>0</v>
      </c>
    </row>
    <row r="75" spans="1:6" x14ac:dyDescent="0.25">
      <c r="A75" s="308">
        <v>46130</v>
      </c>
      <c r="B75" s="302" t="s">
        <v>454</v>
      </c>
      <c r="C75" s="15">
        <v>0</v>
      </c>
      <c r="D75" s="13" t="s">
        <v>137</v>
      </c>
      <c r="E75" s="13">
        <v>0</v>
      </c>
      <c r="F75" s="18">
        <f t="shared" si="6"/>
        <v>0</v>
      </c>
    </row>
    <row r="76" spans="1:6" ht="16.5" thickBot="1" x14ac:dyDescent="0.3">
      <c r="A76" s="309"/>
      <c r="B76" s="303"/>
      <c r="C76" s="16">
        <v>40</v>
      </c>
      <c r="D76" s="14" t="s">
        <v>138</v>
      </c>
      <c r="E76" s="14">
        <v>0</v>
      </c>
      <c r="F76" s="19">
        <f t="shared" si="6"/>
        <v>0</v>
      </c>
    </row>
    <row r="77" spans="1:6" x14ac:dyDescent="0.25">
      <c r="A77" s="308">
        <v>46130</v>
      </c>
      <c r="B77" s="302" t="s">
        <v>455</v>
      </c>
      <c r="C77" s="15">
        <v>0</v>
      </c>
      <c r="D77" s="13" t="s">
        <v>137</v>
      </c>
      <c r="E77" s="13">
        <v>0</v>
      </c>
      <c r="F77" s="18">
        <f t="shared" si="6"/>
        <v>0</v>
      </c>
    </row>
    <row r="78" spans="1:6" ht="16.5" thickBot="1" x14ac:dyDescent="0.3">
      <c r="A78" s="309"/>
      <c r="B78" s="303"/>
      <c r="C78" s="16">
        <v>37</v>
      </c>
      <c r="D78" s="14" t="s">
        <v>138</v>
      </c>
      <c r="E78" s="14">
        <v>0</v>
      </c>
      <c r="F78" s="19">
        <f t="shared" si="6"/>
        <v>0</v>
      </c>
    </row>
    <row r="79" spans="1:6" x14ac:dyDescent="0.25">
      <c r="A79" s="308">
        <v>46137</v>
      </c>
      <c r="B79" s="302" t="s">
        <v>456</v>
      </c>
      <c r="C79" s="15">
        <v>0</v>
      </c>
      <c r="D79" s="13" t="s">
        <v>137</v>
      </c>
      <c r="E79" s="13">
        <v>0</v>
      </c>
      <c r="F79" s="18">
        <f t="shared" si="6"/>
        <v>0</v>
      </c>
    </row>
    <row r="80" spans="1:6" ht="16.5" thickBot="1" x14ac:dyDescent="0.3">
      <c r="A80" s="309"/>
      <c r="B80" s="303"/>
      <c r="C80" s="16">
        <v>87</v>
      </c>
      <c r="D80" s="14" t="s">
        <v>138</v>
      </c>
      <c r="E80" s="14">
        <v>0</v>
      </c>
      <c r="F80" s="19">
        <f t="shared" si="6"/>
        <v>0</v>
      </c>
    </row>
    <row r="81" spans="1:6" x14ac:dyDescent="0.25">
      <c r="A81" s="308">
        <v>46137</v>
      </c>
      <c r="B81" s="302" t="s">
        <v>457</v>
      </c>
      <c r="C81" s="15">
        <v>0</v>
      </c>
      <c r="D81" s="13" t="s">
        <v>137</v>
      </c>
      <c r="E81" s="13">
        <v>0</v>
      </c>
      <c r="F81" s="18">
        <f t="shared" ref="F81:F96" si="7">C81*E81</f>
        <v>0</v>
      </c>
    </row>
    <row r="82" spans="1:6" ht="16.5" thickBot="1" x14ac:dyDescent="0.3">
      <c r="A82" s="309"/>
      <c r="B82" s="303"/>
      <c r="C82" s="16">
        <v>52</v>
      </c>
      <c r="D82" s="14" t="s">
        <v>138</v>
      </c>
      <c r="E82" s="14">
        <v>0</v>
      </c>
      <c r="F82" s="19">
        <f t="shared" si="7"/>
        <v>0</v>
      </c>
    </row>
    <row r="83" spans="1:6" x14ac:dyDescent="0.25">
      <c r="A83" s="308">
        <v>46143</v>
      </c>
      <c r="B83" s="302" t="s">
        <v>458</v>
      </c>
      <c r="C83" s="15">
        <v>0</v>
      </c>
      <c r="D83" s="13" t="s">
        <v>137</v>
      </c>
      <c r="E83" s="13">
        <v>0</v>
      </c>
      <c r="F83" s="18">
        <f t="shared" si="7"/>
        <v>0</v>
      </c>
    </row>
    <row r="84" spans="1:6" ht="16.5" thickBot="1" x14ac:dyDescent="0.3">
      <c r="A84" s="309"/>
      <c r="B84" s="303"/>
      <c r="C84" s="16">
        <v>0</v>
      </c>
      <c r="D84" s="14" t="s">
        <v>138</v>
      </c>
      <c r="E84" s="14">
        <v>0</v>
      </c>
      <c r="F84" s="19">
        <f t="shared" si="7"/>
        <v>0</v>
      </c>
    </row>
    <row r="85" spans="1:6" x14ac:dyDescent="0.25">
      <c r="A85" s="308">
        <v>46143</v>
      </c>
      <c r="B85" s="302" t="s">
        <v>459</v>
      </c>
      <c r="C85" s="15">
        <v>0</v>
      </c>
      <c r="D85" s="13" t="s">
        <v>137</v>
      </c>
      <c r="E85" s="13">
        <v>0</v>
      </c>
      <c r="F85" s="18">
        <f t="shared" si="7"/>
        <v>0</v>
      </c>
    </row>
    <row r="86" spans="1:6" ht="16.5" thickBot="1" x14ac:dyDescent="0.3">
      <c r="A86" s="309"/>
      <c r="B86" s="303"/>
      <c r="C86" s="16">
        <v>0</v>
      </c>
      <c r="D86" s="14" t="s">
        <v>138</v>
      </c>
      <c r="E86" s="14">
        <v>0</v>
      </c>
      <c r="F86" s="19">
        <f t="shared" si="7"/>
        <v>0</v>
      </c>
    </row>
    <row r="87" spans="1:6" x14ac:dyDescent="0.25">
      <c r="A87" s="308">
        <v>46149</v>
      </c>
      <c r="B87" s="302" t="s">
        <v>460</v>
      </c>
      <c r="C87" s="15">
        <v>0</v>
      </c>
      <c r="D87" s="13" t="s">
        <v>137</v>
      </c>
      <c r="E87" s="13">
        <v>0</v>
      </c>
      <c r="F87" s="18">
        <f t="shared" si="7"/>
        <v>0</v>
      </c>
    </row>
    <row r="88" spans="1:6" ht="16.5" thickBot="1" x14ac:dyDescent="0.3">
      <c r="A88" s="309"/>
      <c r="B88" s="303"/>
      <c r="C88" s="16">
        <v>15</v>
      </c>
      <c r="D88" s="14" t="s">
        <v>138</v>
      </c>
      <c r="E88" s="14">
        <v>0</v>
      </c>
      <c r="F88" s="19">
        <f t="shared" si="7"/>
        <v>0</v>
      </c>
    </row>
    <row r="89" spans="1:6" x14ac:dyDescent="0.25">
      <c r="A89" s="308">
        <v>46149</v>
      </c>
      <c r="B89" s="302" t="s">
        <v>461</v>
      </c>
      <c r="C89" s="15">
        <v>0</v>
      </c>
      <c r="D89" s="13" t="s">
        <v>137</v>
      </c>
      <c r="E89" s="13">
        <v>0</v>
      </c>
      <c r="F89" s="18">
        <f t="shared" si="7"/>
        <v>0</v>
      </c>
    </row>
    <row r="90" spans="1:6" ht="16.5" thickBot="1" x14ac:dyDescent="0.3">
      <c r="A90" s="309"/>
      <c r="B90" s="303"/>
      <c r="C90" s="16">
        <v>90</v>
      </c>
      <c r="D90" s="14" t="s">
        <v>138</v>
      </c>
      <c r="E90" s="14">
        <v>0</v>
      </c>
      <c r="F90" s="19">
        <f t="shared" si="7"/>
        <v>0</v>
      </c>
    </row>
    <row r="91" spans="1:6" x14ac:dyDescent="0.25">
      <c r="A91" s="308">
        <v>46151</v>
      </c>
      <c r="B91" s="302" t="s">
        <v>462</v>
      </c>
      <c r="C91" s="15">
        <v>0</v>
      </c>
      <c r="D91" s="13" t="s">
        <v>137</v>
      </c>
      <c r="E91" s="13">
        <v>0</v>
      </c>
      <c r="F91" s="18">
        <f t="shared" si="7"/>
        <v>0</v>
      </c>
    </row>
    <row r="92" spans="1:6" ht="16.5" thickBot="1" x14ac:dyDescent="0.3">
      <c r="A92" s="309"/>
      <c r="B92" s="303"/>
      <c r="C92" s="16">
        <v>211</v>
      </c>
      <c r="D92" s="14" t="s">
        <v>138</v>
      </c>
      <c r="E92" s="14">
        <v>0</v>
      </c>
      <c r="F92" s="19">
        <f t="shared" si="7"/>
        <v>0</v>
      </c>
    </row>
    <row r="93" spans="1:6" x14ac:dyDescent="0.25">
      <c r="A93" s="308">
        <v>46158</v>
      </c>
      <c r="B93" s="302" t="s">
        <v>463</v>
      </c>
      <c r="C93" s="15">
        <v>0</v>
      </c>
      <c r="D93" s="13" t="s">
        <v>137</v>
      </c>
      <c r="E93" s="13">
        <v>0</v>
      </c>
      <c r="F93" s="18">
        <f t="shared" si="7"/>
        <v>0</v>
      </c>
    </row>
    <row r="94" spans="1:6" ht="16.5" thickBot="1" x14ac:dyDescent="0.3">
      <c r="A94" s="309"/>
      <c r="B94" s="303"/>
      <c r="C94" s="16">
        <v>25</v>
      </c>
      <c r="D94" s="14" t="s">
        <v>138</v>
      </c>
      <c r="E94" s="14">
        <v>0</v>
      </c>
      <c r="F94" s="19">
        <f t="shared" si="7"/>
        <v>0</v>
      </c>
    </row>
    <row r="95" spans="1:6" x14ac:dyDescent="0.25">
      <c r="A95" s="308">
        <v>46158</v>
      </c>
      <c r="B95" s="302" t="s">
        <v>464</v>
      </c>
      <c r="C95" s="15">
        <v>0</v>
      </c>
      <c r="D95" s="13" t="s">
        <v>137</v>
      </c>
      <c r="E95" s="13">
        <v>0</v>
      </c>
      <c r="F95" s="18">
        <f t="shared" si="7"/>
        <v>0</v>
      </c>
    </row>
    <row r="96" spans="1:6" ht="16.5" thickBot="1" x14ac:dyDescent="0.3">
      <c r="A96" s="309"/>
      <c r="B96" s="303"/>
      <c r="C96" s="16">
        <v>32</v>
      </c>
      <c r="D96" s="14" t="s">
        <v>138</v>
      </c>
      <c r="E96" s="14">
        <v>0</v>
      </c>
      <c r="F96" s="19">
        <f t="shared" si="7"/>
        <v>0</v>
      </c>
    </row>
    <row r="97" spans="1:6" x14ac:dyDescent="0.25">
      <c r="A97" s="308">
        <v>46165</v>
      </c>
      <c r="B97" s="302" t="s">
        <v>484</v>
      </c>
      <c r="C97" s="15"/>
      <c r="D97" s="13" t="s">
        <v>137</v>
      </c>
      <c r="E97" s="13">
        <v>0</v>
      </c>
      <c r="F97" s="18">
        <f t="shared" ref="F97:F156" si="8">C97*E97</f>
        <v>0</v>
      </c>
    </row>
    <row r="98" spans="1:6" ht="16.5" thickBot="1" x14ac:dyDescent="0.3">
      <c r="A98" s="309"/>
      <c r="B98" s="303"/>
      <c r="C98" s="16">
        <v>117</v>
      </c>
      <c r="D98" s="14" t="s">
        <v>138</v>
      </c>
      <c r="E98" s="14">
        <v>0</v>
      </c>
      <c r="F98" s="19">
        <f t="shared" si="8"/>
        <v>0</v>
      </c>
    </row>
    <row r="99" spans="1:6" x14ac:dyDescent="0.25">
      <c r="A99" s="308">
        <v>46172</v>
      </c>
      <c r="B99" s="302" t="s">
        <v>497</v>
      </c>
      <c r="C99" s="15"/>
      <c r="D99" s="13" t="s">
        <v>137</v>
      </c>
      <c r="E99" s="13">
        <v>0</v>
      </c>
      <c r="F99" s="18">
        <f t="shared" si="8"/>
        <v>0</v>
      </c>
    </row>
    <row r="100" spans="1:6" ht="16.5" thickBot="1" x14ac:dyDescent="0.3">
      <c r="A100" s="309"/>
      <c r="B100" s="303"/>
      <c r="C100" s="16">
        <v>21</v>
      </c>
      <c r="D100" s="14" t="s">
        <v>138</v>
      </c>
      <c r="E100" s="14">
        <v>0</v>
      </c>
      <c r="F100" s="19">
        <f t="shared" si="8"/>
        <v>0</v>
      </c>
    </row>
    <row r="101" spans="1:6" x14ac:dyDescent="0.25">
      <c r="A101" s="308">
        <v>46172</v>
      </c>
      <c r="B101" s="302" t="s">
        <v>496</v>
      </c>
      <c r="C101" s="15"/>
      <c r="D101" s="13" t="s">
        <v>137</v>
      </c>
      <c r="E101" s="13">
        <v>0</v>
      </c>
      <c r="F101" s="18">
        <f t="shared" si="8"/>
        <v>0</v>
      </c>
    </row>
    <row r="102" spans="1:6" ht="16.5" thickBot="1" x14ac:dyDescent="0.3">
      <c r="A102" s="309"/>
      <c r="B102" s="303"/>
      <c r="C102" s="16">
        <v>12</v>
      </c>
      <c r="D102" s="14" t="s">
        <v>138</v>
      </c>
      <c r="E102" s="14">
        <v>0</v>
      </c>
      <c r="F102" s="19">
        <f t="shared" si="8"/>
        <v>0</v>
      </c>
    </row>
    <row r="103" spans="1:6" x14ac:dyDescent="0.25">
      <c r="A103" s="308">
        <v>46174</v>
      </c>
      <c r="B103" s="302" t="s">
        <v>498</v>
      </c>
      <c r="C103" s="15"/>
      <c r="D103" s="13" t="s">
        <v>137</v>
      </c>
      <c r="E103" s="13">
        <v>0</v>
      </c>
      <c r="F103" s="18">
        <f t="shared" si="8"/>
        <v>0</v>
      </c>
    </row>
    <row r="104" spans="1:6" ht="16.5" thickBot="1" x14ac:dyDescent="0.3">
      <c r="A104" s="309"/>
      <c r="B104" s="303"/>
      <c r="C104" s="16">
        <v>10</v>
      </c>
      <c r="D104" s="14" t="s">
        <v>138</v>
      </c>
      <c r="E104" s="14">
        <v>0</v>
      </c>
      <c r="F104" s="19">
        <f t="shared" si="8"/>
        <v>0</v>
      </c>
    </row>
    <row r="105" spans="1:6" x14ac:dyDescent="0.25">
      <c r="A105" s="308">
        <v>46174</v>
      </c>
      <c r="B105" s="302" t="s">
        <v>499</v>
      </c>
      <c r="C105" s="15"/>
      <c r="D105" s="13" t="s">
        <v>137</v>
      </c>
      <c r="E105" s="13">
        <v>0</v>
      </c>
      <c r="F105" s="18">
        <f t="shared" si="8"/>
        <v>0</v>
      </c>
    </row>
    <row r="106" spans="1:6" ht="16.5" thickBot="1" x14ac:dyDescent="0.3">
      <c r="A106" s="309"/>
      <c r="B106" s="303"/>
      <c r="C106" s="16">
        <v>33</v>
      </c>
      <c r="D106" s="14" t="s">
        <v>138</v>
      </c>
      <c r="E106" s="14">
        <v>0</v>
      </c>
      <c r="F106" s="19">
        <f t="shared" si="8"/>
        <v>0</v>
      </c>
    </row>
    <row r="107" spans="1:6" x14ac:dyDescent="0.25">
      <c r="A107" s="308"/>
      <c r="B107" s="302"/>
      <c r="C107" s="15"/>
      <c r="D107" s="13" t="s">
        <v>137</v>
      </c>
      <c r="E107" s="13">
        <v>0</v>
      </c>
      <c r="F107" s="18">
        <f t="shared" si="8"/>
        <v>0</v>
      </c>
    </row>
    <row r="108" spans="1:6" ht="16.5" thickBot="1" x14ac:dyDescent="0.3">
      <c r="A108" s="309"/>
      <c r="B108" s="303"/>
      <c r="C108" s="16"/>
      <c r="D108" s="14" t="s">
        <v>138</v>
      </c>
      <c r="E108" s="14">
        <v>0</v>
      </c>
      <c r="F108" s="19">
        <f t="shared" si="8"/>
        <v>0</v>
      </c>
    </row>
    <row r="109" spans="1:6" x14ac:dyDescent="0.25">
      <c r="A109" s="308"/>
      <c r="B109" s="302"/>
      <c r="C109" s="15"/>
      <c r="D109" s="13" t="s">
        <v>137</v>
      </c>
      <c r="E109" s="13">
        <v>0</v>
      </c>
      <c r="F109" s="18">
        <f t="shared" si="8"/>
        <v>0</v>
      </c>
    </row>
    <row r="110" spans="1:6" ht="16.5" thickBot="1" x14ac:dyDescent="0.3">
      <c r="A110" s="309"/>
      <c r="B110" s="303"/>
      <c r="C110" s="16"/>
      <c r="D110" s="14" t="s">
        <v>138</v>
      </c>
      <c r="E110" s="14">
        <v>0</v>
      </c>
      <c r="F110" s="19">
        <f t="shared" si="8"/>
        <v>0</v>
      </c>
    </row>
    <row r="111" spans="1:6" x14ac:dyDescent="0.25">
      <c r="A111" s="308"/>
      <c r="B111" s="302"/>
      <c r="C111" s="15"/>
      <c r="D111" s="13" t="s">
        <v>137</v>
      </c>
      <c r="E111" s="13">
        <v>0</v>
      </c>
      <c r="F111" s="18">
        <f t="shared" si="8"/>
        <v>0</v>
      </c>
    </row>
    <row r="112" spans="1:6" ht="16.5" thickBot="1" x14ac:dyDescent="0.3">
      <c r="A112" s="309"/>
      <c r="B112" s="303"/>
      <c r="C112" s="16"/>
      <c r="D112" s="14" t="s">
        <v>138</v>
      </c>
      <c r="E112" s="14">
        <v>0</v>
      </c>
      <c r="F112" s="19">
        <f t="shared" si="8"/>
        <v>0</v>
      </c>
    </row>
    <row r="113" spans="1:6" x14ac:dyDescent="0.25">
      <c r="A113" s="308"/>
      <c r="B113" s="302"/>
      <c r="C113" s="15"/>
      <c r="D113" s="13" t="s">
        <v>137</v>
      </c>
      <c r="E113" s="13">
        <v>0</v>
      </c>
      <c r="F113" s="18">
        <f t="shared" si="8"/>
        <v>0</v>
      </c>
    </row>
    <row r="114" spans="1:6" ht="16.5" thickBot="1" x14ac:dyDescent="0.3">
      <c r="A114" s="309"/>
      <c r="B114" s="303"/>
      <c r="C114" s="16"/>
      <c r="D114" s="14" t="s">
        <v>138</v>
      </c>
      <c r="E114" s="14">
        <v>0</v>
      </c>
      <c r="F114" s="19">
        <f t="shared" si="8"/>
        <v>0</v>
      </c>
    </row>
    <row r="115" spans="1:6" x14ac:dyDescent="0.25">
      <c r="A115" s="308"/>
      <c r="B115" s="302"/>
      <c r="C115" s="15"/>
      <c r="D115" s="13" t="s">
        <v>137</v>
      </c>
      <c r="E115" s="13">
        <v>0</v>
      </c>
      <c r="F115" s="18">
        <f t="shared" si="8"/>
        <v>0</v>
      </c>
    </row>
    <row r="116" spans="1:6" ht="16.5" thickBot="1" x14ac:dyDescent="0.3">
      <c r="A116" s="309"/>
      <c r="B116" s="303"/>
      <c r="C116" s="16"/>
      <c r="D116" s="14" t="s">
        <v>138</v>
      </c>
      <c r="E116" s="14">
        <v>0</v>
      </c>
      <c r="F116" s="19">
        <f t="shared" si="8"/>
        <v>0</v>
      </c>
    </row>
    <row r="117" spans="1:6" x14ac:dyDescent="0.25">
      <c r="A117" s="308"/>
      <c r="B117" s="302"/>
      <c r="C117" s="15"/>
      <c r="D117" s="13" t="s">
        <v>137</v>
      </c>
      <c r="E117" s="13">
        <v>0</v>
      </c>
      <c r="F117" s="18">
        <f t="shared" si="8"/>
        <v>0</v>
      </c>
    </row>
    <row r="118" spans="1:6" ht="16.5" thickBot="1" x14ac:dyDescent="0.3">
      <c r="A118" s="309"/>
      <c r="B118" s="303"/>
      <c r="C118" s="16"/>
      <c r="D118" s="14" t="s">
        <v>138</v>
      </c>
      <c r="E118" s="14">
        <v>0</v>
      </c>
      <c r="F118" s="19">
        <f t="shared" si="8"/>
        <v>0</v>
      </c>
    </row>
    <row r="119" spans="1:6" x14ac:dyDescent="0.25">
      <c r="A119" s="308"/>
      <c r="B119" s="302"/>
      <c r="C119" s="15"/>
      <c r="D119" s="13" t="s">
        <v>137</v>
      </c>
      <c r="E119" s="13">
        <v>0</v>
      </c>
      <c r="F119" s="18">
        <f t="shared" si="8"/>
        <v>0</v>
      </c>
    </row>
    <row r="120" spans="1:6" ht="16.5" thickBot="1" x14ac:dyDescent="0.3">
      <c r="A120" s="309"/>
      <c r="B120" s="303"/>
      <c r="C120" s="16"/>
      <c r="D120" s="14" t="s">
        <v>138</v>
      </c>
      <c r="E120" s="14">
        <v>0</v>
      </c>
      <c r="F120" s="19">
        <f t="shared" si="8"/>
        <v>0</v>
      </c>
    </row>
    <row r="121" spans="1:6" x14ac:dyDescent="0.25">
      <c r="A121" s="308"/>
      <c r="B121" s="302"/>
      <c r="C121" s="15"/>
      <c r="D121" s="13" t="s">
        <v>137</v>
      </c>
      <c r="E121" s="13">
        <v>0</v>
      </c>
      <c r="F121" s="18">
        <f t="shared" si="8"/>
        <v>0</v>
      </c>
    </row>
    <row r="122" spans="1:6" ht="16.5" thickBot="1" x14ac:dyDescent="0.3">
      <c r="A122" s="309"/>
      <c r="B122" s="303"/>
      <c r="C122" s="16"/>
      <c r="D122" s="14" t="s">
        <v>138</v>
      </c>
      <c r="E122" s="14">
        <v>0</v>
      </c>
      <c r="F122" s="19">
        <f t="shared" si="8"/>
        <v>0</v>
      </c>
    </row>
    <row r="123" spans="1:6" x14ac:dyDescent="0.25">
      <c r="A123" s="308"/>
      <c r="B123" s="302"/>
      <c r="C123" s="15"/>
      <c r="D123" s="13" t="s">
        <v>137</v>
      </c>
      <c r="E123" s="13">
        <v>0</v>
      </c>
      <c r="F123" s="18">
        <f t="shared" si="8"/>
        <v>0</v>
      </c>
    </row>
    <row r="124" spans="1:6" ht="16.5" thickBot="1" x14ac:dyDescent="0.3">
      <c r="A124" s="309"/>
      <c r="B124" s="303"/>
      <c r="C124" s="16"/>
      <c r="D124" s="14" t="s">
        <v>138</v>
      </c>
      <c r="E124" s="14">
        <v>0</v>
      </c>
      <c r="F124" s="19">
        <f t="shared" si="8"/>
        <v>0</v>
      </c>
    </row>
    <row r="125" spans="1:6" x14ac:dyDescent="0.25">
      <c r="A125" s="308"/>
      <c r="B125" s="302"/>
      <c r="C125" s="15"/>
      <c r="D125" s="13" t="s">
        <v>137</v>
      </c>
      <c r="E125" s="13">
        <v>0</v>
      </c>
      <c r="F125" s="18">
        <f t="shared" si="8"/>
        <v>0</v>
      </c>
    </row>
    <row r="126" spans="1:6" ht="16.5" thickBot="1" x14ac:dyDescent="0.3">
      <c r="A126" s="309"/>
      <c r="B126" s="303"/>
      <c r="C126" s="16"/>
      <c r="D126" s="14" t="s">
        <v>138</v>
      </c>
      <c r="E126" s="14">
        <v>0</v>
      </c>
      <c r="F126" s="19">
        <f t="shared" si="8"/>
        <v>0</v>
      </c>
    </row>
    <row r="127" spans="1:6" x14ac:dyDescent="0.25">
      <c r="A127" s="308"/>
      <c r="B127" s="302"/>
      <c r="C127" s="15"/>
      <c r="D127" s="13" t="s">
        <v>137</v>
      </c>
      <c r="E127" s="13">
        <v>0</v>
      </c>
      <c r="F127" s="18">
        <f t="shared" si="8"/>
        <v>0</v>
      </c>
    </row>
    <row r="128" spans="1:6" ht="16.5" thickBot="1" x14ac:dyDescent="0.3">
      <c r="A128" s="309"/>
      <c r="B128" s="303"/>
      <c r="C128" s="16"/>
      <c r="D128" s="14" t="s">
        <v>138</v>
      </c>
      <c r="E128" s="14">
        <v>0</v>
      </c>
      <c r="F128" s="19">
        <f t="shared" si="8"/>
        <v>0</v>
      </c>
    </row>
    <row r="129" spans="1:6" x14ac:dyDescent="0.25">
      <c r="A129" s="308"/>
      <c r="B129" s="302"/>
      <c r="C129" s="15"/>
      <c r="D129" s="13" t="s">
        <v>137</v>
      </c>
      <c r="E129" s="13">
        <v>0</v>
      </c>
      <c r="F129" s="18">
        <f t="shared" si="8"/>
        <v>0</v>
      </c>
    </row>
    <row r="130" spans="1:6" ht="16.5" thickBot="1" x14ac:dyDescent="0.3">
      <c r="A130" s="309"/>
      <c r="B130" s="303"/>
      <c r="C130" s="16"/>
      <c r="D130" s="14" t="s">
        <v>138</v>
      </c>
      <c r="E130" s="14">
        <v>0</v>
      </c>
      <c r="F130" s="19">
        <f t="shared" si="8"/>
        <v>0</v>
      </c>
    </row>
    <row r="131" spans="1:6" x14ac:dyDescent="0.25">
      <c r="A131" s="308"/>
      <c r="B131" s="302"/>
      <c r="C131" s="15"/>
      <c r="D131" s="13" t="s">
        <v>137</v>
      </c>
      <c r="E131" s="13">
        <v>0</v>
      </c>
      <c r="F131" s="18">
        <f t="shared" si="8"/>
        <v>0</v>
      </c>
    </row>
    <row r="132" spans="1:6" ht="16.5" thickBot="1" x14ac:dyDescent="0.3">
      <c r="A132" s="309"/>
      <c r="B132" s="303"/>
      <c r="C132" s="16"/>
      <c r="D132" s="14" t="s">
        <v>138</v>
      </c>
      <c r="E132" s="14">
        <v>0</v>
      </c>
      <c r="F132" s="19">
        <f t="shared" si="8"/>
        <v>0</v>
      </c>
    </row>
    <row r="133" spans="1:6" x14ac:dyDescent="0.25">
      <c r="A133" s="308"/>
      <c r="B133" s="302"/>
      <c r="C133" s="15"/>
      <c r="D133" s="13" t="s">
        <v>137</v>
      </c>
      <c r="E133" s="13">
        <v>0</v>
      </c>
      <c r="F133" s="18">
        <f t="shared" si="8"/>
        <v>0</v>
      </c>
    </row>
    <row r="134" spans="1:6" ht="16.5" thickBot="1" x14ac:dyDescent="0.3">
      <c r="A134" s="309"/>
      <c r="B134" s="303"/>
      <c r="C134" s="16"/>
      <c r="D134" s="14" t="s">
        <v>138</v>
      </c>
      <c r="E134" s="14">
        <v>0</v>
      </c>
      <c r="F134" s="19">
        <f t="shared" si="8"/>
        <v>0</v>
      </c>
    </row>
    <row r="135" spans="1:6" x14ac:dyDescent="0.25">
      <c r="A135" s="308"/>
      <c r="B135" s="302"/>
      <c r="C135" s="15"/>
      <c r="D135" s="13" t="s">
        <v>137</v>
      </c>
      <c r="E135" s="13">
        <v>0</v>
      </c>
      <c r="F135" s="18">
        <f t="shared" si="8"/>
        <v>0</v>
      </c>
    </row>
    <row r="136" spans="1:6" ht="16.5" thickBot="1" x14ac:dyDescent="0.3">
      <c r="A136" s="309"/>
      <c r="B136" s="303"/>
      <c r="C136" s="16"/>
      <c r="D136" s="14" t="s">
        <v>138</v>
      </c>
      <c r="E136" s="14">
        <v>0</v>
      </c>
      <c r="F136" s="19">
        <f t="shared" si="8"/>
        <v>0</v>
      </c>
    </row>
    <row r="137" spans="1:6" x14ac:dyDescent="0.25">
      <c r="A137" s="308"/>
      <c r="B137" s="302"/>
      <c r="C137" s="15"/>
      <c r="D137" s="13" t="s">
        <v>137</v>
      </c>
      <c r="E137" s="13">
        <v>0</v>
      </c>
      <c r="F137" s="18">
        <f t="shared" si="8"/>
        <v>0</v>
      </c>
    </row>
    <row r="138" spans="1:6" ht="16.5" thickBot="1" x14ac:dyDescent="0.3">
      <c r="A138" s="309"/>
      <c r="B138" s="303"/>
      <c r="C138" s="16"/>
      <c r="D138" s="14" t="s">
        <v>138</v>
      </c>
      <c r="E138" s="14">
        <v>0</v>
      </c>
      <c r="F138" s="19">
        <f t="shared" si="8"/>
        <v>0</v>
      </c>
    </row>
    <row r="139" spans="1:6" x14ac:dyDescent="0.25">
      <c r="A139" s="308"/>
      <c r="B139" s="302"/>
      <c r="C139" s="15"/>
      <c r="D139" s="13" t="s">
        <v>137</v>
      </c>
      <c r="E139" s="13">
        <v>0</v>
      </c>
      <c r="F139" s="18">
        <f t="shared" si="8"/>
        <v>0</v>
      </c>
    </row>
    <row r="140" spans="1:6" ht="16.5" thickBot="1" x14ac:dyDescent="0.3">
      <c r="A140" s="309"/>
      <c r="B140" s="303"/>
      <c r="C140" s="16"/>
      <c r="D140" s="14" t="s">
        <v>138</v>
      </c>
      <c r="E140" s="14">
        <v>0</v>
      </c>
      <c r="F140" s="19">
        <f t="shared" si="8"/>
        <v>0</v>
      </c>
    </row>
    <row r="141" spans="1:6" x14ac:dyDescent="0.25">
      <c r="A141" s="308"/>
      <c r="B141" s="302"/>
      <c r="C141" s="15"/>
      <c r="D141" s="13" t="s">
        <v>137</v>
      </c>
      <c r="E141" s="13">
        <v>0</v>
      </c>
      <c r="F141" s="18">
        <f t="shared" si="8"/>
        <v>0</v>
      </c>
    </row>
    <row r="142" spans="1:6" ht="16.5" thickBot="1" x14ac:dyDescent="0.3">
      <c r="A142" s="309"/>
      <c r="B142" s="303"/>
      <c r="C142" s="16"/>
      <c r="D142" s="14" t="s">
        <v>138</v>
      </c>
      <c r="E142" s="14">
        <v>0</v>
      </c>
      <c r="F142" s="19">
        <f t="shared" si="8"/>
        <v>0</v>
      </c>
    </row>
    <row r="143" spans="1:6" x14ac:dyDescent="0.25">
      <c r="A143" s="308"/>
      <c r="B143" s="302"/>
      <c r="C143" s="15"/>
      <c r="D143" s="13" t="s">
        <v>137</v>
      </c>
      <c r="E143" s="13">
        <v>0</v>
      </c>
      <c r="F143" s="18">
        <f t="shared" si="8"/>
        <v>0</v>
      </c>
    </row>
    <row r="144" spans="1:6" ht="16.5" thickBot="1" x14ac:dyDescent="0.3">
      <c r="A144" s="309"/>
      <c r="B144" s="303"/>
      <c r="C144" s="16"/>
      <c r="D144" s="14" t="s">
        <v>138</v>
      </c>
      <c r="E144" s="14">
        <v>0</v>
      </c>
      <c r="F144" s="19">
        <f t="shared" si="8"/>
        <v>0</v>
      </c>
    </row>
    <row r="145" spans="1:6" x14ac:dyDescent="0.25">
      <c r="A145" s="308"/>
      <c r="B145" s="302"/>
      <c r="C145" s="15"/>
      <c r="D145" s="13" t="s">
        <v>137</v>
      </c>
      <c r="E145" s="13">
        <v>0</v>
      </c>
      <c r="F145" s="18">
        <f t="shared" si="8"/>
        <v>0</v>
      </c>
    </row>
    <row r="146" spans="1:6" ht="16.5" thickBot="1" x14ac:dyDescent="0.3">
      <c r="A146" s="309"/>
      <c r="B146" s="303"/>
      <c r="C146" s="16"/>
      <c r="D146" s="14" t="s">
        <v>138</v>
      </c>
      <c r="E146" s="14">
        <v>0</v>
      </c>
      <c r="F146" s="19">
        <f t="shared" si="8"/>
        <v>0</v>
      </c>
    </row>
    <row r="147" spans="1:6" x14ac:dyDescent="0.25">
      <c r="A147" s="308"/>
      <c r="B147" s="302"/>
      <c r="C147" s="15"/>
      <c r="D147" s="13" t="s">
        <v>137</v>
      </c>
      <c r="E147" s="13">
        <v>0</v>
      </c>
      <c r="F147" s="18">
        <f t="shared" si="8"/>
        <v>0</v>
      </c>
    </row>
    <row r="148" spans="1:6" ht="16.5" thickBot="1" x14ac:dyDescent="0.3">
      <c r="A148" s="309"/>
      <c r="B148" s="303"/>
      <c r="C148" s="16"/>
      <c r="D148" s="14" t="s">
        <v>138</v>
      </c>
      <c r="E148" s="14">
        <v>0</v>
      </c>
      <c r="F148" s="19">
        <f t="shared" si="8"/>
        <v>0</v>
      </c>
    </row>
    <row r="149" spans="1:6" x14ac:dyDescent="0.25">
      <c r="A149" s="308"/>
      <c r="B149" s="302"/>
      <c r="C149" s="15"/>
      <c r="D149" s="13" t="s">
        <v>137</v>
      </c>
      <c r="E149" s="13">
        <v>0</v>
      </c>
      <c r="F149" s="18">
        <f t="shared" si="8"/>
        <v>0</v>
      </c>
    </row>
    <row r="150" spans="1:6" ht="16.5" thickBot="1" x14ac:dyDescent="0.3">
      <c r="A150" s="309"/>
      <c r="B150" s="303"/>
      <c r="C150" s="16"/>
      <c r="D150" s="14" t="s">
        <v>138</v>
      </c>
      <c r="E150" s="14">
        <v>0</v>
      </c>
      <c r="F150" s="19">
        <f t="shared" si="8"/>
        <v>0</v>
      </c>
    </row>
    <row r="151" spans="1:6" x14ac:dyDescent="0.25">
      <c r="A151" s="308"/>
      <c r="B151" s="302"/>
      <c r="C151" s="15"/>
      <c r="D151" s="13" t="s">
        <v>137</v>
      </c>
      <c r="E151" s="13">
        <v>0</v>
      </c>
      <c r="F151" s="18">
        <f t="shared" si="8"/>
        <v>0</v>
      </c>
    </row>
    <row r="152" spans="1:6" ht="16.5" thickBot="1" x14ac:dyDescent="0.3">
      <c r="A152" s="309"/>
      <c r="B152" s="303"/>
      <c r="C152" s="16"/>
      <c r="D152" s="14" t="s">
        <v>138</v>
      </c>
      <c r="E152" s="14">
        <v>0</v>
      </c>
      <c r="F152" s="19">
        <f t="shared" si="8"/>
        <v>0</v>
      </c>
    </row>
    <row r="153" spans="1:6" x14ac:dyDescent="0.25">
      <c r="A153" s="308"/>
      <c r="B153" s="302"/>
      <c r="C153" s="15"/>
      <c r="D153" s="13" t="s">
        <v>137</v>
      </c>
      <c r="E153" s="13">
        <v>0</v>
      </c>
      <c r="F153" s="18">
        <f t="shared" si="8"/>
        <v>0</v>
      </c>
    </row>
    <row r="154" spans="1:6" ht="16.5" thickBot="1" x14ac:dyDescent="0.3">
      <c r="A154" s="309"/>
      <c r="B154" s="303"/>
      <c r="C154" s="16"/>
      <c r="D154" s="14" t="s">
        <v>138</v>
      </c>
      <c r="E154" s="14">
        <v>0</v>
      </c>
      <c r="F154" s="19">
        <f t="shared" si="8"/>
        <v>0</v>
      </c>
    </row>
    <row r="155" spans="1:6" x14ac:dyDescent="0.25">
      <c r="A155" s="308"/>
      <c r="B155" s="302"/>
      <c r="C155" s="15"/>
      <c r="D155" s="13" t="s">
        <v>137</v>
      </c>
      <c r="E155" s="13">
        <v>0</v>
      </c>
      <c r="F155" s="18">
        <f t="shared" si="8"/>
        <v>0</v>
      </c>
    </row>
    <row r="156" spans="1:6" ht="16.5" thickBot="1" x14ac:dyDescent="0.3">
      <c r="A156" s="309"/>
      <c r="B156" s="303"/>
      <c r="C156" s="16"/>
      <c r="D156" s="14" t="s">
        <v>138</v>
      </c>
      <c r="E156" s="14">
        <v>0</v>
      </c>
      <c r="F156" s="19">
        <f t="shared" si="8"/>
        <v>0</v>
      </c>
    </row>
  </sheetData>
  <mergeCells count="151">
    <mergeCell ref="A153:A154"/>
    <mergeCell ref="B153:B154"/>
    <mergeCell ref="A155:A156"/>
    <mergeCell ref="B155:B156"/>
    <mergeCell ref="A147:A148"/>
    <mergeCell ref="B147:B148"/>
    <mergeCell ref="A149:A150"/>
    <mergeCell ref="B149:B150"/>
    <mergeCell ref="A151:A152"/>
    <mergeCell ref="B151:B152"/>
    <mergeCell ref="A141:A142"/>
    <mergeCell ref="B141:B142"/>
    <mergeCell ref="A143:A144"/>
    <mergeCell ref="B143:B144"/>
    <mergeCell ref="A145:A146"/>
    <mergeCell ref="B145:B146"/>
    <mergeCell ref="A135:A136"/>
    <mergeCell ref="B135:B136"/>
    <mergeCell ref="A137:A138"/>
    <mergeCell ref="B137:B138"/>
    <mergeCell ref="A139:A140"/>
    <mergeCell ref="B139:B140"/>
    <mergeCell ref="A129:A130"/>
    <mergeCell ref="B129:B130"/>
    <mergeCell ref="A131:A132"/>
    <mergeCell ref="B131:B132"/>
    <mergeCell ref="A133:A134"/>
    <mergeCell ref="B133:B134"/>
    <mergeCell ref="A123:A124"/>
    <mergeCell ref="B123:B124"/>
    <mergeCell ref="A125:A126"/>
    <mergeCell ref="B125:B126"/>
    <mergeCell ref="A127:A128"/>
    <mergeCell ref="B127:B128"/>
    <mergeCell ref="A117:A118"/>
    <mergeCell ref="B117:B118"/>
    <mergeCell ref="A119:A120"/>
    <mergeCell ref="B119:B120"/>
    <mergeCell ref="A121:A122"/>
    <mergeCell ref="B121:B122"/>
    <mergeCell ref="A111:A112"/>
    <mergeCell ref="B111:B112"/>
    <mergeCell ref="A113:A114"/>
    <mergeCell ref="B113:B114"/>
    <mergeCell ref="A115:A116"/>
    <mergeCell ref="B115:B116"/>
    <mergeCell ref="A105:A106"/>
    <mergeCell ref="B105:B106"/>
    <mergeCell ref="A107:A108"/>
    <mergeCell ref="B107:B108"/>
    <mergeCell ref="A109:A110"/>
    <mergeCell ref="B109:B110"/>
    <mergeCell ref="A99:A100"/>
    <mergeCell ref="B99:B100"/>
    <mergeCell ref="A101:A102"/>
    <mergeCell ref="B101:B102"/>
    <mergeCell ref="A103:A104"/>
    <mergeCell ref="B103:B104"/>
    <mergeCell ref="A95:A96"/>
    <mergeCell ref="B95:B96"/>
    <mergeCell ref="A97:A98"/>
    <mergeCell ref="B97:B98"/>
    <mergeCell ref="A89:A90"/>
    <mergeCell ref="B89:B90"/>
    <mergeCell ref="A91:A92"/>
    <mergeCell ref="B91:B92"/>
    <mergeCell ref="A93:A94"/>
    <mergeCell ref="B93:B94"/>
    <mergeCell ref="A83:A84"/>
    <mergeCell ref="B83:B84"/>
    <mergeCell ref="A85:A86"/>
    <mergeCell ref="B85:B86"/>
    <mergeCell ref="A87:A88"/>
    <mergeCell ref="B87:B88"/>
    <mergeCell ref="A63:A64"/>
    <mergeCell ref="B63:B64"/>
    <mergeCell ref="A65:A66"/>
    <mergeCell ref="B65:B66"/>
    <mergeCell ref="A81:A82"/>
    <mergeCell ref="B81:B82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55:A56"/>
    <mergeCell ref="B55:B56"/>
    <mergeCell ref="A57:A58"/>
    <mergeCell ref="B57:B58"/>
    <mergeCell ref="A59:A60"/>
    <mergeCell ref="B59:B60"/>
    <mergeCell ref="A49:A50"/>
    <mergeCell ref="B49:B50"/>
    <mergeCell ref="A51:A52"/>
    <mergeCell ref="B51:B52"/>
    <mergeCell ref="A53:A54"/>
    <mergeCell ref="B53:B54"/>
    <mergeCell ref="A43:A44"/>
    <mergeCell ref="B43:B44"/>
    <mergeCell ref="A45:A46"/>
    <mergeCell ref="B45:B46"/>
    <mergeCell ref="A47:A48"/>
    <mergeCell ref="B47:B48"/>
    <mergeCell ref="A37:A38"/>
    <mergeCell ref="B37:B38"/>
    <mergeCell ref="A39:A40"/>
    <mergeCell ref="B39:B40"/>
    <mergeCell ref="A41:A42"/>
    <mergeCell ref="B41:B42"/>
    <mergeCell ref="A29:A30"/>
    <mergeCell ref="A31:A32"/>
    <mergeCell ref="A33:A34"/>
    <mergeCell ref="A35:A36"/>
    <mergeCell ref="B35:B36"/>
    <mergeCell ref="B29:B30"/>
    <mergeCell ref="B31:B32"/>
    <mergeCell ref="B33:B34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B23:B24"/>
    <mergeCell ref="B25:B26"/>
    <mergeCell ref="B27:B28"/>
    <mergeCell ref="B21:B22"/>
    <mergeCell ref="B11:B12"/>
    <mergeCell ref="B13:B14"/>
    <mergeCell ref="B15:B16"/>
    <mergeCell ref="B17:B18"/>
    <mergeCell ref="B19:B20"/>
    <mergeCell ref="B2:B3"/>
    <mergeCell ref="A2:A3"/>
    <mergeCell ref="B6:B7"/>
    <mergeCell ref="A6:A7"/>
    <mergeCell ref="A9:A10"/>
    <mergeCell ref="B9:B10"/>
    <mergeCell ref="A8:F8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Ingresos</vt:lpstr>
      <vt:lpstr>Gastos</vt:lpstr>
      <vt:lpstr>Gastos (AP</vt:lpstr>
      <vt:lpstr>Retenciones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López</cp:lastModifiedBy>
  <dcterms:created xsi:type="dcterms:W3CDTF">2026-01-24T20:44:52Z</dcterms:created>
  <dcterms:modified xsi:type="dcterms:W3CDTF">2026-07-14T22:57:51Z</dcterms:modified>
</cp:coreProperties>
</file>